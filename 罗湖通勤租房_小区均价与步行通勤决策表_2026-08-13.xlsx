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fea083c5f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区决策总表" sheetId="1" r:id="Re022438484264076"/>
    <x:sheet xmlns:r="http://schemas.openxmlformats.org/officeDocument/2006/relationships" name="原始房源" sheetId="2" r:id="Rc9f98ab99f56411b"/>
    <x:sheet xmlns:r="http://schemas.openxmlformats.org/officeDocument/2006/relationships" name="步行路线" sheetId="3" r:id="R46251534882b4bd1"/>
    <x:sheet xmlns:r="http://schemas.openxmlformats.org/officeDocument/2006/relationships" name="小区档案" sheetId="4" r:id="R3a1ca874a454439f"/>
    <x:sheet xmlns:r="http://schemas.openxmlformats.org/officeDocument/2006/relationships" name="评价与跨平台证据" sheetId="5" r:id="R22ed019ab74f435a"/>
    <x:sheet xmlns:r="http://schemas.openxmlformats.org/officeDocument/2006/relationships" name="小红书转租线索" sheetId="6" r:id="R9adb79efcec44d0f"/>
    <x:sheet xmlns:r="http://schemas.openxmlformats.org/officeDocument/2006/relationships" name="Rules" sheetId="7" r:id="Rd11d2932f2f645da"/>
    <x:sheet xmlns:r="http://schemas.openxmlformats.org/officeDocument/2006/relationships" name="来源与覆盖" sheetId="8" r:id="R77678f3f8f4e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¥#,##0"/>
    <x:numFmt numFmtId="203" formatCode="¥#,##0.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sz val="11"/>
      <x:color rgb="FF78350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b/>
      <x:sz val="11"/>
      <x:color rgb="FF92400E"/>
      <x:name val="Carlito"/>
    </x:font>
    <x:font>
      <x:sz val="11"/>
      <x:name val="Microsoft YaHei"/>
    </x:font>
    <x:font>
      <x:b/>
      <x:sz val="11"/>
      <x:color rgb="FF17324D"/>
      <x:name val="Microsoft YaHei"/>
    </x:font>
    <x:font>
      <x:i/>
      <x:sz val="11"/>
      <x:color rgb="FF17324D"/>
      <x:name val="Microsoft YaHei"/>
    </x:font>
    <x:font>
      <x:sz val="11"/>
      <x:color rgb="FF78350F"/>
      <x:name val="Microsoft YaHei"/>
    </x:font>
    <x:font>
      <x:b/>
      <x:sz val="11"/>
      <x:color rgb="FFFFFFFF"/>
      <x:name val="Microsoft YaHei"/>
    </x:font>
    <x:font>
      <x:b/>
      <x:sz val="18"/>
      <x:color rgb="FFFFFFFF"/>
      <x:name val="Microsoft YaHei"/>
    </x:font>
    <x:font>
      <x:b/>
      <x:sz val="11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5F4"/>
      </x:patternFill>
    </x:fill>
    <x:fill>
      <x:patternFill patternType="solid">
        <x:fgColor rgb="FFFEF3C7"/>
      </x:patternFill>
    </x:fill>
    <x:fill>
      <x:patternFill patternType="solid">
        <x:fgColor rgb="FFF2B84B"/>
      </x:patternFill>
    </x:fill>
    <x:fill>
      <x:patternFill patternType="solid">
        <x:fgColor rgb="FF138A8A"/>
      </x:patternFill>
    </x:fill>
  </x:fills>
  <x:borders count="15">
    <x:border/>
    <x:border>
      <x:left style="thin">
        <x:color rgb="FFD97706"/>
      </x:left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7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/>
    <x:xf numFmtId="0" fontId="11" fillId="4" borderId="4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2" fillId="6" borderId="7" xfId="0" applyNumberFormat="1" applyFont="1" applyFill="1" applyBorder="1" applyAlignment="1">
      <x:alignment wrapText="1"/>
    </x:xf>
    <x:xf numFmtId="0" fontId="12" fillId="6" borderId="8" xfId="0" applyNumberFormat="1" applyFont="1" applyFill="1" applyBorder="1" applyAlignment="1">
      <x:alignment wrapText="1"/>
    </x:xf>
    <x:xf numFmtId="0" fontId="12" fillId="6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/>
    <x:xf numFmtId="201" fontId="14" fillId="4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201" fontId="14" fillId="4" borderId="13" xfId="0" applyNumberFormat="1" applyFont="1" applyFill="1" applyBorder="1"/>
    <x:xf numFmtId="0" fontId="8" fillId="0" borderId="14" xfId="0" applyNumberFormat="1" applyFont="1" applyFill="1" applyBorder="1"/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347eb26ab4ad9" /><Relationship Type="http://schemas.openxmlformats.org/officeDocument/2006/relationships/theme" Target="/xl/theme/theme1.xml" Id="R5a51c5b2431d4967" /><Relationship Type="http://schemas.openxmlformats.org/officeDocument/2006/relationships/sharedStrings" Target="/xl/sharedStrings.xml" Id="Rd5b0a3d345c84a41" /><Relationship Type="http://schemas.openxmlformats.org/officeDocument/2006/relationships/worksheet" Target="/xl/worksheets/sheet1.xml" Id="Re022438484264076" /><Relationship Type="http://schemas.openxmlformats.org/officeDocument/2006/relationships/worksheet" Target="/xl/worksheets/sheet2.xml" Id="Rc9f98ab99f56411b" /><Relationship Type="http://schemas.openxmlformats.org/officeDocument/2006/relationships/worksheet" Target="/xl/worksheets/sheet3.xml" Id="R46251534882b4bd1" /><Relationship Type="http://schemas.openxmlformats.org/officeDocument/2006/relationships/worksheet" Target="/xl/worksheets/sheet4.xml" Id="R3a1ca874a454439f" /><Relationship Type="http://schemas.openxmlformats.org/officeDocument/2006/relationships/worksheet" Target="/xl/worksheets/sheet5.xml" Id="R22ed019ab74f435a" /><Relationship Type="http://schemas.openxmlformats.org/officeDocument/2006/relationships/worksheet" Target="/xl/worksheets/sheet6.xml" Id="R9adb79efcec44d0f" /><Relationship Type="http://schemas.openxmlformats.org/officeDocument/2006/relationships/worksheet" Target="/xl/worksheets/sheet7.xml" Id="Rd11d2932f2f645da" /><Relationship Type="http://schemas.openxmlformats.org/officeDocument/2006/relationships/worksheet" Target="/xl/worksheets/sheet8.xml" Id="R77678f3f8f4e4b0c" /><Relationship Type="http://schemas.microsoft.com/office/2017/10/relationships/person" Target="/xl/persons/person.xml" Id="R2983b61304fa4cff" /></Relationships>
</file>

<file path=xl/persons/person.xml><?xml version="1.0" encoding="utf-8"?>
<xltc:personList xmlns:xltc="http://schemas.microsoft.com/office/spreadsheetml/2018/threadedcomments">
  <xltc:person displayName="Codex 租房研究" id="{E51F5E9D-CAA0-4214-ACE1-A5FA35635D40}"/>
</xltc:personList>
</file>

<file path=xl/tables/table1.xml><?xml version="1.0" encoding="utf-8"?>
<x:table xmlns:x="http://schemas.openxmlformats.org/spreadsheetml/2006/main" id="1" name="CommunityDecisionTable" displayName="CommunityDecisionTable" ref="A4:Y120" headerRowCount="1" totalsRowCount="0" totalsRowShown="0">
  <x:autoFilter ref="A4:Y120"/>
  <x:tableColumns count="25">
    <x:tableColumn id="1" name="初选名次"/>
    <x:tableColumn id="2" name="小区/大厦"/>
    <x:tableColumn id="3" name="类型判断"/>
    <x:tableColumn id="4" name="最佳地铁站"/>
    <x:tableColumn id="5" name="步行米"/>
    <x:tableColumn id="6" name="步行分钟"/>
    <x:tableColumn id="7" name="直线米(对照)"/>
    <x:tableColumn id="8" name="稳健均租"/>
    <x:tableColumn id="9" name="中位租金"/>
    <x:tableColumn id="10" name="P25"/>
    <x:tableColumn id="11" name="P75"/>
    <x:tableColumn id="12" name="有效库存"/>
    <x:tableColumn id="13" name="原始挂牌"/>
    <x:tableColumn id="14" name="异常/重复"/>
    <x:tableColumn id="15" name="样本置信"/>
    <x:tableColumn id="16" name="封闭管理"/>
    <x:tableColumn id="17" name="物业用途"/>
    <x:tableColumn id="18" name="安全基础分"/>
    <x:tableColumn id="19" name="舒适基础分"/>
    <x:tableColumn id="20" name="评价证据数"/>
    <x:tableColumn id="21" name="通勤分"/>
    <x:tableColumn id="22" name="价格分"/>
    <x:tableColumn id="23" name="库存分"/>
    <x:tableColumn id="24" name="总分"/>
    <x:tableColumn id="25" name="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RentalTable" displayName="RawRentalTable" ref="A4:R1072" headerRowCount="1" totalsRowCount="0" totalsRowShown="0">
  <x:autoFilter ref="A4:R1072"/>
  <x:tableColumns count="18">
    <x:tableColumn id="1" name="小区"/>
    <x:tableColumn id="2" name="挂牌名"/>
    <x:tableColumn id="3" name="地铁站"/>
    <x:tableColumn id="4" name="步行参考分钟"/>
    <x:tableColumn id="5" name="租金"/>
    <x:tableColumn id="6" name="面积㎡"/>
    <x:tableColumn id="7" name="元/㎡"/>
    <x:tableColumn id="8" name="户型"/>
    <x:tableColumn id="9" name="朝向"/>
    <x:tableColumn id="10" name="装修"/>
    <x:tableColumn id="11" name="物业类型"/>
    <x:tableColumn id="12" name="有效"/>
    <x:tableColumn id="13" name="清洗原因"/>
    <x:tableColumn id="14" name="疑似重复签名"/>
    <x:tableColumn id="15" name="图片数"/>
    <x:tableColumn id="16" name="有图判定"/>
    <x:tableColumn id="17" name="房源链接"/>
    <x:tableColumn id="18" name="抓取批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lkingRoutesTable" displayName="WalkingRoutesTable" ref="A4:G272" headerRowCount="1" totalsRowCount="0" totalsRowShown="0">
  <x:autoFilter ref="A4:G272"/>
  <x:tableColumns count="7">
    <x:tableColumn id="1" name="小区"/>
    <x:tableColumn id="2" name="候选站"/>
    <x:tableColumn id="3" name="步行米"/>
    <x:tableColumn id="4" name="步行分钟"/>
    <x:tableColumn id="5" name="是否最快"/>
    <x:tableColumn id="6" name="测量时间"/>
    <x:tableColumn id="7" name="高德POI地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unityProfileTable" displayName="CommunityProfileTable" ref="A4:Q120" headerRowCount="1" totalsRowCount="0" totalsRowShown="0">
  <x:autoFilter ref="A4:Q120"/>
  <x:tableColumns count="17">
    <x:tableColumn id="1" name="小区"/>
    <x:tableColumn id="2" name="接口匹配名"/>
    <x:tableColumn id="3" name="地址"/>
    <x:tableColumn id="4" name="建成年代"/>
    <x:tableColumn id="5" name="封闭管理"/>
    <x:tableColumn id="6" name="物业用途"/>
    <x:tableColumn id="7" name="开发商"/>
    <x:tableColumn id="8" name="物业公司"/>
    <x:tableColumn id="9" name="物业费"/>
    <x:tableColumn id="10" name="停车费"/>
    <x:tableColumn id="11" name="绿化率%"/>
    <x:tableColumn id="12" name="容积率"/>
    <x:tableColumn id="13" name="停车位"/>
    <x:tableColumn id="14" name="楼栋数"/>
    <x:tableColumn id="15" name="学校"/>
    <x:tableColumn id="16" name="小区详情链接"/>
    <x:tableColumn id="17" name="小区图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17" headerRowCount="1" totalsRowCount="0" totalsRowShown="0">
  <x:autoFilter ref="A4:I17"/>
  <x:tableColumns count="9">
    <x:tableColumn id="1" name="小区"/>
    <x:tableColumn id="2" name="来源"/>
    <x:tableColumn id="3" name="证据类型"/>
    <x:tableColumn id="4" name="摘要"/>
    <x:tableColumn id="5" name="倾向"/>
    <x:tableColumn id="6" name="可信度"/>
    <x:tableColumn id="7" name="链接"/>
    <x:tableColumn id="8" name="限制/备注"/>
    <x:tableColumn id="9" name="采集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XhsLeadTable" displayName="XhsLeadTable" ref="A4:J6" headerRowCount="1" totalsRowCount="0" totalsRowShown="0">
  <x:autoFilter ref="A4:J6"/>
  <x:tableColumns count="10">
    <x:tableColumn id="1" name="关联小区"/>
    <x:tableColumn id="2" name="帖子类型"/>
    <x:tableColumn id="3" name="发布时间"/>
    <x:tableColumn id="4" name="价格"/>
    <x:tableColumn id="5" name="点赞/收藏"/>
    <x:tableColumn id="6" name="真实性信号"/>
    <x:tableColumn id="7" name="风险信号"/>
    <x:tableColumn id="8" name="可信度"/>
    <x:tableColumn id="9" name="链接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lesTable" displayName="RulesTable" ref="A12:H18" headerRowCount="1" totalsRowCount="0" totalsRowShown="0">
  <x:autoFilter ref="A12:H18"/>
  <x:tableColumns count="8">
    <x:tableColumn id="1" name="规则编号"/>
    <x:tableColumn id="2" name="规则"/>
    <x:tableColumn id="3" name="触发条件"/>
    <x:tableColumn id="4" name="统计处理"/>
    <x:tableColumn id="5" name="为何这样做"/>
    <x:tableColumn id="6" name="误伤风险"/>
    <x:tableColumn id="7" name="审计位置"/>
    <x:tableColumn id="8" name="版本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4:F11" headerRowCount="1" totalsRowCount="0" totalsRowShown="0">
  <x:autoFilter ref="A4:F11"/>
  <x:tableColumns count="6">
    <x:tableColumn id="1" name="来源"/>
    <x:tableColumn id="2" name="用途"/>
    <x:tableColumn id="3" name="覆盖"/>
    <x:tableColumn id="4" name="时间"/>
    <x:tableColumn id="5" name="URL"/>
    <x:tableColumn id="6" name="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b2c3f234f94a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6e8408503642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1b0ed03a3a41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14ec1e389f4e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23c88d044941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5befa6630143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3267518d82d4c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49ed09bb2944b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" max="1" width="9" hidden="0" customWidth="1"/>
    <x:col min="2" max="2" width="20" hidden="0" customWidth="1"/>
    <x:col min="3" max="3" width="16" hidden="0" customWidth="1"/>
    <x:col min="4" max="4" width="10" hidden="0" customWidth="1"/>
    <x:col min="5" max="5" width="9" hidden="0" customWidth="1"/>
    <x:col min="6" max="6" width="10" hidden="0" customWidth="1"/>
    <x:col min="7" max="7" width="11" hidden="0" customWidth="1"/>
    <x:col min="12" max="12" width="10" hidden="0" customWidth="1"/>
    <x:col min="13" max="13" width="10" hidden="0" customWidth="1"/>
    <x:col min="14" max="14" width="11" hidden="0" customWidth="1"/>
    <x:col min="15" max="15" width="9" hidden="0" customWidth="1"/>
    <x:col min="16" max="16" width="11" hidden="0" customWidth="1"/>
    <x:col min="17" max="17" width="20" hidden="0" customWidth="1"/>
    <x:col min="18" max="18" width="11" hidden="0" customWidth="1"/>
    <x:col min="19" max="19" width="11" hidden="0" customWidth="1"/>
    <x:col min="20" max="20" width="10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13" hidden="0" customWidth="1"/>
    <x:col min="26" max="26" width="3" hidden="0" customWidth="1"/>
    <x:col min="27" max="27" width="12" hidden="0" customWidth="1"/>
    <x:col min="28" max="28" width="12" hidden="0" customWidth="1"/>
  </x:cols>
  <x:sheetData>
    <x:row r="1" ht="30" customHeight="1">
      <x:c r="A1" s="26" t="str">
        <x:v>罗湖通勤租房｜小区决策总表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48"/>
      <x:c r="AA1" s="49" t="str">
        <x:v>权重维度</x:v>
      </x:c>
      <x:c r="AB1" s="50" t="str">
        <x:v>每1分权重</x:v>
      </x:c>
    </x:row>
    <x:row r="2" ht="32" customHeight="1">
      <x:c r="A2" s="51" t="str">
        <x:v>范围：罗湖口岸4公里内、候选地铁站1公里内、整租一居/一室一厅、2400–5000元。最终总分由可编辑权重计算；先筛中位租金与步行，再看安全/评价证据。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48"/>
      <x:c r="AA2" s="52" t="str">
        <x:v>通勤</x:v>
      </x:c>
      <x:c r="AB2" s="53" t="n">
        <x:v>7</x:v>
      </x:c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  <x:c r="AA3" s="52" t="str">
        <x:v>安全</x:v>
      </x:c>
      <x:c r="AB3" s="53" t="n">
        <x:v>5</x:v>
      </x:c>
    </x:row>
    <x:row r="4">
      <x:c r="A4" s="54" t="str">
        <x:v>初选名次</x:v>
      </x:c>
      <x:c r="B4" s="54" t="str">
        <x:v>小区/大厦</x:v>
      </x:c>
      <x:c r="C4" s="54" t="str">
        <x:v>类型判断</x:v>
      </x:c>
      <x:c r="D4" s="54" t="str">
        <x:v>最佳地铁站</x:v>
      </x:c>
      <x:c r="E4" s="54" t="str">
        <x:v>步行米</x:v>
      </x:c>
      <x:c r="F4" s="54" t="str">
        <x:v>步行分钟</x:v>
      </x:c>
      <x:c r="G4" s="54" t="str">
        <x:v>直线米(对照)</x:v>
      </x:c>
      <x:c r="H4" s="54" t="str">
        <x:v>稳健均租</x:v>
      </x:c>
      <x:c r="I4" s="54" t="str">
        <x:v>中位租金</x:v>
      </x:c>
      <x:c r="J4" s="54" t="str">
        <x:v>P25</x:v>
      </x:c>
      <x:c r="K4" s="54" t="str">
        <x:v>P75</x:v>
      </x:c>
      <x:c r="L4" s="54" t="str">
        <x:v>有效库存</x:v>
      </x:c>
      <x:c r="M4" s="54" t="str">
        <x:v>原始挂牌</x:v>
      </x:c>
      <x:c r="N4" s="54" t="str">
        <x:v>异常/重复</x:v>
      </x:c>
      <x:c r="O4" s="54" t="str">
        <x:v>样本置信</x:v>
      </x:c>
      <x:c r="P4" s="54" t="str">
        <x:v>封闭管理</x:v>
      </x:c>
      <x:c r="Q4" s="54" t="str">
        <x:v>物业用途</x:v>
      </x:c>
      <x:c r="R4" s="54" t="str">
        <x:v>安全基础分</x:v>
      </x:c>
      <x:c r="S4" s="54" t="str">
        <x:v>舒适基础分</x:v>
      </x:c>
      <x:c r="T4" s="54" t="str">
        <x:v>评价证据数</x:v>
      </x:c>
      <x:c r="U4" s="54" t="str">
        <x:v>通勤分</x:v>
      </x:c>
      <x:c r="V4" s="54" t="str">
        <x:v>价格分</x:v>
      </x:c>
      <x:c r="W4" s="54" t="str">
        <x:v>库存分</x:v>
      </x:c>
      <x:c r="X4" s="54" t="str">
        <x:v>总分</x:v>
      </x:c>
      <x:c r="Y4" s="54" t="str">
        <x:v>建议</x:v>
      </x:c>
      <x:c r="Z4" s="48"/>
      <x:c r="AA4" s="52" t="str">
        <x:v>价格</x:v>
      </x:c>
      <x:c r="AB4" s="53" t="n">
        <x:v>5</x:v>
      </x:c>
    </x:row>
    <x:row r="5">
      <x:c r="A5" s="48" t="n">
        <x:v>1</x:v>
      </x:c>
      <x:c r="B5" s="48" t="str">
        <x:v>南海中心</x:v>
      </x:c>
      <x:c r="C5" s="48" t="str">
        <x:v>住宅小区倾向</x:v>
      </x:c>
      <x:c r="D5" s="48" t="str">
        <x:v>晒布</x:v>
      </x:c>
      <x:c r="E5" s="55" t="n">
        <x:v>207</x:v>
      </x:c>
      <x:c r="F5" s="56" t="n">
        <x:v>2.8</x:v>
      </x:c>
      <x:c r="G5" s="55" t="n">
        <x:v>152</x:v>
      </x:c>
      <x:c r="H5" s="57" t="n">
        <x:v>2635</x:v>
      </x:c>
      <x:c r="I5" s="57" t="n">
        <x:v>2580</x:v>
      </x:c>
      <x:c r="J5" s="57" t="n">
        <x:v>2480</x:v>
      </x:c>
      <x:c r="K5" s="57" t="n">
        <x:v>2880</x:v>
      </x:c>
      <x:c r="L5" s="48" t="n">
        <x:v>17</x:v>
      </x:c>
      <x:c r="M5" s="48" t="n">
        <x:v>17</x:v>
      </x:c>
      <x:c r="N5" s="48" t="n">
        <x:v>0</x:v>
      </x:c>
      <x:c r="O5" s="48" t="str">
        <x:v>高</x:v>
      </x:c>
      <x:c r="P5" s="48" t="str">
        <x:v>全开放式</x:v>
      </x:c>
      <x:c r="Q5" s="48" t="str">
        <x:v>住宅、商铺、车位</x:v>
      </x:c>
      <x:c r="R5" s="56" t="n">
        <x:v>2.8</x:v>
      </x:c>
      <x:c r="S5" s="56" t="n">
        <x:v>4</x:v>
      </x:c>
      <x:c r="T5" s="56" t="n">
        <x:v>1</x:v>
      </x:c>
      <x:c r="U5" s="56" t="n">
        <x:f>MAX(0,5-F5/5)</x:f>
        <x:v>4.44</x:v>
      </x:c>
      <x:c r="V5" s="56" t="n">
        <x:f>MAX(0,MIN(5,(5000-I5)/520))</x:f>
        <x:v>4.653846153846154</x:v>
      </x:c>
      <x:c r="W5" s="56" t="n">
        <x:f>MIN(5,LOG(L5+1,2))</x:f>
        <x:v>4.169925001442312</x:v>
      </x:c>
      <x:c r="X5" s="56" t="n">
        <x:f>ROUND(U5*$AB$2+R5*$AB$3+V5*$AB$4+W5*$AB$5+S5*$AB$6,1)</x:f>
        <x:v>84.9</x:v>
      </x:c>
      <x:c r="Y5" s="48" t="str">
        <x:f>IF(AND(F5&lt;=8,I5&lt;=3800,R5&gt;=3.5,L5&gt;=6),"优先看房",IF(AND(F5&lt;=12,I5&lt;=4500,R5&gt;=3),"可进入备选","谨慎/低优先"))</x:f>
        <x:v>谨慎/低优先</x:v>
      </x:c>
      <x:c r="Z5" s="48"/>
      <x:c r="AA5" s="52" t="str">
        <x:v>库存</x:v>
      </x:c>
      <x:c r="AB5" s="53" t="n">
        <x:v>3</x:v>
      </x:c>
    </x:row>
    <x:row r="6">
      <x:c r="A6" s="48" t="n">
        <x:v>2</x:v>
      </x:c>
      <x:c r="B6" s="48" t="str">
        <x:v>南华大厦</x:v>
      </x:c>
      <x:c r="C6" s="48" t="str">
        <x:v>住宅小区倾向</x:v>
      </x:c>
      <x:c r="D6" s="48" t="str">
        <x:v>湖贝</x:v>
      </x:c>
      <x:c r="E6" s="55" t="n">
        <x:v>247</x:v>
      </x:c>
      <x:c r="F6" s="56" t="n">
        <x:v>3.3</x:v>
      </x:c>
      <x:c r="G6" s="55" t="n">
        <x:v>183</x:v>
      </x:c>
      <x:c r="H6" s="57" t="n">
        <x:v>3191</x:v>
      </x:c>
      <x:c r="I6" s="57" t="n">
        <x:v>3230</x:v>
      </x:c>
      <x:c r="J6" s="57" t="n">
        <x:v>2950</x:v>
      </x:c>
      <x:c r="K6" s="57" t="n">
        <x:v>3480</x:v>
      </x:c>
      <x:c r="L6" s="48" t="n">
        <x:v>16</x:v>
      </x:c>
      <x:c r="M6" s="48" t="n">
        <x:v>16</x:v>
      </x:c>
      <x:c r="N6" s="48" t="n">
        <x:v>0</x:v>
      </x:c>
      <x:c r="O6" s="48" t="str">
        <x:v>高</x:v>
      </x:c>
      <x:c r="P6" s="48" t="str">
        <x:v>待核</x:v>
      </x:c>
      <x:c r="Q6" s="48" t="str">
        <x:v>住宅</x:v>
      </x:c>
      <x:c r="R6" s="56" t="n">
        <x:v>3.8</x:v>
      </x:c>
      <x:c r="S6" s="56" t="n">
        <x:v>2.9</x:v>
      </x:c>
      <x:c r="T6" s="56" t="n">
        <x:v>1</x:v>
      </x:c>
      <x:c r="U6" s="56" t="n">
        <x:f>MAX(0,5-F6/5)</x:f>
        <x:v>4.34</x:v>
      </x:c>
      <x:c r="V6" s="56" t="n">
        <x:f>MAX(0,MIN(5,(5000-I6)/520))</x:f>
        <x:v>3.4038461538461537</x:v>
      </x:c>
      <x:c r="W6" s="56" t="n">
        <x:f>MIN(5,LOG(L6+1,2))</x:f>
        <x:v>4.08746284125034</x:v>
      </x:c>
      <x:c r="X6" s="56" t="n">
        <x:f>ROUND(U6*$AB$2+R6*$AB$3+V6*$AB$4+W6*$AB$5+S6*$AB$6,1)</x:f>
        <x:v>81.6</x:v>
      </x:c>
      <x:c r="Y6" s="48" t="str">
        <x:f>IF(AND(F6&lt;=8,I6&lt;=3800,R6&gt;=3.5,L6&gt;=6),"优先看房",IF(AND(F6&lt;=12,I6&lt;=4500,R6&gt;=3),"可进入备选","谨慎/低优先"))</x:f>
        <x:v>优先看房</x:v>
      </x:c>
      <x:c r="Z6" s="48"/>
      <x:c r="AA6" s="58" t="str">
        <x:v>舒适</x:v>
      </x:c>
      <x:c r="AB6" s="59" t="n">
        <x:v>1</x:v>
      </x:c>
    </x:row>
    <x:row r="7">
      <x:c r="A7" s="48" t="n">
        <x:v>3</x:v>
      </x:c>
      <x:c r="B7" s="48" t="str">
        <x:v>华隆园</x:v>
      </x:c>
      <x:c r="C7" s="48" t="str">
        <x:v>住宅小区倾向</x:v>
      </x:c>
      <x:c r="D7" s="48" t="str">
        <x:v>晒布</x:v>
      </x:c>
      <x:c r="E7" s="55" t="n">
        <x:v>668</x:v>
      </x:c>
      <x:c r="F7" s="56" t="n">
        <x:v>8.9</x:v>
      </x:c>
      <x:c r="G7" s="55" t="n">
        <x:v>454</x:v>
      </x:c>
      <x:c r="H7" s="57" t="n">
        <x:v>3032</x:v>
      </x:c>
      <x:c r="I7" s="57" t="n">
        <x:v>2800</x:v>
      </x:c>
      <x:c r="J7" s="57" t="n">
        <x:v>2500</x:v>
      </x:c>
      <x:c r="K7" s="57" t="n">
        <x:v>3600</x:v>
      </x:c>
      <x:c r="L7" s="48" t="n">
        <x:v>26</x:v>
      </x:c>
      <x:c r="M7" s="48" t="n">
        <x:v>36</x:v>
      </x:c>
      <x:c r="N7" s="48" t="n">
        <x:v>10</x:v>
      </x:c>
      <x:c r="O7" s="48" t="str">
        <x:v>高</x:v>
      </x:c>
      <x:c r="P7" s="48" t="str">
        <x:v>全开放式</x:v>
      </x:c>
      <x:c r="Q7" s="48" t="str">
        <x:v>住宅、商铺</x:v>
      </x:c>
      <x:c r="R7" s="56" t="n">
        <x:v>2.8</x:v>
      </x:c>
      <x:c r="S7" s="56" t="n">
        <x:v>3.7</x:v>
      </x:c>
      <x:c r="T7" s="56" t="n">
        <x:v>1</x:v>
      </x:c>
      <x:c r="U7" s="56" t="n">
        <x:f>MAX(0,5-F7/5)</x:f>
        <x:v>3.2199999999999998</x:v>
      </x:c>
      <x:c r="V7" s="56" t="n">
        <x:f>MAX(0,MIN(5,(5000-I7)/520))</x:f>
        <x:v>4.230769230769231</x:v>
      </x:c>
      <x:c r="W7" s="56" t="n">
        <x:f>MIN(5,LOG(L7+1,2))</x:f>
        <x:v>4.754887502163469</x:v>
      </x:c>
      <x:c r="X7" s="56" t="n">
        <x:f>ROUND(U7*$AB$2+R7*$AB$3+V7*$AB$4+W7*$AB$5+S7*$AB$6,1)</x:f>
        <x:v>75.7</x:v>
      </x:c>
      <x:c r="Y7" s="48" t="str">
        <x:f>IF(AND(F7&lt;=8,I7&lt;=3800,R7&gt;=3.5,L7&gt;=6),"优先看房",IF(AND(F7&lt;=12,I7&lt;=4500,R7&gt;=3),"可进入备选","谨慎/低优先"))</x:f>
        <x:v>谨慎/低优先</x:v>
      </x:c>
      <x:c r="Z7" s="48"/>
      <x:c r="AA7" s="48"/>
      <x:c r="AB7" s="48"/>
    </x:row>
    <x:row r="8">
      <x:c r="A8" s="48" t="n">
        <x:v>4</x:v>
      </x:c>
      <x:c r="B8" s="48" t="str">
        <x:v>友谊大厦</x:v>
      </x:c>
      <x:c r="C8" s="48" t="str">
        <x:v>住宅小区倾向</x:v>
      </x:c>
      <x:c r="D8" s="48" t="str">
        <x:v>国贸</x:v>
      </x:c>
      <x:c r="E8" s="55" t="n">
        <x:v>427</x:v>
      </x:c>
      <x:c r="F8" s="56" t="n">
        <x:v>5.7</x:v>
      </x:c>
      <x:c r="G8" s="55" t="n">
        <x:v>227</x:v>
      </x:c>
      <x:c r="H8" s="57" t="n">
        <x:v>2687</x:v>
      </x:c>
      <x:c r="I8" s="57" t="n">
        <x:v>2580</x:v>
      </x:c>
      <x:c r="J8" s="57" t="n">
        <x:v>2530</x:v>
      </x:c>
      <x:c r="K8" s="57" t="n">
        <x:v>2790</x:v>
      </x:c>
      <x:c r="L8" s="48" t="n">
        <x:v>3</x:v>
      </x:c>
      <x:c r="M8" s="48" t="n">
        <x:v>4</x:v>
      </x:c>
      <x:c r="N8" s="48" t="n">
        <x:v>1</x:v>
      </x:c>
      <x:c r="O8" s="48" t="str">
        <x:v>低</x:v>
      </x:c>
      <x:c r="P8" s="48" t="str">
        <x:v>半开放式</x:v>
      </x:c>
      <x:c r="Q8" s="48" t="str">
        <x:v>住宅、写字楼、商铺、车位</x:v>
      </x:c>
      <x:c r="R8" s="56" t="n">
        <x:v>3</x:v>
      </x:c>
      <x:c r="S8" s="56" t="n">
        <x:v>4.3</x:v>
      </x:c>
      <x:c r="T8" s="56" t="n">
        <x:v>0</x:v>
      </x:c>
      <x:c r="U8" s="56" t="n">
        <x:f>MAX(0,5-F8/5)</x:f>
        <x:v>3.86</x:v>
      </x:c>
      <x:c r="V8" s="56" t="n">
        <x:f>MAX(0,MIN(5,(5000-I8)/520))</x:f>
        <x:v>4.653846153846154</x:v>
      </x:c>
      <x:c r="W8" s="56" t="n">
        <x:f>MIN(5,LOG(L8+1,2))</x:f>
        <x:v>2</x:v>
      </x:c>
      <x:c r="X8" s="56" t="n">
        <x:f>ROUND(U8*$AB$2+R8*$AB$3+V8*$AB$4+W8*$AB$5+S8*$AB$6,1)</x:f>
        <x:v>75.6</x:v>
      </x:c>
      <x:c r="Y8" s="48" t="str">
        <x:f>IF(AND(F8&lt;=8,I8&lt;=3800,R8&gt;=3.5,L8&gt;=6),"优先看房",IF(AND(F8&lt;=12,I8&lt;=4500,R8&gt;=3),"可进入备选","谨慎/低优先"))</x:f>
        <x:v>可进入备选</x:v>
      </x:c>
      <x:c r="Z8" s="48"/>
      <x:c r="AA8" s="48"/>
      <x:c r="AB8" s="48"/>
    </x:row>
    <x:row r="9">
      <x:c r="A9" s="48" t="n">
        <x:v>5</x:v>
      </x:c>
      <x:c r="B9" s="48" t="str">
        <x:v>能源宿舍</x:v>
      </x:c>
      <x:c r="C9" s="48" t="str">
        <x:v>住宅小区倾向</x:v>
      </x:c>
      <x:c r="D9" s="48" t="str">
        <x:v>红岭</x:v>
      </x:c>
      <x:c r="E9" s="55" t="n">
        <x:v>310</x:v>
      </x:c>
      <x:c r="F9" s="56" t="n">
        <x:v>4.1</x:v>
      </x:c>
      <x:c r="G9" s="55" t="n">
        <x:v>244</x:v>
      </x:c>
      <x:c r="H9" s="57" t="n">
        <x:v>2930</x:v>
      </x:c>
      <x:c r="I9" s="57" t="n">
        <x:v>2920</x:v>
      </x:c>
      <x:c r="J9" s="57" t="n">
        <x:v>2815</x:v>
      </x:c>
      <x:c r="K9" s="57" t="n">
        <x:v>3035</x:v>
      </x:c>
      <x:c r="L9" s="48" t="n">
        <x:v>4</x:v>
      </x:c>
      <x:c r="M9" s="48" t="n">
        <x:v>4</x:v>
      </x:c>
      <x:c r="N9" s="48" t="n">
        <x:v>0</x:v>
      </x:c>
      <x:c r="O9" s="48" t="str">
        <x:v>低</x:v>
      </x:c>
      <x:c r="P9" s="48" t="str">
        <x:v>待核</x:v>
      </x:c>
      <x:c r="Q9" s="48" t="str">
        <x:v>住宅</x:v>
      </x:c>
      <x:c r="R9" s="56" t="n">
        <x:v>3.8</x:v>
      </x:c>
      <x:c r="S9" s="56" t="n">
        <x:v>2.9</x:v>
      </x:c>
      <x:c r="T9" s="56" t="n">
        <x:v>0</x:v>
      </x:c>
      <x:c r="U9" s="56" t="n">
        <x:f>MAX(0,5-F9/5)</x:f>
        <x:v>4.18</x:v>
      </x:c>
      <x:c r="V9" s="56" t="n">
        <x:f>MAX(0,MIN(5,(5000-I9)/520))</x:f>
        <x:v>4</x:v>
      </x:c>
      <x:c r="W9" s="56" t="n">
        <x:f>MIN(5,LOG(L9+1,2))</x:f>
        <x:v>2.321928094887362</x:v>
      </x:c>
      <x:c r="X9" s="56" t="n">
        <x:f>ROUND(U9*$AB$2+R9*$AB$3+V9*$AB$4+W9*$AB$5+S9*$AB$6,1)</x:f>
        <x:v>78.1</x:v>
      </x:c>
      <x:c r="Y9" s="48" t="str">
        <x:f>IF(AND(F9&lt;=8,I9&lt;=3800,R9&gt;=3.5,L9&gt;=6),"优先看房",IF(AND(F9&lt;=12,I9&lt;=4500,R9&gt;=3),"可进入备选","谨慎/低优先"))</x:f>
        <x:v>可进入备选</x:v>
      </x:c>
      <x:c r="Z9" s="48"/>
      <x:c r="AA9" s="48"/>
      <x:c r="AB9" s="48"/>
    </x:row>
    <x:row r="10">
      <x:c r="A10" s="48" t="n">
        <x:v>6</x:v>
      </x:c>
      <x:c r="B10" s="48" t="str">
        <x:v>红桂二街2号大院</x:v>
      </x:c>
      <x:c r="C10" s="48" t="str">
        <x:v>住宅小区倾向</x:v>
      </x:c>
      <x:c r="D10" s="48" t="str">
        <x:v>红岭</x:v>
      </x:c>
      <x:c r="E10" s="55" t="n">
        <x:v>412</x:v>
      </x:c>
      <x:c r="F10" s="56" t="n">
        <x:v>5.5</x:v>
      </x:c>
      <x:c r="G10" s="55" t="n">
        <x:v>288</x:v>
      </x:c>
      <x:c r="H10" s="57" t="n">
        <x:v>2500</x:v>
      </x:c>
      <x:c r="I10" s="57" t="n">
        <x:v>2500</x:v>
      </x:c>
      <x:c r="J10" s="57" t="n">
        <x:v>2500</x:v>
      </x:c>
      <x:c r="K10" s="57" t="n">
        <x:v>2500</x:v>
      </x:c>
      <x:c r="L10" s="48" t="n">
        <x:v>2</x:v>
      </x:c>
      <x:c r="M10" s="48" t="n">
        <x:v>2</x:v>
      </x:c>
      <x:c r="N10" s="48" t="n">
        <x:v>0</x:v>
      </x:c>
      <x:c r="O10" s="48" t="str">
        <x:v>低</x:v>
      </x:c>
      <x:c r="P10" s="48" t="str">
        <x:v>待核</x:v>
      </x:c>
      <x:c r="Q10" s="48" t="str">
        <x:v>住宅</x:v>
      </x:c>
      <x:c r="R10" s="56" t="n">
        <x:v>3.8</x:v>
      </x:c>
      <x:c r="S10" s="56" t="n">
        <x:v>2.9</x:v>
      </x:c>
      <x:c r="T10" s="56" t="n">
        <x:v>0</x:v>
      </x:c>
      <x:c r="U10" s="56" t="n">
        <x:f>MAX(0,5-F10/5)</x:f>
        <x:v>3.9</x:v>
      </x:c>
      <x:c r="V10" s="56" t="n">
        <x:f>MAX(0,MIN(5,(5000-I10)/520))</x:f>
        <x:v>4.8076923076923075</x:v>
      </x:c>
      <x:c r="W10" s="56" t="n">
        <x:f>MIN(5,LOG(L10+1,2))</x:f>
        <x:v>1.584962500721156</x:v>
      </x:c>
      <x:c r="X10" s="56" t="n">
        <x:f>ROUND(U10*$AB$2+R10*$AB$3+V10*$AB$4+W10*$AB$5+S10*$AB$6,1)</x:f>
        <x:v>78</x:v>
      </x:c>
      <x:c r="Y10" s="48" t="str">
        <x:f>IF(AND(F10&lt;=8,I10&lt;=3800,R10&gt;=3.5,L10&gt;=6),"优先看房",IF(AND(F10&lt;=12,I10&lt;=4500,R10&gt;=3),"可进入备选","谨慎/低优先"))</x:f>
        <x:v>可进入备选</x:v>
      </x:c>
      <x:c r="Z10" s="48"/>
      <x:c r="AA10" s="48"/>
      <x:c r="AB10" s="48"/>
    </x:row>
    <x:row r="11">
      <x:c r="A11" s="48" t="n">
        <x:v>7</x:v>
      </x:c>
      <x:c r="B11" s="48" t="str">
        <x:v>园岭新村一区</x:v>
      </x:c>
      <x:c r="C11" s="48" t="str">
        <x:v>住宅小区倾向</x:v>
      </x:c>
      <x:c r="D11" s="48" t="str">
        <x:v>红岭</x:v>
      </x:c>
      <x:c r="E11" s="55" t="n">
        <x:v>334</x:v>
      </x:c>
      <x:c r="F11" s="56" t="n">
        <x:v>4.5</x:v>
      </x:c>
      <x:c r="G11" s="55" t="n">
        <x:v>233</x:v>
      </x:c>
      <x:c r="H11" s="57" t="n">
        <x:v>3375</x:v>
      </x:c>
      <x:c r="I11" s="57" t="n">
        <x:v>3250</x:v>
      </x:c>
      <x:c r="J11" s="57" t="n">
        <x:v>2750</x:v>
      </x:c>
      <x:c r="K11" s="57" t="n">
        <x:v>3825</x:v>
      </x:c>
      <x:c r="L11" s="48" t="n">
        <x:v>8</x:v>
      </x:c>
      <x:c r="M11" s="48" t="n">
        <x:v>8</x:v>
      </x:c>
      <x:c r="N11" s="48" t="n">
        <x:v>0</x:v>
      </x:c>
      <x:c r="O11" s="48" t="str">
        <x:v>中</x:v>
      </x:c>
      <x:c r="P11" s="48" t="str">
        <x:v>待核</x:v>
      </x:c>
      <x:c r="Q11" s="48" t="str">
        <x:v>待核</x:v>
      </x:c>
      <x:c r="R11" s="56" t="n">
        <x:v>2.8</x:v>
      </x:c>
      <x:c r="S11" s="56" t="n">
        <x:v>2.9</x:v>
      </x:c>
      <x:c r="T11" s="56" t="n">
        <x:v>2</x:v>
      </x:c>
      <x:c r="U11" s="56" t="n">
        <x:f>MAX(0,5-F11/5)</x:f>
        <x:v>4.1</x:v>
      </x:c>
      <x:c r="V11" s="56" t="n">
        <x:f>MAX(0,MIN(5,(5000-I11)/520))</x:f>
        <x:v>3.3653846153846154</x:v>
      </x:c>
      <x:c r="W11" s="56" t="n">
        <x:f>MIN(5,LOG(L11+1,2))</x:f>
        <x:v>3.1699250014423126</x:v>
      </x:c>
      <x:c r="X11" s="56" t="n">
        <x:f>ROUND(U11*$AB$2+R11*$AB$3+V11*$AB$4+W11*$AB$5+S11*$AB$6,1)</x:f>
        <x:v>71.9</x:v>
      </x:c>
      <x:c r="Y11" s="48" t="str">
        <x:f>IF(AND(F11&lt;=8,I11&lt;=3800,R11&gt;=3.5,L11&gt;=6),"优先看房",IF(AND(F11&lt;=12,I11&lt;=4500,R11&gt;=3),"可进入备选","谨慎/低优先"))</x:f>
        <x:v>谨慎/低优先</x:v>
      </x:c>
      <x:c r="Z11" s="48"/>
      <x:c r="AA11" s="48"/>
      <x:c r="AB11" s="48"/>
    </x:row>
    <x:row r="12">
      <x:c r="A12" s="48" t="n">
        <x:v>8</x:v>
      </x:c>
      <x:c r="B12" s="48" t="str">
        <x:v>松园小区</x:v>
      </x:c>
      <x:c r="C12" s="48" t="str">
        <x:v>住宅小区倾向</x:v>
      </x:c>
      <x:c r="D12" s="48" t="str">
        <x:v>红岭</x:v>
      </x:c>
      <x:c r="E12" s="55" t="n">
        <x:v>496</x:v>
      </x:c>
      <x:c r="F12" s="56" t="n">
        <x:v>6.6</x:v>
      </x:c>
      <x:c r="G12" s="55" t="n">
        <x:v>380</x:v>
      </x:c>
      <x:c r="H12" s="57" t="n">
        <x:v>2587</x:v>
      </x:c>
      <x:c r="I12" s="57" t="n">
        <x:v>2580</x:v>
      </x:c>
      <x:c r="J12" s="57" t="n">
        <x:v>2490</x:v>
      </x:c>
      <x:c r="K12" s="57" t="n">
        <x:v>2680</x:v>
      </x:c>
      <x:c r="L12" s="48" t="n">
        <x:v>3</x:v>
      </x:c>
      <x:c r="M12" s="48" t="n">
        <x:v>3</x:v>
      </x:c>
      <x:c r="N12" s="48" t="n">
        <x:v>0</x:v>
      </x:c>
      <x:c r="O12" s="48" t="str">
        <x:v>低</x:v>
      </x:c>
      <x:c r="P12" s="48" t="str">
        <x:v>待核</x:v>
      </x:c>
      <x:c r="Q12" s="48" t="str">
        <x:v>住宅</x:v>
      </x:c>
      <x:c r="R12" s="56" t="n">
        <x:v>3.8</x:v>
      </x:c>
      <x:c r="S12" s="56" t="n">
        <x:v>2.7</x:v>
      </x:c>
      <x:c r="T12" s="56" t="n">
        <x:v>0</x:v>
      </x:c>
      <x:c r="U12" s="56" t="n">
        <x:f>MAX(0,5-F12/5)</x:f>
        <x:v>3.68</x:v>
      </x:c>
      <x:c r="V12" s="56" t="n">
        <x:f>MAX(0,MIN(5,(5000-I12)/520))</x:f>
        <x:v>4.653846153846154</x:v>
      </x:c>
      <x:c r="W12" s="56" t="n">
        <x:f>MIN(5,LOG(L12+1,2))</x:f>
        <x:v>2</x:v>
      </x:c>
      <x:c r="X12" s="56" t="n">
        <x:f>ROUND(U12*$AB$2+R12*$AB$3+V12*$AB$4+W12*$AB$5+S12*$AB$6,1)</x:f>
        <x:v>76.7</x:v>
      </x:c>
      <x:c r="Y12" s="48" t="str">
        <x:f>IF(AND(F12&lt;=8,I12&lt;=3800,R12&gt;=3.5,L12&gt;=6),"优先看房",IF(AND(F12&lt;=12,I12&lt;=4500,R12&gt;=3),"可进入备选","谨慎/低优先"))</x:f>
        <x:v>可进入备选</x:v>
      </x:c>
      <x:c r="Z12" s="48"/>
      <x:c r="AA12" s="48"/>
      <x:c r="AB12" s="48"/>
    </x:row>
    <x:row r="13">
      <x:c r="A13" s="48" t="n">
        <x:v>9</x:v>
      </x:c>
      <x:c r="B13" s="48" t="str">
        <x:v>红桂皇冠名庭</x:v>
      </x:c>
      <x:c r="C13" s="48" t="str">
        <x:v>住宅小区倾向</x:v>
      </x:c>
      <x:c r="D13" s="48" t="str">
        <x:v>红岭</x:v>
      </x:c>
      <x:c r="E13" s="55" t="n">
        <x:v>566</x:v>
      </x:c>
      <x:c r="F13" s="56" t="n">
        <x:v>7.5</x:v>
      </x:c>
      <x:c r="G13" s="55" t="n">
        <x:v>492</x:v>
      </x:c>
      <x:c r="H13" s="57" t="n">
        <x:v>3455</x:v>
      </x:c>
      <x:c r="I13" s="57" t="n">
        <x:v>3300</x:v>
      </x:c>
      <x:c r="J13" s="57" t="n">
        <x:v>3175</x:v>
      </x:c>
      <x:c r="K13" s="57" t="n">
        <x:v>3900</x:v>
      </x:c>
      <x:c r="L13" s="48" t="n">
        <x:v>24</x:v>
      </x:c>
      <x:c r="M13" s="48" t="n">
        <x:v>33</x:v>
      </x:c>
      <x:c r="N13" s="48" t="n">
        <x:v>9</x:v>
      </x:c>
      <x:c r="O13" s="48" t="str">
        <x:v>高</x:v>
      </x:c>
      <x:c r="P13" s="48" t="str">
        <x:v>半开放式</x:v>
      </x:c>
      <x:c r="Q13" s="48" t="str">
        <x:v>住宅、写字楼、商铺</x:v>
      </x:c>
      <x:c r="R13" s="56" t="n">
        <x:v>3</x:v>
      </x:c>
      <x:c r="S13" s="56" t="n">
        <x:v>4.2</x:v>
      </x:c>
      <x:c r="T13" s="56" t="n">
        <x:v>3</x:v>
      </x:c>
      <x:c r="U13" s="56" t="n">
        <x:f>MAX(0,5-F13/5)</x:f>
        <x:v>3.5</x:v>
      </x:c>
      <x:c r="V13" s="56" t="n">
        <x:f>MAX(0,MIN(5,(5000-I13)/520))</x:f>
        <x:v>3.269230769230769</x:v>
      </x:c>
      <x:c r="W13" s="56" t="n">
        <x:f>MIN(5,LOG(L13+1,2))</x:f>
        <x:v>4.643856189774724</x:v>
      </x:c>
      <x:c r="X13" s="56" t="n">
        <x:f>ROUND(U13*$AB$2+R13*$AB$3+V13*$AB$4+W13*$AB$5+S13*$AB$6,1)</x:f>
        <x:v>74</x:v>
      </x:c>
      <x:c r="Y13" s="48" t="str">
        <x:f>IF(AND(F13&lt;=8,I13&lt;=3800,R13&gt;=3.5,L13&gt;=6),"优先看房",IF(AND(F13&lt;=12,I13&lt;=4500,R13&gt;=3),"可进入备选","谨慎/低优先"))</x:f>
        <x:v>可进入备选</x:v>
      </x:c>
      <x:c r="Z13" s="48"/>
      <x:c r="AA13" s="48"/>
      <x:c r="AB13" s="48"/>
    </x:row>
    <x:row r="14">
      <x:c r="A14" s="48" t="n">
        <x:v>10</x:v>
      </x:c>
      <x:c r="B14" s="48" t="str">
        <x:v>一品东门雅园</x:v>
      </x:c>
      <x:c r="C14" s="48" t="str">
        <x:v>住宅小区倾向</x:v>
      </x:c>
      <x:c r="D14" s="48" t="str">
        <x:v>晒布</x:v>
      </x:c>
      <x:c r="E14" s="55" t="n">
        <x:v>832</x:v>
      </x:c>
      <x:c r="F14" s="56" t="n">
        <x:v>11.1</x:v>
      </x:c>
      <x:c r="G14" s="55" t="n">
        <x:v>521</x:v>
      </x:c>
      <x:c r="H14" s="57" t="n">
        <x:v>2450</x:v>
      </x:c>
      <x:c r="I14" s="57" t="n">
        <x:v>2450</x:v>
      </x:c>
      <x:c r="J14" s="57" t="n">
        <x:v>2400</x:v>
      </x:c>
      <x:c r="K14" s="57" t="n">
        <x:v>2500</x:v>
      </x:c>
      <x:c r="L14" s="48" t="n">
        <x:v>10</x:v>
      </x:c>
      <x:c r="M14" s="48" t="n">
        <x:v>13</x:v>
      </x:c>
      <x:c r="N14" s="48" t="n">
        <x:v>3</x:v>
      </x:c>
      <x:c r="O14" s="48" t="str">
        <x:v>中</x:v>
      </x:c>
      <x:c r="P14" s="48" t="str">
        <x:v>半开放式</x:v>
      </x:c>
      <x:c r="Q14" s="48" t="str">
        <x:v>住宅、商铺</x:v>
      </x:c>
      <x:c r="R14" s="56" t="n">
        <x:v>3.4</x:v>
      </x:c>
      <x:c r="S14" s="56" t="n">
        <x:v>4</x:v>
      </x:c>
      <x:c r="T14" s="56" t="n">
        <x:v>0</x:v>
      </x:c>
      <x:c r="U14" s="56" t="n">
        <x:f>MAX(0,5-F14/5)</x:f>
        <x:v>2.7800000000000002</x:v>
      </x:c>
      <x:c r="V14" s="56" t="n">
        <x:f>MAX(0,MIN(5,(5000-I14)/520))</x:f>
        <x:v>4.903846153846154</x:v>
      </x:c>
      <x:c r="W14" s="56" t="n">
        <x:f>MIN(5,LOG(L14+1,2))</x:f>
        <x:v>3.4594316186372978</x:v>
      </x:c>
      <x:c r="X14" s="56" t="n">
        <x:f>ROUND(U14*$AB$2+R14*$AB$3+V14*$AB$4+W14*$AB$5+S14*$AB$6,1)</x:f>
        <x:v>75.4</x:v>
      </x:c>
      <x:c r="Y14" s="48" t="str">
        <x:f>IF(AND(F14&lt;=8,I14&lt;=3800,R14&gt;=3.5,L14&gt;=6),"优先看房",IF(AND(F14&lt;=12,I14&lt;=4500,R14&gt;=3),"可进入备选","谨慎/低优先"))</x:f>
        <x:v>可进入备选</x:v>
      </x:c>
      <x:c r="Z14" s="48"/>
      <x:c r="AA14" s="48"/>
      <x:c r="AB14" s="48"/>
    </x:row>
    <x:row r="15">
      <x:c r="A15" s="48" t="n">
        <x:v>11</x:v>
      </x:c>
      <x:c r="B15" s="48" t="str">
        <x:v>立新花园(人民北路)</x:v>
      </x:c>
      <x:c r="C15" s="48" t="str">
        <x:v>住宅小区倾向</x:v>
      </x:c>
      <x:c r="D15" s="48" t="str">
        <x:v>晒布</x:v>
      </x:c>
      <x:c r="E15" s="55" t="n">
        <x:v>289</x:v>
      </x:c>
      <x:c r="F15" s="56" t="n">
        <x:v>3.9</x:v>
      </x:c>
      <x:c r="G15" s="55" t="n">
        <x:v>213</x:v>
      </x:c>
      <x:c r="H15" s="57" t="n">
        <x:v>2780</x:v>
      </x:c>
      <x:c r="I15" s="57" t="n">
        <x:v>2780</x:v>
      </x:c>
      <x:c r="J15" s="57" t="n">
        <x:v>2780</x:v>
      </x:c>
      <x:c r="K15" s="57" t="n">
        <x:v>2780</x:v>
      </x:c>
      <x:c r="L15" s="48" t="n">
        <x:v>1</x:v>
      </x:c>
      <x:c r="M15" s="48" t="n">
        <x:v>1</x:v>
      </x:c>
      <x:c r="N15" s="48" t="n">
        <x:v>0</x:v>
      </x:c>
      <x:c r="O15" s="48" t="str">
        <x:v>低</x:v>
      </x:c>
      <x:c r="P15" s="48" t="str">
        <x:v>待核</x:v>
      </x:c>
      <x:c r="Q15" s="48" t="str">
        <x:v>待核</x:v>
      </x:c>
      <x:c r="R15" s="56" t="n">
        <x:v>2.8</x:v>
      </x:c>
      <x:c r="S15" s="56" t="n">
        <x:v>2.9</x:v>
      </x:c>
      <x:c r="T15" s="56" t="n">
        <x:v>0</x:v>
      </x:c>
      <x:c r="U15" s="56" t="n">
        <x:f>MAX(0,5-F15/5)</x:f>
        <x:v>4.22</x:v>
      </x:c>
      <x:c r="V15" s="56" t="n">
        <x:f>MAX(0,MIN(5,(5000-I15)/520))</x:f>
        <x:v>4.269230769230769</x:v>
      </x:c>
      <x:c r="W15" s="56" t="n">
        <x:f>MIN(5,LOG(L15+1,2))</x:f>
        <x:v>1</x:v>
      </x:c>
      <x:c r="X15" s="56" t="n">
        <x:f>ROUND(U15*$AB$2+R15*$AB$3+V15*$AB$4+W15*$AB$5+S15*$AB$6,1)</x:f>
        <x:v>70.8</x:v>
      </x:c>
      <x:c r="Y15" s="48" t="str">
        <x:f>IF(AND(F15&lt;=8,I15&lt;=3800,R15&gt;=3.5,L15&gt;=6),"优先看房",IF(AND(F15&lt;=12,I15&lt;=4500,R15&gt;=3),"可进入备选","谨慎/低优先"))</x:f>
        <x:v>谨慎/低优先</x:v>
      </x:c>
      <x:c r="Z15" s="48"/>
      <x:c r="AA15" s="48"/>
      <x:c r="AB15" s="48"/>
    </x:row>
    <x:row r="16">
      <x:c r="A16" s="48" t="n">
        <x:v>12</x:v>
      </x:c>
      <x:c r="B16" s="48" t="str">
        <x:v>集浩大厦</x:v>
      </x:c>
      <x:c r="C16" s="48" t="str">
        <x:v>住宅小区倾向</x:v>
      </x:c>
      <x:c r="D16" s="48" t="str">
        <x:v>黄贝岭</x:v>
      </x:c>
      <x:c r="E16" s="55" t="n">
        <x:v>144</x:v>
      </x:c>
      <x:c r="F16" s="56" t="n">
        <x:v>1.9</x:v>
      </x:c>
      <x:c r="G16" s="55" t="n">
        <x:v>99</x:v>
      </x:c>
      <x:c r="H16" s="57" t="n">
        <x:v>3533</x:v>
      </x:c>
      <x:c r="I16" s="57" t="n">
        <x:v>3500</x:v>
      </x:c>
      <x:c r="J16" s="57" t="n">
        <x:v>3500</x:v>
      </x:c>
      <x:c r="K16" s="57" t="n">
        <x:v>3550</x:v>
      </x:c>
      <x:c r="L16" s="48" t="n">
        <x:v>3</x:v>
      </x:c>
      <x:c r="M16" s="48" t="n">
        <x:v>5</x:v>
      </x:c>
      <x:c r="N16" s="48" t="n">
        <x:v>2</x:v>
      </x:c>
      <x:c r="O16" s="48" t="str">
        <x:v>低</x:v>
      </x:c>
      <x:c r="P16" s="48" t="str">
        <x:v>半开放式</x:v>
      </x:c>
      <x:c r="Q16" s="48" t="str">
        <x:v>住宅、写字楼、商铺</x:v>
      </x:c>
      <x:c r="R16" s="56" t="n">
        <x:v>3</x:v>
      </x:c>
      <x:c r="S16" s="56" t="n">
        <x:v>4.2</x:v>
      </x:c>
      <x:c r="T16" s="56" t="n">
        <x:v>0</x:v>
      </x:c>
      <x:c r="U16" s="56" t="n">
        <x:f>MAX(0,5-F16/5)</x:f>
        <x:v>4.62</x:v>
      </x:c>
      <x:c r="V16" s="56" t="n">
        <x:f>MAX(0,MIN(5,(5000-I16)/520))</x:f>
        <x:v>2.8846153846153846</x:v>
      </x:c>
      <x:c r="W16" s="56" t="n">
        <x:f>MIN(5,LOG(L16+1,2))</x:f>
        <x:v>2</x:v>
      </x:c>
      <x:c r="X16" s="56" t="n">
        <x:f>ROUND(U16*$AB$2+R16*$AB$3+V16*$AB$4+W16*$AB$5+S16*$AB$6,1)</x:f>
        <x:v>72</x:v>
      </x:c>
      <x:c r="Y16" s="48" t="str">
        <x:f>IF(AND(F16&lt;=8,I16&lt;=3800,R16&gt;=3.5,L16&gt;=6),"优先看房",IF(AND(F16&lt;=12,I16&lt;=4500,R16&gt;=3),"可进入备选","谨慎/低优先"))</x:f>
        <x:v>可进入备选</x:v>
      </x:c>
      <x:c r="Z16" s="48"/>
      <x:c r="AA16" s="48"/>
      <x:c r="AB16" s="48"/>
    </x:row>
    <x:row r="17">
      <x:c r="A17" s="48" t="n">
        <x:v>13</x:v>
      </x:c>
      <x:c r="B17" s="48" t="str">
        <x:v>中航凯特公寓</x:v>
      </x:c>
      <x:c r="C17" s="48" t="str">
        <x:v>住宅小区倾向</x:v>
      </x:c>
      <x:c r="D17" s="48" t="str">
        <x:v>红岭</x:v>
      </x:c>
      <x:c r="E17" s="55" t="n">
        <x:v>669</x:v>
      </x:c>
      <x:c r="F17" s="56" t="n">
        <x:v>8.9</x:v>
      </x:c>
      <x:c r="G17" s="55" t="n">
        <x:v>560</x:v>
      </x:c>
      <x:c r="H17" s="57" t="n">
        <x:v>2878</x:v>
      </x:c>
      <x:c r="I17" s="57" t="n">
        <x:v>3000</x:v>
      </x:c>
      <x:c r="J17" s="57" t="n">
        <x:v>2600</x:v>
      </x:c>
      <x:c r="K17" s="57" t="n">
        <x:v>3100</x:v>
      </x:c>
      <x:c r="L17" s="48" t="n">
        <x:v>11</x:v>
      </x:c>
      <x:c r="M17" s="48" t="n">
        <x:v>12</x:v>
      </x:c>
      <x:c r="N17" s="48" t="n">
        <x:v>1</x:v>
      </x:c>
      <x:c r="O17" s="48" t="str">
        <x:v>中</x:v>
      </x:c>
      <x:c r="P17" s="48" t="str">
        <x:v>半开放式</x:v>
      </x:c>
      <x:c r="Q17" s="48" t="str">
        <x:v>住宅、写字楼、商铺</x:v>
      </x:c>
      <x:c r="R17" s="56" t="n">
        <x:v>3</x:v>
      </x:c>
      <x:c r="S17" s="56" t="n">
        <x:v>2.7</x:v>
      </x:c>
      <x:c r="T17" s="56" t="n">
        <x:v>3</x:v>
      </x:c>
      <x:c r="U17" s="56" t="n">
        <x:f>MAX(0,5-F17/5)</x:f>
        <x:v>3.2199999999999998</x:v>
      </x:c>
      <x:c r="V17" s="56" t="n">
        <x:f>MAX(0,MIN(5,(5000-I17)/520))</x:f>
        <x:v>3.8461538461538463</x:v>
      </x:c>
      <x:c r="W17" s="56" t="n">
        <x:f>MIN(5,LOG(L17+1,2))</x:f>
        <x:v>3.5849625007211565</x:v>
      </x:c>
      <x:c r="X17" s="56" t="n">
        <x:f>ROUND(U17*$AB$2+R17*$AB$3+V17*$AB$4+W17*$AB$5+S17*$AB$6,1)</x:f>
        <x:v>70.2</x:v>
      </x:c>
      <x:c r="Y17" s="48" t="str">
        <x:f>IF(AND(F17&lt;=8,I17&lt;=3800,R17&gt;=3.5,L17&gt;=6),"优先看房",IF(AND(F17&lt;=12,I17&lt;=4500,R17&gt;=3),"可进入备选","谨慎/低优先"))</x:f>
        <x:v>可进入备选</x:v>
      </x:c>
      <x:c r="Z17" s="48"/>
      <x:c r="AA17" s="48"/>
      <x:c r="AB17" s="48"/>
    </x:row>
    <x:row r="18">
      <x:c r="A18" s="48" t="n">
        <x:v>14</x:v>
      </x:c>
      <x:c r="B18" s="48" t="str">
        <x:v>园林宿舍</x:v>
      </x:c>
      <x:c r="C18" s="48" t="str">
        <x:v>住宅小区倾向</x:v>
      </x:c>
      <x:c r="D18" s="48" t="str">
        <x:v>晒布</x:v>
      </x:c>
      <x:c r="E18" s="55" t="n">
        <x:v>410</x:v>
      </x:c>
      <x:c r="F18" s="56" t="n">
        <x:v>5.5</x:v>
      </x:c>
      <x:c r="G18" s="55" t="n">
        <x:v>317</x:v>
      </x:c>
      <x:c r="H18" s="57" t="n">
        <x:v>2890</x:v>
      </x:c>
      <x:c r="I18" s="57" t="n">
        <x:v>2890</x:v>
      </x:c>
      <x:c r="J18" s="57" t="n">
        <x:v>2845</x:v>
      </x:c>
      <x:c r="K18" s="57" t="n">
        <x:v>2935</x:v>
      </x:c>
      <x:c r="L18" s="48" t="n">
        <x:v>2</x:v>
      </x:c>
      <x:c r="M18" s="48" t="n">
        <x:v>2</x:v>
      </x:c>
      <x:c r="N18" s="48" t="n">
        <x:v>0</x:v>
      </x:c>
      <x:c r="O18" s="48" t="str">
        <x:v>低</x:v>
      </x:c>
      <x:c r="P18" s="48" t="str">
        <x:v>待核</x:v>
      </x:c>
      <x:c r="Q18" s="48" t="str">
        <x:v>住宅</x:v>
      </x:c>
      <x:c r="R18" s="56" t="n">
        <x:v>3.8</x:v>
      </x:c>
      <x:c r="S18" s="56" t="n">
        <x:v>4</x:v>
      </x:c>
      <x:c r="T18" s="56" t="n">
        <x:v>0</x:v>
      </x:c>
      <x:c r="U18" s="56" t="n">
        <x:f>MAX(0,5-F18/5)</x:f>
        <x:v>3.9</x:v>
      </x:c>
      <x:c r="V18" s="56" t="n">
        <x:f>MAX(0,MIN(5,(5000-I18)/520))</x:f>
        <x:v>4.0576923076923075</x:v>
      </x:c>
      <x:c r="W18" s="56" t="n">
        <x:f>MIN(5,LOG(L18+1,2))</x:f>
        <x:v>1.584962500721156</x:v>
      </x:c>
      <x:c r="X18" s="56" t="n">
        <x:f>ROUND(U18*$AB$2+R18*$AB$3+V18*$AB$4+W18*$AB$5+S18*$AB$6,1)</x:f>
        <x:v>75.3</x:v>
      </x:c>
      <x:c r="Y18" s="48" t="str">
        <x:f>IF(AND(F18&lt;=8,I18&lt;=3800,R18&gt;=3.5,L18&gt;=6),"优先看房",IF(AND(F18&lt;=12,I18&lt;=4500,R18&gt;=3),"可进入备选","谨慎/低优先"))</x:f>
        <x:v>可进入备选</x:v>
      </x:c>
      <x:c r="Z18" s="48"/>
      <x:c r="AA18" s="48"/>
      <x:c r="AB18" s="48"/>
    </x:row>
    <x:row r="19">
      <x:c r="A19" s="48" t="n">
        <x:v>15</x:v>
      </x:c>
      <x:c r="B19" s="48" t="str">
        <x:v>海珑华苑</x:v>
      </x:c>
      <x:c r="C19" s="48" t="str">
        <x:v>住宅小区倾向</x:v>
      </x:c>
      <x:c r="D19" s="48" t="str">
        <x:v>黄贝岭</x:v>
      </x:c>
      <x:c r="E19" s="55" t="n">
        <x:v>475</x:v>
      </x:c>
      <x:c r="F19" s="56" t="n">
        <x:v>6.3</x:v>
      </x:c>
      <x:c r="G19" s="55" t="n">
        <x:v>400</x:v>
      </x:c>
      <x:c r="H19" s="57" t="n">
        <x:v>3167</x:v>
      </x:c>
      <x:c r="I19" s="57" t="n">
        <x:v>3200</x:v>
      </x:c>
      <x:c r="J19" s="57" t="n">
        <x:v>3050</x:v>
      </x:c>
      <x:c r="K19" s="57" t="n">
        <x:v>3275</x:v>
      </x:c>
      <x:c r="L19" s="48" t="n">
        <x:v>6</x:v>
      </x:c>
      <x:c r="M19" s="48" t="n">
        <x:v>7</x:v>
      </x:c>
      <x:c r="N19" s="48" t="n">
        <x:v>1</x:v>
      </x:c>
      <x:c r="O19" s="48" t="str">
        <x:v>中</x:v>
      </x:c>
      <x:c r="P19" s="48" t="str">
        <x:v>半开放式</x:v>
      </x:c>
      <x:c r="Q19" s="48" t="str">
        <x:v>住宅、写字楼、商铺</x:v>
      </x:c>
      <x:c r="R19" s="56" t="n">
        <x:v>3</x:v>
      </x:c>
      <x:c r="S19" s="56" t="n">
        <x:v>3</x:v>
      </x:c>
      <x:c r="T19" s="56" t="n">
        <x:v>1</x:v>
      </x:c>
      <x:c r="U19" s="56" t="n">
        <x:f>MAX(0,5-F19/5)</x:f>
        <x:v>3.74</x:v>
      </x:c>
      <x:c r="V19" s="56" t="n">
        <x:f>MAX(0,MIN(5,(5000-I19)/520))</x:f>
        <x:v>3.4615384615384617</x:v>
      </x:c>
      <x:c r="W19" s="56" t="n">
        <x:f>MIN(5,LOG(L19+1,2))</x:f>
        <x:v>2.807354922057604</x:v>
      </x:c>
      <x:c r="X19" s="56" t="n">
        <x:f>ROUND(U19*$AB$2+R19*$AB$3+V19*$AB$4+W19*$AB$5+S19*$AB$6,1)</x:f>
        <x:v>69.9</x:v>
      </x:c>
      <x:c r="Y19" s="48" t="str">
        <x:f>IF(AND(F19&lt;=8,I19&lt;=3800,R19&gt;=3.5,L19&gt;=6),"优先看房",IF(AND(F19&lt;=12,I19&lt;=4500,R19&gt;=3),"可进入备选","谨慎/低优先"))</x:f>
        <x:v>可进入备选</x:v>
      </x:c>
      <x:c r="Z19" s="48"/>
      <x:c r="AA19" s="48"/>
      <x:c r="AB19" s="48"/>
    </x:row>
    <x:row r="20">
      <x:c r="A20" s="48" t="n">
        <x:v>16</x:v>
      </x:c>
      <x:c r="B20" s="48" t="str">
        <x:v>长丰苑</x:v>
      </x:c>
      <x:c r="C20" s="48" t="str">
        <x:v>住宅小区倾向</x:v>
      </x:c>
      <x:c r="D20" s="48" t="str">
        <x:v>湖贝</x:v>
      </x:c>
      <x:c r="E20" s="55" t="n">
        <x:v>526</x:v>
      </x:c>
      <x:c r="F20" s="56" t="n">
        <x:v>7</x:v>
      </x:c>
      <x:c r="G20" s="55" t="n">
        <x:v>385</x:v>
      </x:c>
      <x:c r="H20" s="57" t="n">
        <x:v>3843</x:v>
      </x:c>
      <x:c r="I20" s="57" t="n">
        <x:v>3800</x:v>
      </x:c>
      <x:c r="J20" s="57" t="n">
        <x:v>3590</x:v>
      </x:c>
      <x:c r="K20" s="57" t="n">
        <x:v>4050</x:v>
      </x:c>
      <x:c r="L20" s="48" t="n">
        <x:v>31</x:v>
      </x:c>
      <x:c r="M20" s="48" t="n">
        <x:v>33</x:v>
      </x:c>
      <x:c r="N20" s="48" t="n">
        <x:v>2</x:v>
      </x:c>
      <x:c r="O20" s="48" t="str">
        <x:v>高</x:v>
      </x:c>
      <x:c r="P20" s="48" t="str">
        <x:v>半开放式</x:v>
      </x:c>
      <x:c r="Q20" s="48" t="str">
        <x:v>住宅、商铺</x:v>
      </x:c>
      <x:c r="R20" s="56" t="n">
        <x:v>3.4</x:v>
      </x:c>
      <x:c r="S20" s="56" t="n">
        <x:v>4.2</x:v>
      </x:c>
      <x:c r="T20" s="56" t="n">
        <x:v>0</x:v>
      </x:c>
      <x:c r="U20" s="56" t="n">
        <x:f>MAX(0,5-F20/5)</x:f>
        <x:v>3.6</x:v>
      </x:c>
      <x:c r="V20" s="56" t="n">
        <x:f>MAX(0,MIN(5,(5000-I20)/520))</x:f>
        <x:v>2.3076923076923075</x:v>
      </x:c>
      <x:c r="W20" s="56" t="n">
        <x:f>MIN(5,LOG(L20+1,2))</x:f>
        <x:v>5</x:v>
      </x:c>
      <x:c r="X20" s="56" t="n">
        <x:f>ROUND(U20*$AB$2+R20*$AB$3+V20*$AB$4+W20*$AB$5+S20*$AB$6,1)</x:f>
        <x:v>72.9</x:v>
      </x:c>
      <x:c r="Y20" s="48" t="str">
        <x:f>IF(AND(F20&lt;=8,I20&lt;=3800,R20&gt;=3.5,L20&gt;=6),"优先看房",IF(AND(F20&lt;=12,I20&lt;=4500,R20&gt;=3),"可进入备选","谨慎/低优先"))</x:f>
        <x:v>可进入备选</x:v>
      </x:c>
      <x:c r="Z20" s="48"/>
      <x:c r="AA20" s="48"/>
      <x:c r="AB20" s="48"/>
    </x:row>
    <x:row r="21">
      <x:c r="A21" s="48" t="n">
        <x:v>17</x:v>
      </x:c>
      <x:c r="B21" s="48" t="str">
        <x:v>钻石时代</x:v>
      </x:c>
      <x:c r="C21" s="48" t="str">
        <x:v>住宅小区倾向</x:v>
      </x:c>
      <x:c r="D21" s="48" t="str">
        <x:v>湖贝</x:v>
      </x:c>
      <x:c r="E21" s="55" t="n">
        <x:v>631</x:v>
      </x:c>
      <x:c r="F21" s="56" t="n">
        <x:v>8.4</x:v>
      </x:c>
      <x:c r="G21" s="55" t="n">
        <x:v>425</x:v>
      </x:c>
      <x:c r="H21" s="57" t="n">
        <x:v>3419</x:v>
      </x:c>
      <x:c r="I21" s="57" t="n">
        <x:v>3300</x:v>
      </x:c>
      <x:c r="J21" s="57" t="n">
        <x:v>3200</x:v>
      </x:c>
      <x:c r="K21" s="57" t="n">
        <x:v>3600</x:v>
      </x:c>
      <x:c r="L21" s="48" t="n">
        <x:v>15</x:v>
      </x:c>
      <x:c r="M21" s="48" t="n">
        <x:v>17</x:v>
      </x:c>
      <x:c r="N21" s="48" t="n">
        <x:v>2</x:v>
      </x:c>
      <x:c r="O21" s="48" t="str">
        <x:v>高</x:v>
      </x:c>
      <x:c r="P21" s="48" t="str">
        <x:v>半开放式</x:v>
      </x:c>
      <x:c r="Q21" s="48" t="str">
        <x:v>住宅</x:v>
      </x:c>
      <x:c r="R21" s="56" t="n">
        <x:v>3.8</x:v>
      </x:c>
      <x:c r="S21" s="56" t="n">
        <x:v>2.4</x:v>
      </x:c>
      <x:c r="T21" s="56" t="n">
        <x:v>0</x:v>
      </x:c>
      <x:c r="U21" s="56" t="n">
        <x:f>MAX(0,5-F21/5)</x:f>
        <x:v>3.32</x:v>
      </x:c>
      <x:c r="V21" s="56" t="n">
        <x:f>MAX(0,MIN(5,(5000-I21)/520))</x:f>
        <x:v>3.269230769230769</x:v>
      </x:c>
      <x:c r="W21" s="56" t="n">
        <x:f>MIN(5,LOG(L21+1,2))</x:f>
        <x:v>4</x:v>
      </x:c>
      <x:c r="X21" s="56" t="n">
        <x:f>ROUND(U21*$AB$2+R21*$AB$3+V21*$AB$4+W21*$AB$5+S21*$AB$6,1)</x:f>
        <x:v>73</x:v>
      </x:c>
      <x:c r="Y21" s="48" t="str">
        <x:f>IF(AND(F21&lt;=8,I21&lt;=3800,R21&gt;=3.5,L21&gt;=6),"优先看房",IF(AND(F21&lt;=12,I21&lt;=4500,R21&gt;=3),"可进入备选","谨慎/低优先"))</x:f>
        <x:v>可进入备选</x:v>
      </x:c>
      <x:c r="Z21" s="48"/>
      <x:c r="AA21" s="48"/>
      <x:c r="AB21" s="48"/>
    </x:row>
    <x:row r="22">
      <x:c r="A22" s="48" t="n">
        <x:v>18</x:v>
      </x:c>
      <x:c r="B22" s="48" t="str">
        <x:v>方海商苑</x:v>
      </x:c>
      <x:c r="C22" s="48" t="str">
        <x:v>住宅小区倾向</x:v>
      </x:c>
      <x:c r="D22" s="48" t="str">
        <x:v>晒布</x:v>
      </x:c>
      <x:c r="E22" s="55" t="n">
        <x:v>511</x:v>
      </x:c>
      <x:c r="F22" s="56" t="n">
        <x:v>6.8</x:v>
      </x:c>
      <x:c r="G22" s="55" t="n">
        <x:v>425</x:v>
      </x:c>
      <x:c r="H22" s="57" t="n">
        <x:v>2600</x:v>
      </x:c>
      <x:c r="I22" s="57" t="n">
        <x:v>2600</x:v>
      </x:c>
      <x:c r="J22" s="57" t="n">
        <x:v>2600</x:v>
      </x:c>
      <x:c r="K22" s="57" t="n">
        <x:v>2600</x:v>
      </x:c>
      <x:c r="L22" s="48" t="n">
        <x:v>1</x:v>
      </x:c>
      <x:c r="M22" s="48" t="n">
        <x:v>1</x:v>
      </x:c>
      <x:c r="N22" s="48" t="n">
        <x:v>0</x:v>
      </x:c>
      <x:c r="O22" s="48" t="str">
        <x:v>低</x:v>
      </x:c>
      <x:c r="P22" s="48" t="str">
        <x:v>待核</x:v>
      </x:c>
      <x:c r="Q22" s="48" t="str">
        <x:v>住宅、商铺</x:v>
      </x:c>
      <x:c r="R22" s="56" t="n">
        <x:v>3.4</x:v>
      </x:c>
      <x:c r="S22" s="56" t="n">
        <x:v>3.7</x:v>
      </x:c>
      <x:c r="T22" s="56" t="n">
        <x:v>0</x:v>
      </x:c>
      <x:c r="U22" s="56" t="n">
        <x:f>MAX(0,5-F22/5)</x:f>
        <x:v>3.64</x:v>
      </x:c>
      <x:c r="V22" s="56" t="n">
        <x:f>MAX(0,MIN(5,(5000-I22)/520))</x:f>
        <x:v>4.615384615384615</x:v>
      </x:c>
      <x:c r="W22" s="56" t="n">
        <x:f>MIN(5,LOG(L22+1,2))</x:f>
        <x:v>1</x:v>
      </x:c>
      <x:c r="X22" s="56" t="n">
        <x:f>ROUND(U22*$AB$2+R22*$AB$3+V22*$AB$4+W22*$AB$5+S22*$AB$6,1)</x:f>
        <x:v>72.3</x:v>
      </x:c>
      <x:c r="Y22" s="48" t="str">
        <x:f>IF(AND(F22&lt;=8,I22&lt;=3800,R22&gt;=3.5,L22&gt;=6),"优先看房",IF(AND(F22&lt;=12,I22&lt;=4500,R22&gt;=3),"可进入备选","谨慎/低优先"))</x:f>
        <x:v>可进入备选</x:v>
      </x:c>
      <x:c r="Z22" s="48"/>
      <x:c r="AA22" s="48"/>
      <x:c r="AB22" s="48"/>
    </x:row>
    <x:row r="23">
      <x:c r="A23" s="48" t="n">
        <x:v>19</x:v>
      </x:c>
      <x:c r="B23" s="48" t="str">
        <x:v>好年华大厦</x:v>
      </x:c>
      <x:c r="C23" s="48" t="str">
        <x:v>住宅小区倾向</x:v>
      </x:c>
      <x:c r="D23" s="48" t="str">
        <x:v>晒布</x:v>
      </x:c>
      <x:c r="E23" s="55" t="n">
        <x:v>527</x:v>
      </x:c>
      <x:c r="F23" s="56" t="n">
        <x:v>7</x:v>
      </x:c>
      <x:c r="G23" s="55" t="n">
        <x:v>363</x:v>
      </x:c>
      <x:c r="H23" s="57" t="n">
        <x:v>3325</x:v>
      </x:c>
      <x:c r="I23" s="57" t="n">
        <x:v>3350</x:v>
      </x:c>
      <x:c r="J23" s="57" t="n">
        <x:v>3050</x:v>
      </x:c>
      <x:c r="K23" s="57" t="n">
        <x:v>3575</x:v>
      </x:c>
      <x:c r="L23" s="48" t="n">
        <x:v>10</x:v>
      </x:c>
      <x:c r="M23" s="48" t="n">
        <x:v>11</x:v>
      </x:c>
      <x:c r="N23" s="48" t="n">
        <x:v>1</x:v>
      </x:c>
      <x:c r="O23" s="48" t="str">
        <x:v>中</x:v>
      </x:c>
      <x:c r="P23" s="48" t="str">
        <x:v>全封闭式</x:v>
      </x:c>
      <x:c r="Q23" s="48" t="str">
        <x:v>住宅、写字楼、商铺、工业、教育、医疗、车位</x:v>
      </x:c>
      <x:c r="R23" s="56" t="n">
        <x:v>4.2</x:v>
      </x:c>
      <x:c r="S23" s="56" t="n">
        <x:v>3</x:v>
      </x:c>
      <x:c r="T23" s="56" t="n">
        <x:v>0</x:v>
      </x:c>
      <x:c r="U23" s="56" t="n">
        <x:f>MAX(0,5-F23/5)</x:f>
        <x:v>3.6</x:v>
      </x:c>
      <x:c r="V23" s="56" t="n">
        <x:f>MAX(0,MIN(5,(5000-I23)/520))</x:f>
        <x:v>3.173076923076923</x:v>
      </x:c>
      <x:c r="W23" s="56" t="n">
        <x:f>MIN(5,LOG(L23+1,2))</x:f>
        <x:v>3.4594316186372978</x:v>
      </x:c>
      <x:c r="X23" s="56" t="n">
        <x:f>ROUND(U23*$AB$2+R23*$AB$3+V23*$AB$4+W23*$AB$5+S23*$AB$6,1)</x:f>
        <x:v>75.4</x:v>
      </x:c>
      <x:c r="Y23" s="48" t="str">
        <x:f>IF(AND(F23&lt;=8,I23&lt;=3800,R23&gt;=3.5,L23&gt;=6),"优先看房",IF(AND(F23&lt;=12,I23&lt;=4500,R23&gt;=3),"可进入备选","谨慎/低优先"))</x:f>
        <x:v>优先看房</x:v>
      </x:c>
      <x:c r="Z23" s="48"/>
      <x:c r="AA23" s="48"/>
      <x:c r="AB23" s="48"/>
    </x:row>
    <x:row r="24">
      <x:c r="A24" s="48" t="n">
        <x:v>20</x:v>
      </x:c>
      <x:c r="B24" s="48" t="str">
        <x:v>世濠大厦</x:v>
      </x:c>
      <x:c r="C24" s="48" t="str">
        <x:v>住宅小区倾向</x:v>
      </x:c>
      <x:c r="D24" s="48" t="str">
        <x:v>晒布</x:v>
      </x:c>
      <x:c r="E24" s="55" t="n">
        <x:v>501</x:v>
      </x:c>
      <x:c r="F24" s="56" t="n">
        <x:v>6.7</x:v>
      </x:c>
      <x:c r="G24" s="55" t="n">
        <x:v>326</x:v>
      </x:c>
      <x:c r="H24" s="57" t="n">
        <x:v>3080</x:v>
      </x:c>
      <x:c r="I24" s="57" t="n">
        <x:v>3080</x:v>
      </x:c>
      <x:c r="J24" s="57" t="n">
        <x:v>3080</x:v>
      </x:c>
      <x:c r="K24" s="57" t="n">
        <x:v>3080</x:v>
      </x:c>
      <x:c r="L24" s="48" t="n">
        <x:v>4</x:v>
      </x:c>
      <x:c r="M24" s="48" t="n">
        <x:v>22</x:v>
      </x:c>
      <x:c r="N24" s="48" t="n">
        <x:v>18</x:v>
      </x:c>
      <x:c r="O24" s="48" t="str">
        <x:v>低</x:v>
      </x:c>
      <x:c r="P24" s="48" t="str">
        <x:v>全封闭式</x:v>
      </x:c>
      <x:c r="Q24" s="48" t="str">
        <x:v>住宅、商铺</x:v>
      </x:c>
      <x:c r="R24" s="56" t="n">
        <x:v>4.6</x:v>
      </x:c>
      <x:c r="S24" s="56" t="n">
        <x:v>3.7</x:v>
      </x:c>
      <x:c r="T24" s="56" t="n">
        <x:v>0</x:v>
      </x:c>
      <x:c r="U24" s="56" t="n">
        <x:f>MAX(0,5-F24/5)</x:f>
        <x:v>3.66</x:v>
      </x:c>
      <x:c r="V24" s="56" t="n">
        <x:f>MAX(0,MIN(5,(5000-I24)/520))</x:f>
        <x:v>3.6923076923076925</x:v>
      </x:c>
      <x:c r="W24" s="56" t="n">
        <x:f>MIN(5,LOG(L24+1,2))</x:f>
        <x:v>2.321928094887362</x:v>
      </x:c>
      <x:c r="X24" s="56" t="n">
        <x:f>ROUND(U24*$AB$2+R24*$AB$3+V24*$AB$4+W24*$AB$5+S24*$AB$6,1)</x:f>
        <x:v>77.7</x:v>
      </x:c>
      <x:c r="Y24" s="48" t="str">
        <x:f>IF(AND(F24&lt;=8,I24&lt;=3800,R24&gt;=3.5,L24&gt;=6),"优先看房",IF(AND(F24&lt;=12,I24&lt;=4500,R24&gt;=3),"可进入备选","谨慎/低优先"))</x:f>
        <x:v>可进入备选</x:v>
      </x:c>
      <x:c r="Z24" s="48"/>
      <x:c r="AA24" s="48"/>
      <x:c r="AB24" s="48"/>
    </x:row>
    <x:row r="25">
      <x:c r="A25" s="48" t="n">
        <x:v>21</x:v>
      </x:c>
      <x:c r="B25" s="48" t="str">
        <x:v>粤海花园</x:v>
      </x:c>
      <x:c r="C25" s="48" t="str">
        <x:v>住宅小区倾向</x:v>
      </x:c>
      <x:c r="D25" s="48" t="str">
        <x:v>国贸</x:v>
      </x:c>
      <x:c r="E25" s="55" t="n">
        <x:v>555</x:v>
      </x:c>
      <x:c r="F25" s="56" t="n">
        <x:v>7.4</x:v>
      </x:c>
      <x:c r="G25" s="55" t="n">
        <x:v>411</x:v>
      </x:c>
      <x:c r="H25" s="57" t="n">
        <x:v>2895</x:v>
      </x:c>
      <x:c r="I25" s="57" t="n">
        <x:v>2895</x:v>
      </x:c>
      <x:c r="J25" s="57" t="n">
        <x:v>2893</x:v>
      </x:c>
      <x:c r="K25" s="57" t="n">
        <x:v>2898</x:v>
      </x:c>
      <x:c r="L25" s="48" t="n">
        <x:v>2</x:v>
      </x:c>
      <x:c r="M25" s="48" t="n">
        <x:v>2</x:v>
      </x:c>
      <x:c r="N25" s="48" t="n">
        <x:v>0</x:v>
      </x:c>
      <x:c r="O25" s="48" t="str">
        <x:v>低</x:v>
      </x:c>
      <x:c r="P25" s="48" t="str">
        <x:v>全封闭式</x:v>
      </x:c>
      <x:c r="Q25" s="48" t="str">
        <x:v>住宅</x:v>
      </x:c>
      <x:c r="R25" s="56" t="n">
        <x:v>5</x:v>
      </x:c>
      <x:c r="S25" s="56" t="n">
        <x:v>3.5</x:v>
      </x:c>
      <x:c r="T25" s="56" t="n">
        <x:v>0</x:v>
      </x:c>
      <x:c r="U25" s="56" t="n">
        <x:f>MAX(0,5-F25/5)</x:f>
        <x:v>3.52</x:v>
      </x:c>
      <x:c r="V25" s="56" t="n">
        <x:f>MAX(0,MIN(5,(5000-I25)/520))</x:f>
        <x:v>4.048076923076923</x:v>
      </x:c>
      <x:c r="W25" s="56" t="n">
        <x:f>MIN(5,LOG(L25+1,2))</x:f>
        <x:v>1.584962500721156</x:v>
      </x:c>
      <x:c r="X25" s="56" t="n">
        <x:f>ROUND(U25*$AB$2+R25*$AB$3+V25*$AB$4+W25*$AB$5+S25*$AB$6,1)</x:f>
        <x:v>78.1</x:v>
      </x:c>
      <x:c r="Y25" s="48" t="str">
        <x:f>IF(AND(F25&lt;=8,I25&lt;=3800,R25&gt;=3.5,L25&gt;=6),"优先看房",IF(AND(F25&lt;=12,I25&lt;=4500,R25&gt;=3),"可进入备选","谨慎/低优先"))</x:f>
        <x:v>可进入备选</x:v>
      </x:c>
      <x:c r="Z25" s="48"/>
      <x:c r="AA25" s="48"/>
      <x:c r="AB25" s="48"/>
    </x:row>
    <x:row r="26">
      <x:c r="A26" s="48" t="n">
        <x:v>22</x:v>
      </x:c>
      <x:c r="B26" s="48" t="str">
        <x:v>中南小区(宝安南路)</x:v>
      </x:c>
      <x:c r="C26" s="48" t="str">
        <x:v>住宅小区倾向</x:v>
      </x:c>
      <x:c r="D26" s="48" t="str">
        <x:v>红岭</x:v>
      </x:c>
      <x:c r="E26" s="55" t="n">
        <x:v>677</x:v>
      </x:c>
      <x:c r="F26" s="56" t="n">
        <x:v>9</x:v>
      </x:c>
      <x:c r="G26" s="55" t="n">
        <x:v>549</x:v>
      </x:c>
      <x:c r="H26" s="57" t="n">
        <x:v>2480</x:v>
      </x:c>
      <x:c r="I26" s="57" t="n">
        <x:v>2480</x:v>
      </x:c>
      <x:c r="J26" s="57" t="n">
        <x:v>2480</x:v>
      </x:c>
      <x:c r="K26" s="57" t="n">
        <x:v>2480</x:v>
      </x:c>
      <x:c r="L26" s="48" t="n">
        <x:v>1</x:v>
      </x:c>
      <x:c r="M26" s="48" t="n">
        <x:v>1</x:v>
      </x:c>
      <x:c r="N26" s="48" t="n">
        <x:v>0</x:v>
      </x:c>
      <x:c r="O26" s="48" t="str">
        <x:v>低</x:v>
      </x:c>
      <x:c r="P26" s="48" t="str">
        <x:v>待核</x:v>
      </x:c>
      <x:c r="Q26" s="48" t="str">
        <x:v>待核</x:v>
      </x:c>
      <x:c r="R26" s="56" t="n">
        <x:v>2.8</x:v>
      </x:c>
      <x:c r="S26" s="56" t="n">
        <x:v>2.6</x:v>
      </x:c>
      <x:c r="T26" s="56" t="n">
        <x:v>0</x:v>
      </x:c>
      <x:c r="U26" s="56" t="n">
        <x:f>MAX(0,5-F26/5)</x:f>
        <x:v>3.2</x:v>
      </x:c>
      <x:c r="V26" s="56" t="n">
        <x:f>MAX(0,MIN(5,(5000-I26)/520))</x:f>
        <x:v>4.846153846153846</x:v>
      </x:c>
      <x:c r="W26" s="56" t="n">
        <x:f>MIN(5,LOG(L26+1,2))</x:f>
        <x:v>1</x:v>
      </x:c>
      <x:c r="X26" s="56" t="n">
        <x:f>ROUND(U26*$AB$2+R26*$AB$3+V26*$AB$4+W26*$AB$5+S26*$AB$6,1)</x:f>
        <x:v>66.2</x:v>
      </x:c>
      <x:c r="Y26" s="48" t="str">
        <x:f>IF(AND(F26&lt;=8,I26&lt;=3800,R26&gt;=3.5,L26&gt;=6),"优先看房",IF(AND(F26&lt;=12,I26&lt;=4500,R26&gt;=3),"可进入备选","谨慎/低优先"))</x:f>
        <x:v>谨慎/低优先</x:v>
      </x:c>
      <x:c r="Z26" s="48"/>
      <x:c r="AA26" s="48"/>
      <x:c r="AB26" s="48"/>
    </x:row>
    <x:row r="27">
      <x:c r="A27" s="48" t="n">
        <x:v>23</x:v>
      </x:c>
      <x:c r="B27" s="48" t="str">
        <x:v>128号大院</x:v>
      </x:c>
      <x:c r="C27" s="48" t="str">
        <x:v>住宅小区倾向</x:v>
      </x:c>
      <x:c r="D27" s="48" t="str">
        <x:v>晒布</x:v>
      </x:c>
      <x:c r="E27" s="55" t="n">
        <x:v>783</x:v>
      </x:c>
      <x:c r="F27" s="56" t="n">
        <x:v>10.4</x:v>
      </x:c>
      <x:c r="G27" s="55" t="n">
        <x:v>545</x:v>
      </x:c>
      <x:c r="H27" s="57" t="n">
        <x:v>2620</x:v>
      </x:c>
      <x:c r="I27" s="57" t="n">
        <x:v>2600</x:v>
      </x:c>
      <x:c r="J27" s="57" t="n">
        <x:v>2590</x:v>
      </x:c>
      <x:c r="K27" s="57" t="n">
        <x:v>2640</x:v>
      </x:c>
      <x:c r="L27" s="48" t="n">
        <x:v>3</x:v>
      </x:c>
      <x:c r="M27" s="48" t="n">
        <x:v>5</x:v>
      </x:c>
      <x:c r="N27" s="48" t="n">
        <x:v>2</x:v>
      </x:c>
      <x:c r="O27" s="48" t="str">
        <x:v>低</x:v>
      </x:c>
      <x:c r="P27" s="48" t="str">
        <x:v>半开放式</x:v>
      </x:c>
      <x:c r="Q27" s="48" t="str">
        <x:v>住宅、商铺、车位</x:v>
      </x:c>
      <x:c r="R27" s="56" t="n">
        <x:v>3.4</x:v>
      </x:c>
      <x:c r="S27" s="56" t="n">
        <x:v>4</x:v>
      </x:c>
      <x:c r="T27" s="56" t="n">
        <x:v>0</x:v>
      </x:c>
      <x:c r="U27" s="56" t="n">
        <x:f>MAX(0,5-F27/5)</x:f>
        <x:v>2.92</x:v>
      </x:c>
      <x:c r="V27" s="56" t="n">
        <x:f>MAX(0,MIN(5,(5000-I27)/520))</x:f>
        <x:v>4.615384615384615</x:v>
      </x:c>
      <x:c r="W27" s="56" t="n">
        <x:f>MIN(5,LOG(L27+1,2))</x:f>
        <x:v>2</x:v>
      </x:c>
      <x:c r="X27" s="56" t="n">
        <x:f>ROUND(U27*$AB$2+R27*$AB$3+V27*$AB$4+W27*$AB$5+S27*$AB$6,1)</x:f>
        <x:v>70.5</x:v>
      </x:c>
      <x:c r="Y27" s="48" t="str">
        <x:f>IF(AND(F27&lt;=8,I27&lt;=3800,R27&gt;=3.5,L27&gt;=6),"优先看房",IF(AND(F27&lt;=12,I27&lt;=4500,R27&gt;=3),"可进入备选","谨慎/低优先"))</x:f>
        <x:v>可进入备选</x:v>
      </x:c>
      <x:c r="Z27" s="48"/>
      <x:c r="AA27" s="48"/>
      <x:c r="AB27" s="48"/>
    </x:row>
    <x:row r="28">
      <x:c r="A28" s="48" t="n">
        <x:v>24</x:v>
      </x:c>
      <x:c r="B28" s="48" t="str">
        <x:v>华丽西村</x:v>
      </x:c>
      <x:c r="C28" s="48" t="str">
        <x:v>住宅小区倾向</x:v>
      </x:c>
      <x:c r="D28" s="48" t="str">
        <x:v>黄贝岭</x:v>
      </x:c>
      <x:c r="E28" s="55" t="n">
        <x:v>958</x:v>
      </x:c>
      <x:c r="F28" s="56" t="n">
        <x:v>12.8</x:v>
      </x:c>
      <x:c r="G28" s="55" t="n">
        <x:v>646</x:v>
      </x:c>
      <x:c r="H28" s="57" t="n">
        <x:v>2733</x:v>
      </x:c>
      <x:c r="I28" s="57" t="n">
        <x:v>2680</x:v>
      </x:c>
      <x:c r="J28" s="57" t="n">
        <x:v>2580</x:v>
      </x:c>
      <x:c r="K28" s="57" t="n">
        <x:v>2880</x:v>
      </x:c>
      <x:c r="L28" s="48" t="n">
        <x:v>9</x:v>
      </x:c>
      <x:c r="M28" s="48" t="n">
        <x:v>10</x:v>
      </x:c>
      <x:c r="N28" s="48" t="n">
        <x:v>1</x:v>
      </x:c>
      <x:c r="O28" s="48" t="str">
        <x:v>中</x:v>
      </x:c>
      <x:c r="P28" s="48" t="str">
        <x:v>半开放式</x:v>
      </x:c>
      <x:c r="Q28" s="48" t="str">
        <x:v>住宅、商铺</x:v>
      </x:c>
      <x:c r="R28" s="56" t="n">
        <x:v>3.4</x:v>
      </x:c>
      <x:c r="S28" s="56" t="n">
        <x:v>3.7</x:v>
      </x:c>
      <x:c r="T28" s="56" t="n">
        <x:v>0</x:v>
      </x:c>
      <x:c r="U28" s="56" t="n">
        <x:f>MAX(0,5-F28/5)</x:f>
        <x:v>2.44</x:v>
      </x:c>
      <x:c r="V28" s="56" t="n">
        <x:f>MAX(0,MIN(5,(5000-I28)/520))</x:f>
        <x:v>4.461538461538462</x:v>
      </x:c>
      <x:c r="W28" s="56" t="n">
        <x:f>MIN(5,LOG(L28+1,2))</x:f>
        <x:v>3.3219280948873626</x:v>
      </x:c>
      <x:c r="X28" s="56" t="n">
        <x:f>ROUND(U28*$AB$2+R28*$AB$3+V28*$AB$4+W28*$AB$5+S28*$AB$6,1)</x:f>
        <x:v>70.1</x:v>
      </x:c>
      <x:c r="Y28" s="48" t="str">
        <x:f>IF(AND(F28&lt;=8,I28&lt;=3800,R28&gt;=3.5,L28&gt;=6),"优先看房",IF(AND(F28&lt;=12,I28&lt;=4500,R28&gt;=3),"可进入备选","谨慎/低优先"))</x:f>
        <x:v>谨慎/低优先</x:v>
      </x:c>
      <x:c r="Z28" s="48"/>
      <x:c r="AA28" s="48"/>
      <x:c r="AB28" s="48"/>
    </x:row>
    <x:row r="29">
      <x:c r="A29" s="48" t="n">
        <x:v>25</x:v>
      </x:c>
      <x:c r="B29" s="48" t="str">
        <x:v>都市名园</x:v>
      </x:c>
      <x:c r="C29" s="48" t="str">
        <x:v>住宅小区倾向</x:v>
      </x:c>
      <x:c r="D29" s="48" t="str">
        <x:v>大剧院</x:v>
      </x:c>
      <x:c r="E29" s="55" t="n">
        <x:v>970</x:v>
      </x:c>
      <x:c r="F29" s="56" t="n">
        <x:v>12.9</x:v>
      </x:c>
      <x:c r="G29" s="55" t="n">
        <x:v>306</x:v>
      </x:c>
      <x:c r="H29" s="57" t="n">
        <x:v>2815</x:v>
      </x:c>
      <x:c r="I29" s="57" t="n">
        <x:v>2850</x:v>
      </x:c>
      <x:c r="J29" s="57" t="n">
        <x:v>2750</x:v>
      </x:c>
      <x:c r="K29" s="57" t="n">
        <x:v>2950</x:v>
      </x:c>
      <x:c r="L29" s="48" t="n">
        <x:v>13</x:v>
      </x:c>
      <x:c r="M29" s="48" t="n">
        <x:v>20</x:v>
      </x:c>
      <x:c r="N29" s="48" t="n">
        <x:v>7</x:v>
      </x:c>
      <x:c r="O29" s="48" t="str">
        <x:v>中</x:v>
      </x:c>
      <x:c r="P29" s="48" t="str">
        <x:v>全封闭式</x:v>
      </x:c>
      <x:c r="Q29" s="48" t="str">
        <x:v>住宅、写字楼、商铺</x:v>
      </x:c>
      <x:c r="R29" s="56" t="n">
        <x:v>4.2</x:v>
      </x:c>
      <x:c r="S29" s="56" t="n">
        <x:v>3.4</x:v>
      </x:c>
      <x:c r="T29" s="56" t="n">
        <x:v>0</x:v>
      </x:c>
      <x:c r="U29" s="56" t="n">
        <x:f>MAX(0,5-F29/5)</x:f>
        <x:v>2.42</x:v>
      </x:c>
      <x:c r="V29" s="56" t="n">
        <x:f>MAX(0,MIN(5,(5000-I29)/520))</x:f>
        <x:v>4.134615384615385</x:v>
      </x:c>
      <x:c r="W29" s="56" t="n">
        <x:f>MIN(5,LOG(L29+1,2))</x:f>
        <x:v>3.8073549220576037</x:v>
      </x:c>
      <x:c r="X29" s="56" t="n">
        <x:f>ROUND(U29*$AB$2+R29*$AB$3+V29*$AB$4+W29*$AB$5+S29*$AB$6,1)</x:f>
        <x:v>73.4</x:v>
      </x:c>
      <x:c r="Y29" s="48" t="str">
        <x:f>IF(AND(F29&lt;=8,I29&lt;=3800,R29&gt;=3.5,L29&gt;=6),"优先看房",IF(AND(F29&lt;=12,I29&lt;=4500,R29&gt;=3),"可进入备选","谨慎/低优先"))</x:f>
        <x:v>谨慎/低优先</x:v>
      </x:c>
      <x:c r="Z29" s="48"/>
      <x:c r="AA29" s="48"/>
      <x:c r="AB29" s="48"/>
    </x:row>
    <x:row r="30">
      <x:c r="A30" s="48" t="n">
        <x:v>26</x:v>
      </x:c>
      <x:c r="B30" s="48" t="str">
        <x:v>建设集团大院</x:v>
      </x:c>
      <x:c r="C30" s="48" t="str">
        <x:v>住宅小区倾向</x:v>
      </x:c>
      <x:c r="D30" s="48" t="str">
        <x:v>红岭</x:v>
      </x:c>
      <x:c r="E30" s="55" t="n">
        <x:v>761</x:v>
      </x:c>
      <x:c r="F30" s="56" t="n">
        <x:v>10.2</x:v>
      </x:c>
      <x:c r="G30" s="55" t="n">
        <x:v>711</x:v>
      </x:c>
      <x:c r="H30" s="57" t="n">
        <x:v>2580</x:v>
      </x:c>
      <x:c r="I30" s="57" t="n">
        <x:v>2580</x:v>
      </x:c>
      <x:c r="J30" s="57" t="n">
        <x:v>2530</x:v>
      </x:c>
      <x:c r="K30" s="57" t="n">
        <x:v>2630</x:v>
      </x:c>
      <x:c r="L30" s="48" t="n">
        <x:v>2</x:v>
      </x:c>
      <x:c r="M30" s="48" t="n">
        <x:v>2</x:v>
      </x:c>
      <x:c r="N30" s="48" t="n">
        <x:v>0</x:v>
      </x:c>
      <x:c r="O30" s="48" t="str">
        <x:v>低</x:v>
      </x:c>
      <x:c r="P30" s="48" t="str">
        <x:v>半开放式</x:v>
      </x:c>
      <x:c r="Q30" s="48" t="str">
        <x:v>住宅、商铺</x:v>
      </x:c>
      <x:c r="R30" s="56" t="n">
        <x:v>3.4</x:v>
      </x:c>
      <x:c r="S30" s="56" t="n">
        <x:v>3.7</x:v>
      </x:c>
      <x:c r="T30" s="56" t="n">
        <x:v>0</x:v>
      </x:c>
      <x:c r="U30" s="56" t="n">
        <x:f>MAX(0,5-F30/5)</x:f>
        <x:v>2.96</x:v>
      </x:c>
      <x:c r="V30" s="56" t="n">
        <x:f>MAX(0,MIN(5,(5000-I30)/520))</x:f>
        <x:v>4.653846153846154</x:v>
      </x:c>
      <x:c r="W30" s="56" t="n">
        <x:f>MIN(5,LOG(L30+1,2))</x:f>
        <x:v>1.584962500721156</x:v>
      </x:c>
      <x:c r="X30" s="56" t="n">
        <x:f>ROUND(U30*$AB$2+R30*$AB$3+V30*$AB$4+W30*$AB$5+S30*$AB$6,1)</x:f>
        <x:v>69.4</x:v>
      </x:c>
      <x:c r="Y30" s="48" t="str">
        <x:f>IF(AND(F30&lt;=8,I30&lt;=3800,R30&gt;=3.5,L30&gt;=6),"优先看房",IF(AND(F30&lt;=12,I30&lt;=4500,R30&gt;=3),"可进入备选","谨慎/低优先"))</x:f>
        <x:v>可进入备选</x:v>
      </x:c>
      <x:c r="Z30" s="48"/>
      <x:c r="AA30" s="48"/>
      <x:c r="AB30" s="48"/>
    </x:row>
    <x:row r="31">
      <x:c r="A31" s="48" t="n">
        <x:v>27</x:v>
      </x:c>
      <x:c r="B31" s="48" t="str">
        <x:v>缤纷时代家园</x:v>
      </x:c>
      <x:c r="C31" s="48" t="str">
        <x:v>住宅小区倾向</x:v>
      </x:c>
      <x:c r="D31" s="48" t="str">
        <x:v>晒布</x:v>
      </x:c>
      <x:c r="E31" s="55" t="n">
        <x:v>461</x:v>
      </x:c>
      <x:c r="F31" s="56" t="n">
        <x:v>6.2</x:v>
      </x:c>
      <x:c r="G31" s="55" t="n">
        <x:v>367</x:v>
      </x:c>
      <x:c r="H31" s="57" t="n">
        <x:v>3600</x:v>
      </x:c>
      <x:c r="I31" s="57" t="n">
        <x:v>3300</x:v>
      </x:c>
      <x:c r="J31" s="57" t="n">
        <x:v>3300</x:v>
      </x:c>
      <x:c r="K31" s="57" t="n">
        <x:v>3750</x:v>
      </x:c>
      <x:c r="L31" s="48" t="n">
        <x:v>3</x:v>
      </x:c>
      <x:c r="M31" s="48" t="n">
        <x:v>3</x:v>
      </x:c>
      <x:c r="N31" s="48" t="n">
        <x:v>0</x:v>
      </x:c>
      <x:c r="O31" s="48" t="str">
        <x:v>低</x:v>
      </x:c>
      <x:c r="P31" s="48" t="str">
        <x:v>全封闭式</x:v>
      </x:c>
      <x:c r="Q31" s="48" t="str">
        <x:v>住宅</x:v>
      </x:c>
      <x:c r="R31" s="56" t="n">
        <x:v>5</x:v>
      </x:c>
      <x:c r="S31" s="56" t="n">
        <x:v>4.2</x:v>
      </x:c>
      <x:c r="T31" s="56" t="n">
        <x:v>0</x:v>
      </x:c>
      <x:c r="U31" s="56" t="n">
        <x:f>MAX(0,5-F31/5)</x:f>
        <x:v>3.76</x:v>
      </x:c>
      <x:c r="V31" s="56" t="n">
        <x:f>MAX(0,MIN(5,(5000-I31)/520))</x:f>
        <x:v>3.269230769230769</x:v>
      </x:c>
      <x:c r="W31" s="56" t="n">
        <x:f>MIN(5,LOG(L31+1,2))</x:f>
        <x:v>2</x:v>
      </x:c>
      <x:c r="X31" s="56" t="n">
        <x:f>ROUND(U31*$AB$2+R31*$AB$3+V31*$AB$4+W31*$AB$5+S31*$AB$6,1)</x:f>
        <x:v>77.9</x:v>
      </x:c>
      <x:c r="Y31" s="48" t="str">
        <x:f>IF(AND(F31&lt;=8,I31&lt;=3800,R31&gt;=3.5,L31&gt;=6),"优先看房",IF(AND(F31&lt;=12,I31&lt;=4500,R31&gt;=3),"可进入备选","谨慎/低优先"))</x:f>
        <x:v>可进入备选</x:v>
      </x:c>
      <x:c r="Z31" s="48"/>
      <x:c r="AA31" s="48"/>
      <x:c r="AB31" s="48"/>
    </x:row>
    <x:row r="32">
      <x:c r="A32" s="48" t="n">
        <x:v>28</x:v>
      </x:c>
      <x:c r="B32" s="48" t="str">
        <x:v>桂木园(桂园路)</x:v>
      </x:c>
      <x:c r="C32" s="48" t="str">
        <x:v>住宅小区倾向</x:v>
      </x:c>
      <x:c r="D32" s="48" t="str">
        <x:v>老街</x:v>
      </x:c>
      <x:c r="E32" s="55" t="n">
        <x:v>765</x:v>
      </x:c>
      <x:c r="F32" s="56" t="n">
        <x:v>10.2</x:v>
      </x:c>
      <x:c r="G32" s="55" t="n">
        <x:v>373</x:v>
      </x:c>
      <x:c r="H32" s="57" t="n">
        <x:v>2810</x:v>
      </x:c>
      <x:c r="I32" s="57" t="n">
        <x:v>2750</x:v>
      </x:c>
      <x:c r="J32" s="57" t="n">
        <x:v>2715</x:v>
      </x:c>
      <x:c r="K32" s="57" t="n">
        <x:v>2875</x:v>
      </x:c>
      <x:c r="L32" s="48" t="n">
        <x:v>3</x:v>
      </x:c>
      <x:c r="M32" s="48" t="n">
        <x:v>3</x:v>
      </x:c>
      <x:c r="N32" s="48" t="n">
        <x:v>0</x:v>
      </x:c>
      <x:c r="O32" s="48" t="str">
        <x:v>低</x:v>
      </x:c>
      <x:c r="P32" s="48" t="str">
        <x:v>待核</x:v>
      </x:c>
      <x:c r="Q32" s="48" t="str">
        <x:v>待核</x:v>
      </x:c>
      <x:c r="R32" s="56" t="n">
        <x:v>2.8</x:v>
      </x:c>
      <x:c r="S32" s="56" t="n">
        <x:v>2.6</x:v>
      </x:c>
      <x:c r="T32" s="56" t="n">
        <x:v>0</x:v>
      </x:c>
      <x:c r="U32" s="56" t="n">
        <x:f>MAX(0,5-F32/5)</x:f>
        <x:v>2.96</x:v>
      </x:c>
      <x:c r="V32" s="56" t="n">
        <x:f>MAX(0,MIN(5,(5000-I32)/520))</x:f>
        <x:v>4.326923076923077</x:v>
      </x:c>
      <x:c r="W32" s="56" t="n">
        <x:f>MIN(5,LOG(L32+1,2))</x:f>
        <x:v>2</x:v>
      </x:c>
      <x:c r="X32" s="56" t="n">
        <x:f>ROUND(U32*$AB$2+R32*$AB$3+V32*$AB$4+W32*$AB$5+S32*$AB$6,1)</x:f>
        <x:v>65</x:v>
      </x:c>
      <x:c r="Y32" s="48" t="str">
        <x:f>IF(AND(F32&lt;=8,I32&lt;=3800,R32&gt;=3.5,L32&gt;=6),"优先看房",IF(AND(F32&lt;=12,I32&lt;=4500,R32&gt;=3),"可进入备选","谨慎/低优先"))</x:f>
        <x:v>谨慎/低优先</x:v>
      </x:c>
      <x:c r="Z32" s="48"/>
      <x:c r="AA32" s="48"/>
      <x:c r="AB32" s="48"/>
    </x:row>
    <x:row r="33">
      <x:c r="A33" s="48" t="n">
        <x:v>29</x:v>
      </x:c>
      <x:c r="B33" s="48" t="str">
        <x:v>东门天地</x:v>
      </x:c>
      <x:c r="C33" s="48" t="str">
        <x:v>住宅小区倾向</x:v>
      </x:c>
      <x:c r="D33" s="48" t="str">
        <x:v>晒布</x:v>
      </x:c>
      <x:c r="E33" s="55" t="n">
        <x:v>64</x:v>
      </x:c>
      <x:c r="F33" s="56" t="n">
        <x:v>0.8</x:v>
      </x:c>
      <x:c r="G33" s="55" t="n">
        <x:v>50</x:v>
      </x:c>
      <x:c r="H33" s="57" t="n">
        <x:v>3960</x:v>
      </x:c>
      <x:c r="I33" s="57" t="n">
        <x:v>4300</x:v>
      </x:c>
      <x:c r="J33" s="57" t="n">
        <x:v>3300</x:v>
      </x:c>
      <x:c r="K33" s="57" t="n">
        <x:v>4500</x:v>
      </x:c>
      <x:c r="L33" s="48" t="n">
        <x:v>5</x:v>
      </x:c>
      <x:c r="M33" s="48" t="n">
        <x:v>5</x:v>
      </x:c>
      <x:c r="N33" s="48" t="n">
        <x:v>0</x:v>
      </x:c>
      <x:c r="O33" s="48" t="str">
        <x:v>低</x:v>
      </x:c>
      <x:c r="P33" s="48" t="str">
        <x:v>半开放式</x:v>
      </x:c>
      <x:c r="Q33" s="48" t="str">
        <x:v>住宅、写字楼、商铺</x:v>
      </x:c>
      <x:c r="R33" s="56" t="n">
        <x:v>3</x:v>
      </x:c>
      <x:c r="S33" s="56" t="n">
        <x:v>4</x:v>
      </x:c>
      <x:c r="T33" s="56" t="n">
        <x:v>0</x:v>
      </x:c>
      <x:c r="U33" s="56" t="n">
        <x:f>MAX(0,5-F33/5)</x:f>
        <x:v>4.84</x:v>
      </x:c>
      <x:c r="V33" s="56" t="n">
        <x:f>MAX(0,MIN(5,(5000-I33)/520))</x:f>
        <x:v>1.3461538461538463</x:v>
      </x:c>
      <x:c r="W33" s="56" t="n">
        <x:f>MIN(5,LOG(L33+1,2))</x:f>
        <x:v>2.584962500721156</x:v>
      </x:c>
      <x:c r="X33" s="56" t="n">
        <x:f>ROUND(U33*$AB$2+R33*$AB$3+V33*$AB$4+W33*$AB$5+S33*$AB$6,1)</x:f>
        <x:v>67.4</x:v>
      </x:c>
      <x:c r="Y33" s="48" t="str">
        <x:f>IF(AND(F33&lt;=8,I33&lt;=3800,R33&gt;=3.5,L33&gt;=6),"优先看房",IF(AND(F33&lt;=12,I33&lt;=4500,R33&gt;=3),"可进入备选","谨慎/低优先"))</x:f>
        <x:v>可进入备选</x:v>
      </x:c>
      <x:c r="Z33" s="48"/>
      <x:c r="AA33" s="48"/>
      <x:c r="AB33" s="48"/>
    </x:row>
    <x:row r="34">
      <x:c r="A34" s="48" t="n">
        <x:v>30</x:v>
      </x:c>
      <x:c r="B34" s="48" t="str">
        <x:v>金盾花园</x:v>
      </x:c>
      <x:c r="C34" s="48" t="str">
        <x:v>住宅小区倾向</x:v>
      </x:c>
      <x:c r="D34" s="48" t="str">
        <x:v>黄贝岭</x:v>
      </x:c>
      <x:c r="E34" s="55" t="n">
        <x:v>973</x:v>
      </x:c>
      <x:c r="F34" s="56" t="n">
        <x:v>13</x:v>
      </x:c>
      <x:c r="G34" s="55" t="n">
        <x:v>577</x:v>
      </x:c>
      <x:c r="H34" s="57" t="n">
        <x:v>2638</x:v>
      </x:c>
      <x:c r="I34" s="57" t="n">
        <x:v>2550</x:v>
      </x:c>
      <x:c r="J34" s="57" t="n">
        <x:v>2500</x:v>
      </x:c>
      <x:c r="K34" s="57" t="n">
        <x:v>2780</x:v>
      </x:c>
      <x:c r="L34" s="48" t="n">
        <x:v>5</x:v>
      </x:c>
      <x:c r="M34" s="48" t="n">
        <x:v>5</x:v>
      </x:c>
      <x:c r="N34" s="48" t="n">
        <x:v>0</x:v>
      </x:c>
      <x:c r="O34" s="48" t="str">
        <x:v>低</x:v>
      </x:c>
      <x:c r="P34" s="48" t="str">
        <x:v>全开放式</x:v>
      </x:c>
      <x:c r="Q34" s="48" t="str">
        <x:v>住宅</x:v>
      </x:c>
      <x:c r="R34" s="56" t="n">
        <x:v>3.2</x:v>
      </x:c>
      <x:c r="S34" s="56" t="n">
        <x:v>3.4</x:v>
      </x:c>
      <x:c r="T34" s="56" t="n">
        <x:v>0</x:v>
      </x:c>
      <x:c r="U34" s="56" t="n">
        <x:f>MAX(0,5-F34/5)</x:f>
        <x:v>2.4</x:v>
      </x:c>
      <x:c r="V34" s="56" t="n">
        <x:f>MAX(0,MIN(5,(5000-I34)/520))</x:f>
        <x:v>4.711538461538462</x:v>
      </x:c>
      <x:c r="W34" s="56" t="n">
        <x:f>MIN(5,LOG(L34+1,2))</x:f>
        <x:v>2.584962500721156</x:v>
      </x:c>
      <x:c r="X34" s="56" t="n">
        <x:f>ROUND(U34*$AB$2+R34*$AB$3+V34*$AB$4+W34*$AB$5+S34*$AB$6,1)</x:f>
        <x:v>67.5</x:v>
      </x:c>
      <x:c r="Y34" s="48" t="str">
        <x:f>IF(AND(F34&lt;=8,I34&lt;=3800,R34&gt;=3.5,L34&gt;=6),"优先看房",IF(AND(F34&lt;=12,I34&lt;=4500,R34&gt;=3),"可进入备选","谨慎/低优先"))</x:f>
        <x:v>谨慎/低优先</x:v>
      </x:c>
      <x:c r="Z34" s="48"/>
      <x:c r="AA34" s="48"/>
      <x:c r="AB34" s="48"/>
    </x:row>
    <x:row r="35">
      <x:c r="A35" s="48" t="n">
        <x:v>31</x:v>
      </x:c>
      <x:c r="B35" s="48" t="str">
        <x:v>西湖小区</x:v>
      </x:c>
      <x:c r="C35" s="48" t="str">
        <x:v>住宅小区倾向</x:v>
      </x:c>
      <x:c r="D35" s="48" t="str">
        <x:v>红岭</x:v>
      </x:c>
      <x:c r="E35" s="55" t="n">
        <x:v>1190</x:v>
      </x:c>
      <x:c r="F35" s="56" t="n">
        <x:v>15.9</x:v>
      </x:c>
      <x:c r="G35" s="55" t="n">
        <x:v>887</x:v>
      </x:c>
      <x:c r="H35" s="57" t="n">
        <x:v>2573</x:v>
      </x:c>
      <x:c r="I35" s="57" t="n">
        <x:v>2580</x:v>
      </x:c>
      <x:c r="J35" s="57" t="n">
        <x:v>2485</x:v>
      </x:c>
      <x:c r="K35" s="57" t="n">
        <x:v>2638</x:v>
      </x:c>
      <x:c r="L35" s="48" t="n">
        <x:v>14</x:v>
      </x:c>
      <x:c r="M35" s="48" t="n">
        <x:v>16</x:v>
      </x:c>
      <x:c r="N35" s="48" t="n">
        <x:v>2</x:v>
      </x:c>
      <x:c r="O35" s="48" t="str">
        <x:v>中</x:v>
      </x:c>
      <x:c r="P35" s="48" t="str">
        <x:v>半开放式</x:v>
      </x:c>
      <x:c r="Q35" s="48" t="str">
        <x:v>住宅</x:v>
      </x:c>
      <x:c r="R35" s="56" t="n">
        <x:v>3.8</x:v>
      </x:c>
      <x:c r="S35" s="56" t="n">
        <x:v>2.4</x:v>
      </x:c>
      <x:c r="T35" s="56" t="n">
        <x:v>0</x:v>
      </x:c>
      <x:c r="U35" s="56" t="n">
        <x:f>MAX(0,5-F35/5)</x:f>
        <x:v>1.8199999999999998</x:v>
      </x:c>
      <x:c r="V35" s="56" t="n">
        <x:f>MAX(0,MIN(5,(5000-I35)/520))</x:f>
        <x:v>4.653846153846154</x:v>
      </x:c>
      <x:c r="W35" s="56" t="n">
        <x:f>MIN(5,LOG(L35+1,2))</x:f>
        <x:v>3.9068905956085187</x:v>
      </x:c>
      <x:c r="X35" s="56" t="n">
        <x:f>ROUND(U35*$AB$2+R35*$AB$3+V35*$AB$4+W35*$AB$5+S35*$AB$6,1)</x:f>
        <x:v>69.1</x:v>
      </x:c>
      <x:c r="Y35" s="48" t="str">
        <x:f>IF(AND(F35&lt;=8,I35&lt;=3800,R35&gt;=3.5,L35&gt;=6),"优先看房",IF(AND(F35&lt;=12,I35&lt;=4500,R35&gt;=3),"可进入备选","谨慎/低优先"))</x:f>
        <x:v>谨慎/低优先</x:v>
      </x:c>
      <x:c r="Z35" s="48"/>
      <x:c r="AA35" s="48"/>
      <x:c r="AB35" s="48"/>
    </x:row>
    <x:row r="36">
      <x:c r="A36" s="48" t="n">
        <x:v>32</x:v>
      </x:c>
      <x:c r="B36" s="48" t="str">
        <x:v>电影大厦</x:v>
      </x:c>
      <x:c r="C36" s="48" t="str">
        <x:v>住宅小区倾向</x:v>
      </x:c>
      <x:c r="D36" s="48" t="str">
        <x:v>老街</x:v>
      </x:c>
      <x:c r="E36" s="55" t="n">
        <x:v>474</x:v>
      </x:c>
      <x:c r="F36" s="56" t="n">
        <x:v>6.3</x:v>
      </x:c>
      <x:c r="G36" s="55" t="n">
        <x:v>314</x:v>
      </x:c>
      <x:c r="H36" s="57" t="n">
        <x:v>3886</x:v>
      </x:c>
      <x:c r="I36" s="57" t="n">
        <x:v>3680</x:v>
      </x:c>
      <x:c r="J36" s="57" t="n">
        <x:v>3440</x:v>
      </x:c>
      <x:c r="K36" s="57" t="n">
        <x:v>4480</x:v>
      </x:c>
      <x:c r="L36" s="48" t="n">
        <x:v>7</x:v>
      </x:c>
      <x:c r="M36" s="48" t="n">
        <x:v>9</x:v>
      </x:c>
      <x:c r="N36" s="48" t="n">
        <x:v>2</x:v>
      </x:c>
      <x:c r="O36" s="48" t="str">
        <x:v>中</x:v>
      </x:c>
      <x:c r="P36" s="48" t="str">
        <x:v>半开放式</x:v>
      </x:c>
      <x:c r="Q36" s="48" t="str">
        <x:v>住宅、写字楼</x:v>
      </x:c>
      <x:c r="R36" s="56" t="n">
        <x:v>3</x:v>
      </x:c>
      <x:c r="S36" s="56" t="n">
        <x:v>4</x:v>
      </x:c>
      <x:c r="T36" s="56" t="n">
        <x:v>0</x:v>
      </x:c>
      <x:c r="U36" s="56" t="n">
        <x:f>MAX(0,5-F36/5)</x:f>
        <x:v>3.74</x:v>
      </x:c>
      <x:c r="V36" s="56" t="n">
        <x:f>MAX(0,MIN(5,(5000-I36)/520))</x:f>
        <x:v>2.5384615384615383</x:v>
      </x:c>
      <x:c r="W36" s="56" t="n">
        <x:f>MIN(5,LOG(L36+1,2))</x:f>
        <x:v>3</x:v>
      </x:c>
      <x:c r="X36" s="56" t="n">
        <x:f>ROUND(U36*$AB$2+R36*$AB$3+V36*$AB$4+W36*$AB$5+S36*$AB$6,1)</x:f>
        <x:v>66.9</x:v>
      </x:c>
      <x:c r="Y36" s="48" t="str">
        <x:f>IF(AND(F36&lt;=8,I36&lt;=3800,R36&gt;=3.5,L36&gt;=6),"优先看房",IF(AND(F36&lt;=12,I36&lt;=4500,R36&gt;=3),"可进入备选","谨慎/低优先"))</x:f>
        <x:v>可进入备选</x:v>
      </x:c>
      <x:c r="Z36" s="48"/>
      <x:c r="AA36" s="48"/>
      <x:c r="AB36" s="48"/>
    </x:row>
    <x:row r="37">
      <x:c r="A37" s="48" t="n">
        <x:v>33</x:v>
      </x:c>
      <x:c r="B37" s="48" t="str">
        <x:v>广东基础楼</x:v>
      </x:c>
      <x:c r="C37" s="48" t="str">
        <x:v>住宅小区倾向</x:v>
      </x:c>
      <x:c r="D37" s="48" t="str">
        <x:v>黄贝岭</x:v>
      </x:c>
      <x:c r="E37" s="55" t="n">
        <x:v>770</x:v>
      </x:c>
      <x:c r="F37" s="56" t="n">
        <x:v>10.3</x:v>
      </x:c>
      <x:c r="G37" s="55" t="n">
        <x:v>345</x:v>
      </x:c>
      <x:c r="H37" s="57" t="n">
        <x:v>2500</x:v>
      </x:c>
      <x:c r="I37" s="57" t="n">
        <x:v>2500</x:v>
      </x:c>
      <x:c r="J37" s="57" t="n">
        <x:v>2500</x:v>
      </x:c>
      <x:c r="K37" s="57" t="n">
        <x:v>2500</x:v>
      </x:c>
      <x:c r="L37" s="48" t="n">
        <x:v>1</x:v>
      </x:c>
      <x:c r="M37" s="48" t="n">
        <x:v>1</x:v>
      </x:c>
      <x:c r="N37" s="48" t="n">
        <x:v>0</x:v>
      </x:c>
      <x:c r="O37" s="48" t="str">
        <x:v>低</x:v>
      </x:c>
      <x:c r="P37" s="48" t="str">
        <x:v>全开放式</x:v>
      </x:c>
      <x:c r="Q37" s="48" t="str">
        <x:v>住宅</x:v>
      </x:c>
      <x:c r="R37" s="56" t="n">
        <x:v>3.2</x:v>
      </x:c>
      <x:c r="S37" s="56" t="n">
        <x:v>3.3</x:v>
      </x:c>
      <x:c r="T37" s="56" t="n">
        <x:v>0</x:v>
      </x:c>
      <x:c r="U37" s="56" t="n">
        <x:f>MAX(0,5-F37/5)</x:f>
        <x:v>2.94</x:v>
      </x:c>
      <x:c r="V37" s="56" t="n">
        <x:f>MAX(0,MIN(5,(5000-I37)/520))</x:f>
        <x:v>4.8076923076923075</x:v>
      </x:c>
      <x:c r="W37" s="56" t="n">
        <x:f>MIN(5,LOG(L37+1,2))</x:f>
        <x:v>1</x:v>
      </x:c>
      <x:c r="X37" s="56" t="n">
        <x:f>ROUND(U37*$AB$2+R37*$AB$3+V37*$AB$4+W37*$AB$5+S37*$AB$6,1)</x:f>
        <x:v>66.9</x:v>
      </x:c>
      <x:c r="Y37" s="48" t="str">
        <x:f>IF(AND(F37&lt;=8,I37&lt;=3800,R37&gt;=3.5,L37&gt;=6),"优先看房",IF(AND(F37&lt;=12,I37&lt;=4500,R37&gt;=3),"可进入备选","谨慎/低优先"))</x:f>
        <x:v>可进入备选</x:v>
      </x:c>
      <x:c r="Z37" s="48"/>
      <x:c r="AA37" s="48"/>
      <x:c r="AB37" s="48"/>
    </x:row>
    <x:row r="38">
      <x:c r="A38" s="48" t="n">
        <x:v>34</x:v>
      </x:c>
      <x:c r="B38" s="48" t="str">
        <x:v>华丽东村</x:v>
      </x:c>
      <x:c r="C38" s="48" t="str">
        <x:v>住宅小区倾向</x:v>
      </x:c>
      <x:c r="D38" s="48" t="str">
        <x:v>黄贝岭</x:v>
      </x:c>
      <x:c r="E38" s="55" t="n">
        <x:v>1063</x:v>
      </x:c>
      <x:c r="F38" s="56" t="n">
        <x:v>14.2</x:v>
      </x:c>
      <x:c r="G38" s="55" t="n">
        <x:v>554</x:v>
      </x:c>
      <x:c r="H38" s="57" t="n">
        <x:v>2747</x:v>
      </x:c>
      <x:c r="I38" s="57" t="n">
        <x:v>2780</x:v>
      </x:c>
      <x:c r="J38" s="57" t="n">
        <x:v>2630</x:v>
      </x:c>
      <x:c r="K38" s="57" t="n">
        <x:v>2880</x:v>
      </x:c>
      <x:c r="L38" s="48" t="n">
        <x:v>11</x:v>
      </x:c>
      <x:c r="M38" s="48" t="n">
        <x:v>11</x:v>
      </x:c>
      <x:c r="N38" s="48" t="n">
        <x:v>0</x:v>
      </x:c>
      <x:c r="O38" s="48" t="str">
        <x:v>中</x:v>
      </x:c>
      <x:c r="P38" s="48" t="str">
        <x:v>全开放式</x:v>
      </x:c>
      <x:c r="Q38" s="48" t="str">
        <x:v>住宅</x:v>
      </x:c>
      <x:c r="R38" s="56" t="n">
        <x:v>3.2</x:v>
      </x:c>
      <x:c r="S38" s="56" t="n">
        <x:v>3.6</x:v>
      </x:c>
      <x:c r="T38" s="56" t="n">
        <x:v>0</x:v>
      </x:c>
      <x:c r="U38" s="56" t="n">
        <x:f>MAX(0,5-F38/5)</x:f>
        <x:v>2.16</x:v>
      </x:c>
      <x:c r="V38" s="56" t="n">
        <x:f>MAX(0,MIN(5,(5000-I38)/520))</x:f>
        <x:v>4.269230769230769</x:v>
      </x:c>
      <x:c r="W38" s="56" t="n">
        <x:f>MIN(5,LOG(L38+1,2))</x:f>
        <x:v>3.5849625007211565</x:v>
      </x:c>
      <x:c r="X38" s="56" t="n">
        <x:f>ROUND(U38*$AB$2+R38*$AB$3+V38*$AB$4+W38*$AB$5+S38*$AB$6,1)</x:f>
        <x:v>66.8</x:v>
      </x:c>
      <x:c r="Y38" s="48" t="str">
        <x:f>IF(AND(F38&lt;=8,I38&lt;=3800,R38&gt;=3.5,L38&gt;=6),"优先看房",IF(AND(F38&lt;=12,I38&lt;=4500,R38&gt;=3),"可进入备选","谨慎/低优先"))</x:f>
        <x:v>谨慎/低优先</x:v>
      </x:c>
      <x:c r="Z38" s="48"/>
      <x:c r="AA38" s="48"/>
      <x:c r="AB38" s="48"/>
    </x:row>
    <x:row r="39">
      <x:c r="A39" s="48" t="n">
        <x:v>35</x:v>
      </x:c>
      <x:c r="B39" s="48" t="str">
        <x:v>广东省银行大厦</x:v>
      </x:c>
      <x:c r="C39" s="48" t="str">
        <x:v>住宅小区倾向</x:v>
      </x:c>
      <x:c r="D39" s="48" t="str">
        <x:v>罗湖</x:v>
      </x:c>
      <x:c r="E39" s="55" t="n">
        <x:v>433</x:v>
      </x:c>
      <x:c r="F39" s="56" t="n">
        <x:v>5.8</x:v>
      </x:c>
      <x:c r="G39" s="55" t="n">
        <x:v>359</x:v>
      </x:c>
      <x:c r="H39" s="57" t="n">
        <x:v>3200</x:v>
      </x:c>
      <x:c r="I39" s="57" t="n">
        <x:v>3200</x:v>
      </x:c>
      <x:c r="J39" s="57" t="n">
        <x:v>3200</x:v>
      </x:c>
      <x:c r="K39" s="57" t="n">
        <x:v>3200</x:v>
      </x:c>
      <x:c r="L39" s="48" t="n">
        <x:v>1</x:v>
      </x:c>
      <x:c r="M39" s="48" t="n">
        <x:v>1</x:v>
      </x:c>
      <x:c r="N39" s="48" t="n">
        <x:v>0</x:v>
      </x:c>
      <x:c r="O39" s="48" t="str">
        <x:v>低</x:v>
      </x:c>
      <x:c r="P39" s="48" t="str">
        <x:v>全开放式</x:v>
      </x:c>
      <x:c r="Q39" s="48" t="str">
        <x:v>住宅、写字楼、商铺</x:v>
      </x:c>
      <x:c r="R39" s="56" t="n">
        <x:v>2.4</x:v>
      </x:c>
      <x:c r="S39" s="56" t="n">
        <x:v>3.5</x:v>
      </x:c>
      <x:c r="T39" s="56" t="n">
        <x:v>0</x:v>
      </x:c>
      <x:c r="U39" s="56" t="n">
        <x:f>MAX(0,5-F39/5)</x:f>
        <x:v>3.84</x:v>
      </x:c>
      <x:c r="V39" s="56" t="n">
        <x:f>MAX(0,MIN(5,(5000-I39)/520))</x:f>
        <x:v>3.4615384615384617</x:v>
      </x:c>
      <x:c r="W39" s="56" t="n">
        <x:f>MIN(5,LOG(L39+1,2))</x:f>
        <x:v>1</x:v>
      </x:c>
      <x:c r="X39" s="56" t="n">
        <x:f>ROUND(U39*$AB$2+R39*$AB$3+V39*$AB$4+W39*$AB$5+S39*$AB$6,1)</x:f>
        <x:v>62.7</x:v>
      </x:c>
      <x:c r="Y39" s="48" t="str">
        <x:f>IF(AND(F39&lt;=8,I39&lt;=3800,R39&gt;=3.5,L39&gt;=6),"优先看房",IF(AND(F39&lt;=12,I39&lt;=4500,R39&gt;=3),"可进入备选","谨慎/低优先"))</x:f>
        <x:v>谨慎/低优先</x:v>
      </x:c>
      <x:c r="Z39" s="48"/>
      <x:c r="AA39" s="48"/>
      <x:c r="AB39" s="48"/>
    </x:row>
    <x:row r="40">
      <x:c r="A40" s="48" t="n">
        <x:v>36</x:v>
      </x:c>
      <x:c r="B40" s="48" t="str">
        <x:v>华深公寓</x:v>
      </x:c>
      <x:c r="C40" s="48" t="str">
        <x:v>住宅小区倾向</x:v>
      </x:c>
      <x:c r="D40" s="48" t="str">
        <x:v>黄贝岭</x:v>
      </x:c>
      <x:c r="E40" s="55" t="n">
        <x:v>1133</x:v>
      </x:c>
      <x:c r="F40" s="56" t="n">
        <x:v>15.1</x:v>
      </x:c>
      <x:c r="G40" s="55" t="n">
        <x:v>710</x:v>
      </x:c>
      <x:c r="H40" s="57" t="n">
        <x:v>2600</x:v>
      </x:c>
      <x:c r="I40" s="57" t="n">
        <x:v>2550</x:v>
      </x:c>
      <x:c r="J40" s="57" t="n">
        <x:v>2500</x:v>
      </x:c>
      <x:c r="K40" s="57" t="n">
        <x:v>2700</x:v>
      </x:c>
      <x:c r="L40" s="48" t="n">
        <x:v>8</x:v>
      </x:c>
      <x:c r="M40" s="48" t="n">
        <x:v>12</x:v>
      </x:c>
      <x:c r="N40" s="48" t="n">
        <x:v>4</x:v>
      </x:c>
      <x:c r="O40" s="48" t="str">
        <x:v>中</x:v>
      </x:c>
      <x:c r="P40" s="48" t="str">
        <x:v>待核</x:v>
      </x:c>
      <x:c r="Q40" s="48" t="str">
        <x:v>住宅</x:v>
      </x:c>
      <x:c r="R40" s="56" t="n">
        <x:v>3.8</x:v>
      </x:c>
      <x:c r="S40" s="56" t="n">
        <x:v>2.3</x:v>
      </x:c>
      <x:c r="T40" s="56" t="n">
        <x:v>0</x:v>
      </x:c>
      <x:c r="U40" s="56" t="n">
        <x:f>MAX(0,5-F40/5)</x:f>
        <x:v>1.98</x:v>
      </x:c>
      <x:c r="V40" s="56" t="n">
        <x:f>MAX(0,MIN(5,(5000-I40)/520))</x:f>
        <x:v>4.711538461538462</x:v>
      </x:c>
      <x:c r="W40" s="56" t="n">
        <x:f>MIN(5,LOG(L40+1,2))</x:f>
        <x:v>3.1699250014423126</x:v>
      </x:c>
      <x:c r="X40" s="56" t="n">
        <x:f>ROUND(U40*$AB$2+R40*$AB$3+V40*$AB$4+W40*$AB$5+S40*$AB$6,1)</x:f>
        <x:v>68.2</x:v>
      </x:c>
      <x:c r="Y40" s="48" t="str">
        <x:f>IF(AND(F40&lt;=8,I40&lt;=3800,R40&gt;=3.5,L40&gt;=6),"优先看房",IF(AND(F40&lt;=12,I40&lt;=4500,R40&gt;=3),"可进入备选","谨慎/低优先"))</x:f>
        <x:v>谨慎/低优先</x:v>
      </x:c>
      <x:c r="Z40" s="48"/>
      <x:c r="AA40" s="48"/>
      <x:c r="AB40" s="48"/>
    </x:row>
    <x:row r="41">
      <x:c r="A41" s="48" t="n">
        <x:v>37</x:v>
      </x:c>
      <x:c r="B41" s="48" t="str">
        <x:v>锦星花园</x:v>
      </x:c>
      <x:c r="C41" s="48" t="str">
        <x:v>住宅小区倾向</x:v>
      </x:c>
      <x:c r="D41" s="48" t="str">
        <x:v>黄贝岭</x:v>
      </x:c>
      <x:c r="E41" s="55" t="n">
        <x:v>725</x:v>
      </x:c>
      <x:c r="F41" s="56" t="n">
        <x:v>9.7</x:v>
      </x:c>
      <x:c r="G41" s="55" t="n">
        <x:v>552</x:v>
      </x:c>
      <x:c r="H41" s="57" t="n">
        <x:v>2900</x:v>
      </x:c>
      <x:c r="I41" s="57" t="n">
        <x:v>2900</x:v>
      </x:c>
      <x:c r="J41" s="57" t="n">
        <x:v>2850</x:v>
      </x:c>
      <x:c r="K41" s="57" t="n">
        <x:v>2950</x:v>
      </x:c>
      <x:c r="L41" s="48" t="n">
        <x:v>2</x:v>
      </x:c>
      <x:c r="M41" s="48" t="n">
        <x:v>2</x:v>
      </x:c>
      <x:c r="N41" s="48" t="n">
        <x:v>0</x:v>
      </x:c>
      <x:c r="O41" s="48" t="str">
        <x:v>低</x:v>
      </x:c>
      <x:c r="P41" s="48" t="str">
        <x:v>半开放式</x:v>
      </x:c>
      <x:c r="Q41" s="48" t="str">
        <x:v>住宅、写字楼、商铺</x:v>
      </x:c>
      <x:c r="R41" s="56" t="n">
        <x:v>3</x:v>
      </x:c>
      <x:c r="S41" s="56" t="n">
        <x:v>3.9</x:v>
      </x:c>
      <x:c r="T41" s="56" t="n">
        <x:v>0</x:v>
      </x:c>
      <x:c r="U41" s="56" t="n">
        <x:f>MAX(0,5-F41/5)</x:f>
        <x:v>3.06</x:v>
      </x:c>
      <x:c r="V41" s="56" t="n">
        <x:f>MAX(0,MIN(5,(5000-I41)/520))</x:f>
        <x:v>4.038461538461538</x:v>
      </x:c>
      <x:c r="W41" s="56" t="n">
        <x:f>MIN(5,LOG(L41+1,2))</x:f>
        <x:v>1.584962500721156</x:v>
      </x:c>
      <x:c r="X41" s="56" t="n">
        <x:f>ROUND(U41*$AB$2+R41*$AB$3+V41*$AB$4+W41*$AB$5+S41*$AB$6,1)</x:f>
        <x:v>65.3</x:v>
      </x:c>
      <x:c r="Y41" s="48" t="str">
        <x:f>IF(AND(F41&lt;=8,I41&lt;=3800,R41&gt;=3.5,L41&gt;=6),"优先看房",IF(AND(F41&lt;=12,I41&lt;=4500,R41&gt;=3),"可进入备选","谨慎/低优先"))</x:f>
        <x:v>可进入备选</x:v>
      </x:c>
      <x:c r="Z41" s="48"/>
      <x:c r="AA41" s="48"/>
      <x:c r="AB41" s="48"/>
    </x:row>
    <x:row r="42">
      <x:c r="A42" s="48" t="n">
        <x:v>38</x:v>
      </x:c>
      <x:c r="B42" s="48" t="str">
        <x:v>雅馨居</x:v>
      </x:c>
      <x:c r="C42" s="48" t="str">
        <x:v>住宅小区倾向</x:v>
      </x:c>
      <x:c r="D42" s="48" t="str">
        <x:v>红岭</x:v>
      </x:c>
      <x:c r="E42" s="55" t="n">
        <x:v>964</x:v>
      </x:c>
      <x:c r="F42" s="56" t="n">
        <x:v>12.8</x:v>
      </x:c>
      <x:c r="G42" s="55" t="n">
        <x:v>688</x:v>
      </x:c>
      <x:c r="H42" s="57" t="n">
        <x:v>3515</x:v>
      </x:c>
      <x:c r="I42" s="57" t="n">
        <x:v>3200</x:v>
      </x:c>
      <x:c r="J42" s="57" t="n">
        <x:v>2950</x:v>
      </x:c>
      <x:c r="K42" s="57" t="n">
        <x:v>4250</x:v>
      </x:c>
      <x:c r="L42" s="48" t="n">
        <x:v>15</x:v>
      </x:c>
      <x:c r="M42" s="48" t="n">
        <x:v>22</x:v>
      </x:c>
      <x:c r="N42" s="48" t="n">
        <x:v>7</x:v>
      </x:c>
      <x:c r="O42" s="48" t="str">
        <x:v>高</x:v>
      </x:c>
      <x:c r="P42" s="48" t="str">
        <x:v>半开放式</x:v>
      </x:c>
      <x:c r="Q42" s="48" t="str">
        <x:v>住宅、商铺</x:v>
      </x:c>
      <x:c r="R42" s="56" t="n">
        <x:v>3.4</x:v>
      </x:c>
      <x:c r="S42" s="56" t="n">
        <x:v>2.9</x:v>
      </x:c>
      <x:c r="T42" s="56" t="n">
        <x:v>0</x:v>
      </x:c>
      <x:c r="U42" s="56" t="n">
        <x:f>MAX(0,5-F42/5)</x:f>
        <x:v>2.44</x:v>
      </x:c>
      <x:c r="V42" s="56" t="n">
        <x:f>MAX(0,MIN(5,(5000-I42)/520))</x:f>
        <x:v>3.4615384615384617</x:v>
      </x:c>
      <x:c r="W42" s="56" t="n">
        <x:f>MIN(5,LOG(L42+1,2))</x:f>
        <x:v>4</x:v>
      </x:c>
      <x:c r="X42" s="56" t="n">
        <x:f>ROUND(U42*$AB$2+R42*$AB$3+V42*$AB$4+W42*$AB$5+S42*$AB$6,1)</x:f>
        <x:v>66.3</x:v>
      </x:c>
      <x:c r="Y42" s="48" t="str">
        <x:f>IF(AND(F42&lt;=8,I42&lt;=3800,R42&gt;=3.5,L42&gt;=6),"优先看房",IF(AND(F42&lt;=12,I42&lt;=4500,R42&gt;=3),"可进入备选","谨慎/低优先"))</x:f>
        <x:v>谨慎/低优先</x:v>
      </x:c>
      <x:c r="Z42" s="48"/>
      <x:c r="AA42" s="48"/>
      <x:c r="AB42" s="48"/>
    </x:row>
    <x:row r="43">
      <x:c r="A43" s="48" t="n">
        <x:v>39</x:v>
      </x:c>
      <x:c r="B43" s="48" t="str">
        <x:v>联城美园</x:v>
      </x:c>
      <x:c r="C43" s="48" t="str">
        <x:v>住宅小区倾向</x:v>
      </x:c>
      <x:c r="D43" s="48" t="str">
        <x:v>湖贝</x:v>
      </x:c>
      <x:c r="E43" s="55" t="n">
        <x:v>556</x:v>
      </x:c>
      <x:c r="F43" s="56" t="n">
        <x:v>7.4</x:v>
      </x:c>
      <x:c r="G43" s="55" t="n">
        <x:v>342</x:v>
      </x:c>
      <x:c r="H43" s="57" t="n">
        <x:v>3794</x:v>
      </x:c>
      <x:c r="I43" s="57" t="n">
        <x:v>3850</x:v>
      </x:c>
      <x:c r="J43" s="57" t="n">
        <x:v>3400</x:v>
      </x:c>
      <x:c r="K43" s="57" t="n">
        <x:v>4225</x:v>
      </x:c>
      <x:c r="L43" s="48" t="n">
        <x:v>10</x:v>
      </x:c>
      <x:c r="M43" s="48" t="n">
        <x:v>10</x:v>
      </x:c>
      <x:c r="N43" s="48" t="n">
        <x:v>0</x:v>
      </x:c>
      <x:c r="O43" s="48" t="str">
        <x:v>中</x:v>
      </x:c>
      <x:c r="P43" s="48" t="str">
        <x:v>全封闭式</x:v>
      </x:c>
      <x:c r="Q43" s="48" t="str">
        <x:v>住宅</x:v>
      </x:c>
      <x:c r="R43" s="56" t="n">
        <x:v>5</x:v>
      </x:c>
      <x:c r="S43" s="56" t="n">
        <x:v>4.3</x:v>
      </x:c>
      <x:c r="T43" s="56" t="n">
        <x:v>0</x:v>
      </x:c>
      <x:c r="U43" s="56" t="n">
        <x:f>MAX(0,5-F43/5)</x:f>
        <x:v>3.52</x:v>
      </x:c>
      <x:c r="V43" s="56" t="n">
        <x:f>MAX(0,MIN(5,(5000-I43)/520))</x:f>
        <x:v>2.2115384615384617</x:v>
      </x:c>
      <x:c r="W43" s="56" t="n">
        <x:f>MIN(5,LOG(L43+1,2))</x:f>
        <x:v>3.4594316186372978</x:v>
      </x:c>
      <x:c r="X43" s="56" t="n">
        <x:f>ROUND(U43*$AB$2+R43*$AB$3+V43*$AB$4+W43*$AB$5+S43*$AB$6,1)</x:f>
        <x:v>75.4</x:v>
      </x:c>
      <x:c r="Y43" s="48" t="str">
        <x:f>IF(AND(F43&lt;=8,I43&lt;=3800,R43&gt;=3.5,L43&gt;=6),"优先看房",IF(AND(F43&lt;=12,I43&lt;=4500,R43&gt;=3),"可进入备选","谨慎/低优先"))</x:f>
        <x:v>可进入备选</x:v>
      </x:c>
      <x:c r="Z43" s="48"/>
      <x:c r="AA43" s="48"/>
      <x:c r="AB43" s="48"/>
    </x:row>
    <x:row r="44">
      <x:c r="A44" s="48" t="n">
        <x:v>40</x:v>
      </x:c>
      <x:c r="B44" s="48" t="str">
        <x:v>东门广场</x:v>
      </x:c>
      <x:c r="C44" s="48" t="str">
        <x:v>住宅小区倾向</x:v>
      </x:c>
      <x:c r="D44" s="48" t="str">
        <x:v>湖贝</x:v>
      </x:c>
      <x:c r="E44" s="55" t="n">
        <x:v>445</x:v>
      </x:c>
      <x:c r="F44" s="56" t="n">
        <x:v>5.9</x:v>
      </x:c>
      <x:c r="G44" s="55" t="n">
        <x:v>176</x:v>
      </x:c>
      <x:c r="H44" s="57" t="n">
        <x:v>3300</x:v>
      </x:c>
      <x:c r="I44" s="57" t="n">
        <x:v>3300</x:v>
      </x:c>
      <x:c r="J44" s="57" t="n">
        <x:v>3300</x:v>
      </x:c>
      <x:c r="K44" s="57" t="n">
        <x:v>3300</x:v>
      </x:c>
      <x:c r="L44" s="48" t="n">
        <x:v>1</x:v>
      </x:c>
      <x:c r="M44" s="48" t="n">
        <x:v>1</x:v>
      </x:c>
      <x:c r="N44" s="48" t="n">
        <x:v>0</x:v>
      </x:c>
      <x:c r="O44" s="48" t="str">
        <x:v>低</x:v>
      </x:c>
      <x:c r="P44" s="48" t="str">
        <x:v>全开放式</x:v>
      </x:c>
      <x:c r="Q44" s="48" t="str">
        <x:v>住宅</x:v>
      </x:c>
      <x:c r="R44" s="56" t="n">
        <x:v>3.2</x:v>
      </x:c>
      <x:c r="S44" s="56" t="n">
        <x:v>3</x:v>
      </x:c>
      <x:c r="T44" s="56" t="n">
        <x:v>0</x:v>
      </x:c>
      <x:c r="U44" s="56" t="n">
        <x:f>MAX(0,5-F44/5)</x:f>
        <x:v>3.82</x:v>
      </x:c>
      <x:c r="V44" s="56" t="n">
        <x:f>MAX(0,MIN(5,(5000-I44)/520))</x:f>
        <x:v>3.269230769230769</x:v>
      </x:c>
      <x:c r="W44" s="56" t="n">
        <x:f>MIN(5,LOG(L44+1,2))</x:f>
        <x:v>1</x:v>
      </x:c>
      <x:c r="X44" s="56" t="n">
        <x:f>ROUND(U44*$AB$2+R44*$AB$3+V44*$AB$4+W44*$AB$5+S44*$AB$6,1)</x:f>
        <x:v>65.1</x:v>
      </x:c>
      <x:c r="Y44" s="48" t="str">
        <x:f>IF(AND(F44&lt;=8,I44&lt;=3800,R44&gt;=3.5,L44&gt;=6),"优先看房",IF(AND(F44&lt;=12,I44&lt;=4500,R44&gt;=3),"可进入备选","谨慎/低优先"))</x:f>
        <x:v>可进入备选</x:v>
      </x:c>
      <x:c r="Z44" s="48"/>
      <x:c r="AA44" s="48"/>
      <x:c r="AB44" s="48"/>
    </x:row>
    <x:row r="45">
      <x:c r="A45" s="48" t="n">
        <x:v>41</x:v>
      </x:c>
      <x:c r="B45" s="48" t="str">
        <x:v>福德花园</x:v>
      </x:c>
      <x:c r="C45" s="48" t="str">
        <x:v>住宅小区倾向</x:v>
      </x:c>
      <x:c r="D45" s="48" t="str">
        <x:v>黄贝岭</x:v>
      </x:c>
      <x:c r="E45" s="55" t="n">
        <x:v>349</x:v>
      </x:c>
      <x:c r="F45" s="56" t="n">
        <x:v>4.7</x:v>
      </x:c>
      <x:c r="G45" s="55" t="n">
        <x:v>310</x:v>
      </x:c>
      <x:c r="H45" s="57" t="n">
        <x:v>3500</x:v>
      </x:c>
      <x:c r="I45" s="57" t="n">
        <x:v>3500</x:v>
      </x:c>
      <x:c r="J45" s="57" t="n">
        <x:v>3500</x:v>
      </x:c>
      <x:c r="K45" s="57" t="n">
        <x:v>3500</x:v>
      </x:c>
      <x:c r="L45" s="48" t="n">
        <x:v>1</x:v>
      </x:c>
      <x:c r="M45" s="48" t="n">
        <x:v>1</x:v>
      </x:c>
      <x:c r="N45" s="48" t="n">
        <x:v>0</x:v>
      </x:c>
      <x:c r="O45" s="48" t="str">
        <x:v>低</x:v>
      </x:c>
      <x:c r="P45" s="48" t="str">
        <x:v>半开放式</x:v>
      </x:c>
      <x:c r="Q45" s="48" t="str">
        <x:v>住宅、商铺</x:v>
      </x:c>
      <x:c r="R45" s="56" t="n">
        <x:v>3.4</x:v>
      </x:c>
      <x:c r="S45" s="56" t="n">
        <x:v>3.6</x:v>
      </x:c>
      <x:c r="T45" s="56" t="n">
        <x:v>0</x:v>
      </x:c>
      <x:c r="U45" s="56" t="n">
        <x:f>MAX(0,5-F45/5)</x:f>
        <x:v>4.06</x:v>
      </x:c>
      <x:c r="V45" s="56" t="n">
        <x:f>MAX(0,MIN(5,(5000-I45)/520))</x:f>
        <x:v>2.8846153846153846</x:v>
      </x:c>
      <x:c r="W45" s="56" t="n">
        <x:f>MIN(5,LOG(L45+1,2))</x:f>
        <x:v>1</x:v>
      </x:c>
      <x:c r="X45" s="56" t="n">
        <x:f>ROUND(U45*$AB$2+R45*$AB$3+V45*$AB$4+W45*$AB$5+S45*$AB$6,1)</x:f>
        <x:v>66.4</x:v>
      </x:c>
      <x:c r="Y45" s="48" t="str">
        <x:f>IF(AND(F45&lt;=8,I45&lt;=3800,R45&gt;=3.5,L45&gt;=6),"优先看房",IF(AND(F45&lt;=12,I45&lt;=4500,R45&gt;=3),"可进入备选","谨慎/低优先"))</x:f>
        <x:v>可进入备选</x:v>
      </x:c>
      <x:c r="Z45" s="48"/>
      <x:c r="AA45" s="48"/>
      <x:c r="AB45" s="48"/>
    </x:row>
    <x:row r="46">
      <x:c r="A46" s="48" t="n">
        <x:v>42</x:v>
      </x:c>
      <x:c r="B46" s="48" t="str">
        <x:v>鹏盛村</x:v>
      </x:c>
      <x:c r="C46" s="48" t="str">
        <x:v>住宅小区倾向</x:v>
      </x:c>
      <x:c r="D46" s="48" t="str">
        <x:v>红岭</x:v>
      </x:c>
      <x:c r="E46" s="55" t="n">
        <x:v>1148</x:v>
      </x:c>
      <x:c r="F46" s="56" t="n">
        <x:v>15.3</x:v>
      </x:c>
      <x:c r="G46" s="55" t="n">
        <x:v>954</x:v>
      </x:c>
      <x:c r="H46" s="57" t="n">
        <x:v>3129</x:v>
      </x:c>
      <x:c r="I46" s="57" t="n">
        <x:v>3200</x:v>
      </x:c>
      <x:c r="J46" s="57" t="n">
        <x:v>2825</x:v>
      </x:c>
      <x:c r="K46" s="57" t="n">
        <x:v>3375</x:v>
      </x:c>
      <x:c r="L46" s="48" t="n">
        <x:v>30</x:v>
      </x:c>
      <x:c r="M46" s="48" t="n">
        <x:v>37</x:v>
      </x:c>
      <x:c r="N46" s="48" t="n">
        <x:v>7</x:v>
      </x:c>
      <x:c r="O46" s="48" t="str">
        <x:v>高</x:v>
      </x:c>
      <x:c r="P46" s="48" t="str">
        <x:v>全封闭式</x:v>
      </x:c>
      <x:c r="Q46" s="48" t="str">
        <x:v>住宅、商铺、车位</x:v>
      </x:c>
      <x:c r="R46" s="56" t="n">
        <x:v>4.6</x:v>
      </x:c>
      <x:c r="S46" s="56" t="n">
        <x:v>2.9</x:v>
      </x:c>
      <x:c r="T46" s="56" t="n">
        <x:v>0</x:v>
      </x:c>
      <x:c r="U46" s="56" t="n">
        <x:f>MAX(0,5-F46/5)</x:f>
        <x:v>1.94</x:v>
      </x:c>
      <x:c r="V46" s="56" t="n">
        <x:f>MAX(0,MIN(5,(5000-I46)/520))</x:f>
        <x:v>3.4615384615384617</x:v>
      </x:c>
      <x:c r="W46" s="56" t="n">
        <x:f>MIN(5,LOG(L46+1,2))</x:f>
        <x:v>4.954196310386876</x:v>
      </x:c>
      <x:c r="X46" s="56" t="n">
        <x:f>ROUND(U46*$AB$2+R46*$AB$3+V46*$AB$4+W46*$AB$5+S46*$AB$6,1)</x:f>
        <x:v>71.7</x:v>
      </x:c>
      <x:c r="Y46" s="48" t="str">
        <x:f>IF(AND(F46&lt;=8,I46&lt;=3800,R46&gt;=3.5,L46&gt;=6),"优先看房",IF(AND(F46&lt;=12,I46&lt;=4500,R46&gt;=3),"可进入备选","谨慎/低优先"))</x:f>
        <x:v>谨慎/低优先</x:v>
      </x:c>
      <x:c r="Z46" s="48"/>
      <x:c r="AA46" s="48"/>
      <x:c r="AB46" s="48"/>
    </x:row>
    <x:row r="47">
      <x:c r="A47" s="48" t="n">
        <x:v>43</x:v>
      </x:c>
      <x:c r="B47" s="48" t="str">
        <x:v>物资大院</x:v>
      </x:c>
      <x:c r="C47" s="48" t="str">
        <x:v>住宅小区倾向</x:v>
      </x:c>
      <x:c r="D47" s="48" t="str">
        <x:v>晒布</x:v>
      </x:c>
      <x:c r="E47" s="55" t="n">
        <x:v>951</x:v>
      </x:c>
      <x:c r="F47" s="56" t="n">
        <x:v>12.7</x:v>
      </x:c>
      <x:c r="G47" s="55" t="n">
        <x:v>613</x:v>
      </x:c>
      <x:c r="H47" s="57" t="n">
        <x:v>2590</x:v>
      </x:c>
      <x:c r="I47" s="57" t="n">
        <x:v>2590</x:v>
      </x:c>
      <x:c r="J47" s="57" t="n">
        <x:v>2535</x:v>
      </x:c>
      <x:c r="K47" s="57" t="n">
        <x:v>2645</x:v>
      </x:c>
      <x:c r="L47" s="48" t="n">
        <x:v>2</x:v>
      </x:c>
      <x:c r="M47" s="48" t="n">
        <x:v>3</x:v>
      </x:c>
      <x:c r="N47" s="48" t="n">
        <x:v>1</x:v>
      </x:c>
      <x:c r="O47" s="48" t="str">
        <x:v>低</x:v>
      </x:c>
      <x:c r="P47" s="48" t="str">
        <x:v>待核</x:v>
      </x:c>
      <x:c r="Q47" s="48" t="str">
        <x:v>住宅</x:v>
      </x:c>
      <x:c r="R47" s="56" t="n">
        <x:v>3.8</x:v>
      </x:c>
      <x:c r="S47" s="56" t="n">
        <x:v>2.3</x:v>
      </x:c>
      <x:c r="T47" s="56" t="n">
        <x:v>0</x:v>
      </x:c>
      <x:c r="U47" s="56" t="n">
        <x:f>MAX(0,5-F47/5)</x:f>
        <x:v>2.46</x:v>
      </x:c>
      <x:c r="V47" s="56" t="n">
        <x:f>MAX(0,MIN(5,(5000-I47)/520))</x:f>
        <x:v>4.634615384615385</x:v>
      </x:c>
      <x:c r="W47" s="56" t="n">
        <x:f>MIN(5,LOG(L47+1,2))</x:f>
        <x:v>1.584962500721156</x:v>
      </x:c>
      <x:c r="X47" s="56" t="n">
        <x:f>ROUND(U47*$AB$2+R47*$AB$3+V47*$AB$4+W47*$AB$5+S47*$AB$6,1)</x:f>
        <x:v>66.4</x:v>
      </x:c>
      <x:c r="Y47" s="48" t="str">
        <x:f>IF(AND(F47&lt;=8,I47&lt;=3800,R47&gt;=3.5,L47&gt;=6),"优先看房",IF(AND(F47&lt;=12,I47&lt;=4500,R47&gt;=3),"可进入备选","谨慎/低优先"))</x:f>
        <x:v>谨慎/低优先</x:v>
      </x:c>
      <x:c r="Z47" s="48"/>
      <x:c r="AA47" s="48"/>
      <x:c r="AB47" s="48"/>
    </x:row>
    <x:row r="48">
      <x:c r="A48" s="48" t="n">
        <x:v>44</x:v>
      </x:c>
      <x:c r="B48" s="48" t="str">
        <x:v>高嘉大厦</x:v>
      </x:c>
      <x:c r="C48" s="48" t="str">
        <x:v>住宅小区倾向</x:v>
      </x:c>
      <x:c r="D48" s="48" t="str">
        <x:v>湖贝</x:v>
      </x:c>
      <x:c r="E48" s="55" t="n">
        <x:v>711</x:v>
      </x:c>
      <x:c r="F48" s="56" t="n">
        <x:v>9.5</x:v>
      </x:c>
      <x:c r="G48" s="55" t="n">
        <x:v>534</x:v>
      </x:c>
      <x:c r="H48" s="57" t="n">
        <x:v>3000</x:v>
      </x:c>
      <x:c r="I48" s="57" t="n">
        <x:v>3200</x:v>
      </x:c>
      <x:c r="J48" s="57" t="n">
        <x:v>2850</x:v>
      </x:c>
      <x:c r="K48" s="57" t="n">
        <x:v>3250</x:v>
      </x:c>
      <x:c r="L48" s="48" t="n">
        <x:v>3</x:v>
      </x:c>
      <x:c r="M48" s="48" t="n">
        <x:v>3</x:v>
      </x:c>
      <x:c r="N48" s="48" t="n">
        <x:v>0</x:v>
      </x:c>
      <x:c r="O48" s="48" t="str">
        <x:v>低</x:v>
      </x:c>
      <x:c r="P48" s="48" t="str">
        <x:v>半开放式</x:v>
      </x:c>
      <x:c r="Q48" s="48" t="str">
        <x:v>住宅、写字楼、商铺</x:v>
      </x:c>
      <x:c r="R48" s="56" t="n">
        <x:v>3</x:v>
      </x:c>
      <x:c r="S48" s="56" t="n">
        <x:v>3.9</x:v>
      </x:c>
      <x:c r="T48" s="56" t="n">
        <x:v>0</x:v>
      </x:c>
      <x:c r="U48" s="56" t="n">
        <x:f>MAX(0,5-F48/5)</x:f>
        <x:v>3.1</x:v>
      </x:c>
      <x:c r="V48" s="56" t="n">
        <x:f>MAX(0,MIN(5,(5000-I48)/520))</x:f>
        <x:v>3.4615384615384617</x:v>
      </x:c>
      <x:c r="W48" s="56" t="n">
        <x:f>MIN(5,LOG(L48+1,2))</x:f>
        <x:v>2</x:v>
      </x:c>
      <x:c r="X48" s="56" t="n">
        <x:f>ROUND(U48*$AB$2+R48*$AB$3+V48*$AB$4+W48*$AB$5+S48*$AB$6,1)</x:f>
        <x:v>63.9</x:v>
      </x:c>
      <x:c r="Y48" s="48" t="str">
        <x:f>IF(AND(F48&lt;=8,I48&lt;=3800,R48&gt;=3.5,L48&gt;=6),"优先看房",IF(AND(F48&lt;=12,I48&lt;=4500,R48&gt;=3),"可进入备选","谨慎/低优先"))</x:f>
        <x:v>可进入备选</x:v>
      </x:c>
      <x:c r="Z48" s="48"/>
      <x:c r="AA48" s="48"/>
      <x:c r="AB48" s="48"/>
    </x:row>
    <x:row r="49">
      <x:c r="A49" s="48" t="n">
        <x:v>45</x:v>
      </x:c>
      <x:c r="B49" s="48" t="str">
        <x:v>洪二村</x:v>
      </x:c>
      <x:c r="C49" s="48" t="str">
        <x:v>住宅小区倾向</x:v>
      </x:c>
      <x:c r="D49" s="48" t="str">
        <x:v>红岭</x:v>
      </x:c>
      <x:c r="E49" s="55" t="n">
        <x:v>902</x:v>
      </x:c>
      <x:c r="F49" s="56" t="n">
        <x:v>12</x:v>
      </x:c>
      <x:c r="G49" s="55" t="n">
        <x:v>521</x:v>
      </x:c>
      <x:c r="H49" s="57" t="n">
        <x:v>2700</x:v>
      </x:c>
      <x:c r="I49" s="57" t="n">
        <x:v>2700</x:v>
      </x:c>
      <x:c r="J49" s="57" t="n">
        <x:v>2700</x:v>
      </x:c>
      <x:c r="K49" s="57" t="n">
        <x:v>2700</x:v>
      </x:c>
      <x:c r="L49" s="48" t="n">
        <x:v>2</x:v>
      </x:c>
      <x:c r="M49" s="48" t="n">
        <x:v>2</x:v>
      </x:c>
      <x:c r="N49" s="48" t="n">
        <x:v>0</x:v>
      </x:c>
      <x:c r="O49" s="48" t="str">
        <x:v>低</x:v>
      </x:c>
      <x:c r="P49" s="48" t="str">
        <x:v>全开放式</x:v>
      </x:c>
      <x:c r="Q49" s="48" t="str">
        <x:v>住宅</x:v>
      </x:c>
      <x:c r="R49" s="56" t="n">
        <x:v>3.2</x:v>
      </x:c>
      <x:c r="S49" s="56" t="n">
        <x:v>3.9</x:v>
      </x:c>
      <x:c r="T49" s="56" t="n">
        <x:v>0</x:v>
      </x:c>
      <x:c r="U49" s="56" t="n">
        <x:f>MAX(0,5-F49/5)</x:f>
        <x:v>2.6</x:v>
      </x:c>
      <x:c r="V49" s="56" t="n">
        <x:f>MAX(0,MIN(5,(5000-I49)/520))</x:f>
        <x:v>4.423076923076923</x:v>
      </x:c>
      <x:c r="W49" s="56" t="n">
        <x:f>MIN(5,LOG(L49+1,2))</x:f>
        <x:v>1.584962500721156</x:v>
      </x:c>
      <x:c r="X49" s="56" t="n">
        <x:f>ROUND(U49*$AB$2+R49*$AB$3+V49*$AB$4+W49*$AB$5+S49*$AB$6,1)</x:f>
        <x:v>65</x:v>
      </x:c>
      <x:c r="Y49" s="48" t="str">
        <x:f>IF(AND(F49&lt;=8,I49&lt;=3800,R49&gt;=3.5,L49&gt;=6),"优先看房",IF(AND(F49&lt;=12,I49&lt;=4500,R49&gt;=3),"可进入备选","谨慎/低优先"))</x:f>
        <x:v>可进入备选</x:v>
      </x:c>
      <x:c r="Z49" s="48"/>
      <x:c r="AA49" s="48"/>
      <x:c r="AB49" s="48"/>
    </x:row>
    <x:row r="50">
      <x:c r="A50" s="48" t="n">
        <x:v>46</x:v>
      </x:c>
      <x:c r="B50" s="48" t="str">
        <x:v>松园南小区</x:v>
      </x:c>
      <x:c r="C50" s="48" t="str">
        <x:v>住宅小区倾向</x:v>
      </x:c>
      <x:c r="D50" s="48" t="str">
        <x:v>红岭</x:v>
      </x:c>
      <x:c r="E50" s="55" t="n">
        <x:v>1061</x:v>
      </x:c>
      <x:c r="F50" s="56" t="n">
        <x:v>14.2</x:v>
      </x:c>
      <x:c r="G50" s="55" t="n">
        <x:v>838</x:v>
      </x:c>
      <x:c r="H50" s="57" t="n">
        <x:v>2560</x:v>
      </x:c>
      <x:c r="I50" s="57" t="n">
        <x:v>2580</x:v>
      </x:c>
      <x:c r="J50" s="57" t="n">
        <x:v>2490</x:v>
      </x:c>
      <x:c r="K50" s="57" t="n">
        <x:v>2640</x:v>
      </x:c>
      <x:c r="L50" s="48" t="n">
        <x:v>3</x:v>
      </x:c>
      <x:c r="M50" s="48" t="n">
        <x:v>3</x:v>
      </x:c>
      <x:c r="N50" s="48" t="n">
        <x:v>0</x:v>
      </x:c>
      <x:c r="O50" s="48" t="str">
        <x:v>低</x:v>
      </x:c>
      <x:c r="P50" s="48" t="str">
        <x:v>半开放式</x:v>
      </x:c>
      <x:c r="Q50" s="48" t="str">
        <x:v>住宅</x:v>
      </x:c>
      <x:c r="R50" s="56" t="n">
        <x:v>3.8</x:v>
      </x:c>
      <x:c r="S50" s="56" t="n">
        <x:v>2.9</x:v>
      </x:c>
      <x:c r="T50" s="56" t="n">
        <x:v>0</x:v>
      </x:c>
      <x:c r="U50" s="56" t="n">
        <x:f>MAX(0,5-F50/5)</x:f>
        <x:v>2.16</x:v>
      </x:c>
      <x:c r="V50" s="56" t="n">
        <x:f>MAX(0,MIN(5,(5000-I50)/520))</x:f>
        <x:v>4.653846153846154</x:v>
      </x:c>
      <x:c r="W50" s="56" t="n">
        <x:f>MIN(5,LOG(L50+1,2))</x:f>
        <x:v>2</x:v>
      </x:c>
      <x:c r="X50" s="56" t="n">
        <x:f>ROUND(U50*$AB$2+R50*$AB$3+V50*$AB$4+W50*$AB$5+S50*$AB$6,1)</x:f>
        <x:v>66.3</x:v>
      </x:c>
      <x:c r="Y50" s="48" t="str">
        <x:f>IF(AND(F50&lt;=8,I50&lt;=3800,R50&gt;=3.5,L50&gt;=6),"优先看房",IF(AND(F50&lt;=12,I50&lt;=4500,R50&gt;=3),"可进入备选","谨慎/低优先"))</x:f>
        <x:v>谨慎/低优先</x:v>
      </x:c>
      <x:c r="Z50" s="48"/>
      <x:c r="AA50" s="48"/>
      <x:c r="AB50" s="48"/>
    </x:row>
    <x:row r="51">
      <x:c r="A51" s="48" t="n">
        <x:v>47</x:v>
      </x:c>
      <x:c r="B51" s="48" t="str">
        <x:v>深港豪苑</x:v>
      </x:c>
      <x:c r="C51" s="48" t="str">
        <x:v>住宅小区倾向</x:v>
      </x:c>
      <x:c r="D51" s="48" t="str">
        <x:v>红岭</x:v>
      </x:c>
      <x:c r="E51" s="55" t="n">
        <x:v>762</x:v>
      </x:c>
      <x:c r="F51" s="56" t="n">
        <x:v>10.2</x:v>
      </x:c>
      <x:c r="G51" s="55" t="n">
        <x:v>574</x:v>
      </x:c>
      <x:c r="H51" s="57" t="n">
        <x:v>3771</x:v>
      </x:c>
      <x:c r="I51" s="57" t="n">
        <x:v>3680</x:v>
      </x:c>
      <x:c r="J51" s="57" t="n">
        <x:v>3600</x:v>
      </x:c>
      <x:c r="K51" s="57" t="n">
        <x:v>4000</x:v>
      </x:c>
      <x:c r="L51" s="48" t="n">
        <x:v>11</x:v>
      </x:c>
      <x:c r="M51" s="48" t="n">
        <x:v>20</x:v>
      </x:c>
      <x:c r="N51" s="48" t="n">
        <x:v>9</x:v>
      </x:c>
      <x:c r="O51" s="48" t="str">
        <x:v>中</x:v>
      </x:c>
      <x:c r="P51" s="48" t="str">
        <x:v>半开放式</x:v>
      </x:c>
      <x:c r="Q51" s="48" t="str">
        <x:v>住宅、写字楼、商铺</x:v>
      </x:c>
      <x:c r="R51" s="56" t="n">
        <x:v>3</x:v>
      </x:c>
      <x:c r="S51" s="56" t="n">
        <x:v>3.2</x:v>
      </x:c>
      <x:c r="T51" s="56" t="n">
        <x:v>0</x:v>
      </x:c>
      <x:c r="U51" s="56" t="n">
        <x:f>MAX(0,5-F51/5)</x:f>
        <x:v>2.96</x:v>
      </x:c>
      <x:c r="V51" s="56" t="n">
        <x:f>MAX(0,MIN(5,(5000-I51)/520))</x:f>
        <x:v>2.5384615384615383</x:v>
      </x:c>
      <x:c r="W51" s="56" t="n">
        <x:f>MIN(5,LOG(L51+1,2))</x:f>
        <x:v>3.5849625007211565</x:v>
      </x:c>
      <x:c r="X51" s="56" t="n">
        <x:f>ROUND(U51*$AB$2+R51*$AB$3+V51*$AB$4+W51*$AB$5+S51*$AB$6,1)</x:f>
        <x:v>62.4</x:v>
      </x:c>
      <x:c r="Y51" s="48" t="str">
        <x:f>IF(AND(F51&lt;=8,I51&lt;=3800,R51&gt;=3.5,L51&gt;=6),"优先看房",IF(AND(F51&lt;=12,I51&lt;=4500,R51&gt;=3),"可进入备选","谨慎/低优先"))</x:f>
        <x:v>可进入备选</x:v>
      </x:c>
      <x:c r="Z51" s="48"/>
      <x:c r="AA51" s="48"/>
      <x:c r="AB51" s="48"/>
    </x:row>
    <x:row r="52">
      <x:c r="A52" s="48" t="n">
        <x:v>48</x:v>
      </x:c>
      <x:c r="B52" s="48" t="str">
        <x:v>红岭大厦</x:v>
      </x:c>
      <x:c r="C52" s="48" t="str">
        <x:v>混合住宅/公寓</x:v>
      </x:c>
      <x:c r="D52" s="48" t="str">
        <x:v>大剧院</x:v>
      </x:c>
      <x:c r="E52" s="55" t="n">
        <x:v>674</x:v>
      </x:c>
      <x:c r="F52" s="56" t="n">
        <x:v>9</x:v>
      </x:c>
      <x:c r="G52" s="55" t="n">
        <x:v>453</x:v>
      </x:c>
      <x:c r="H52" s="57" t="n">
        <x:v>3755</x:v>
      </x:c>
      <x:c r="I52" s="57" t="n">
        <x:v>3800</x:v>
      </x:c>
      <x:c r="J52" s="57" t="n">
        <x:v>3500</x:v>
      </x:c>
      <x:c r="K52" s="57" t="n">
        <x:v>4000</x:v>
      </x:c>
      <x:c r="L52" s="48" t="n">
        <x:v>79</x:v>
      </x:c>
      <x:c r="M52" s="48" t="n">
        <x:v>170</x:v>
      </x:c>
      <x:c r="N52" s="48" t="n">
        <x:v>91</x:v>
      </x:c>
      <x:c r="O52" s="48" t="str">
        <x:v>高</x:v>
      </x:c>
      <x:c r="P52" s="48" t="str">
        <x:v>半开放式</x:v>
      </x:c>
      <x:c r="Q52" s="48" t="str">
        <x:v>住宅、写字楼、商铺、工业、教育、车位</x:v>
      </x:c>
      <x:c r="R52" s="56" t="n">
        <x:v>3</x:v>
      </x:c>
      <x:c r="S52" s="56" t="n">
        <x:v>3.7</x:v>
      </x:c>
      <x:c r="T52" s="56" t="n">
        <x:v>0</x:v>
      </x:c>
      <x:c r="U52" s="56" t="n">
        <x:f>MAX(0,5-F52/5)</x:f>
        <x:v>3.2</x:v>
      </x:c>
      <x:c r="V52" s="56" t="n">
        <x:f>MAX(0,MIN(5,(5000-I52)/520))</x:f>
        <x:v>2.3076923076923075</x:v>
      </x:c>
      <x:c r="W52" s="56" t="n">
        <x:f>MIN(5,LOG(L52+1,2))</x:f>
        <x:v>5</x:v>
      </x:c>
      <x:c r="X52" s="56" t="n">
        <x:f>ROUND(U52*$AB$2+R52*$AB$3+V52*$AB$4+W52*$AB$5+S52*$AB$6,1)</x:f>
        <x:v>67.6</x:v>
      </x:c>
      <x:c r="Y52" s="48" t="str">
        <x:f>IF(AND(F52&lt;=8,I52&lt;=3800,R52&gt;=3.5,L52&gt;=6),"优先看房",IF(AND(F52&lt;=12,I52&lt;=4500,R52&gt;=3),"可进入备选","谨慎/低优先"))</x:f>
        <x:v>可进入备选</x:v>
      </x:c>
      <x:c r="Z52" s="48"/>
      <x:c r="AA52" s="48"/>
      <x:c r="AB52" s="48"/>
    </x:row>
    <x:row r="53">
      <x:c r="A53" s="48" t="n">
        <x:v>49</x:v>
      </x:c>
      <x:c r="B53" s="48" t="str">
        <x:v>红围坊</x:v>
      </x:c>
      <x:c r="C53" s="48" t="str">
        <x:v>住宅小区倾向</x:v>
      </x:c>
      <x:c r="D53" s="48" t="str">
        <x:v>老街</x:v>
      </x:c>
      <x:c r="E53" s="55" t="n">
        <x:v>620</x:v>
      </x:c>
      <x:c r="F53" s="56" t="n">
        <x:v>8.3</x:v>
      </x:c>
      <x:c r="G53" s="55" t="n">
        <x:v>435</x:v>
      </x:c>
      <x:c r="H53" s="57" t="n">
        <x:v>3200</x:v>
      </x:c>
      <x:c r="I53" s="57" t="n">
        <x:v>3200</x:v>
      </x:c>
      <x:c r="J53" s="57" t="n">
        <x:v>3200</x:v>
      </x:c>
      <x:c r="K53" s="57" t="n">
        <x:v>3200</x:v>
      </x:c>
      <x:c r="L53" s="48" t="n">
        <x:v>1</x:v>
      </x:c>
      <x:c r="M53" s="48" t="n">
        <x:v>1</x:v>
      </x:c>
      <x:c r="N53" s="48" t="n">
        <x:v>0</x:v>
      </x:c>
      <x:c r="O53" s="48" t="str">
        <x:v>低</x:v>
      </x:c>
      <x:c r="P53" s="48" t="str">
        <x:v>全开放式</x:v>
      </x:c>
      <x:c r="Q53" s="48" t="str">
        <x:v>住宅</x:v>
      </x:c>
      <x:c r="R53" s="56" t="n">
        <x:v>3.2</x:v>
      </x:c>
      <x:c r="S53" s="56" t="n">
        <x:v>2.5</x:v>
      </x:c>
      <x:c r="T53" s="56" t="n">
        <x:v>0</x:v>
      </x:c>
      <x:c r="U53" s="56" t="n">
        <x:f>MAX(0,5-F53/5)</x:f>
        <x:v>3.34</x:v>
      </x:c>
      <x:c r="V53" s="56" t="n">
        <x:f>MAX(0,MIN(5,(5000-I53)/520))</x:f>
        <x:v>3.4615384615384617</x:v>
      </x:c>
      <x:c r="W53" s="56" t="n">
        <x:f>MIN(5,LOG(L53+1,2))</x:f>
        <x:v>1</x:v>
      </x:c>
      <x:c r="X53" s="56" t="n">
        <x:f>ROUND(U53*$AB$2+R53*$AB$3+V53*$AB$4+W53*$AB$5+S53*$AB$6,1)</x:f>
        <x:v>62.2</x:v>
      </x:c>
      <x:c r="Y53" s="48" t="str">
        <x:f>IF(AND(F53&lt;=8,I53&lt;=3800,R53&gt;=3.5,L53&gt;=6),"优先看房",IF(AND(F53&lt;=12,I53&lt;=4500,R53&gt;=3),"可进入备选","谨慎/低优先"))</x:f>
        <x:v>可进入备选</x:v>
      </x:c>
      <x:c r="Z53" s="48"/>
      <x:c r="AA53" s="48"/>
      <x:c r="AB53" s="48"/>
    </x:row>
    <x:row r="54">
      <x:c r="A54" s="48" t="n">
        <x:v>50</x:v>
      </x:c>
      <x:c r="B54" s="48" t="str">
        <x:v>国际名园</x:v>
      </x:c>
      <x:c r="C54" s="48" t="str">
        <x:v>住宅小区倾向</x:v>
      </x:c>
      <x:c r="D54" s="48" t="str">
        <x:v>国贸</x:v>
      </x:c>
      <x:c r="E54" s="55" t="n">
        <x:v>614</x:v>
      </x:c>
      <x:c r="F54" s="56" t="n">
        <x:v>8.2</x:v>
      </x:c>
      <x:c r="G54" s="55" t="n">
        <x:v>479</x:v>
      </x:c>
      <x:c r="H54" s="57" t="n">
        <x:v>3650</x:v>
      </x:c>
      <x:c r="I54" s="57" t="n">
        <x:v>3650</x:v>
      </x:c>
      <x:c r="J54" s="57" t="n">
        <x:v>2700</x:v>
      </x:c>
      <x:c r="K54" s="57" t="n">
        <x:v>4600</x:v>
      </x:c>
      <x:c r="L54" s="48" t="n">
        <x:v>4</x:v>
      </x:c>
      <x:c r="M54" s="48" t="n">
        <x:v>4</x:v>
      </x:c>
      <x:c r="N54" s="48" t="n">
        <x:v>0</x:v>
      </x:c>
      <x:c r="O54" s="48" t="str">
        <x:v>低</x:v>
      </x:c>
      <x:c r="P54" s="48" t="str">
        <x:v>半开放式</x:v>
      </x:c>
      <x:c r="Q54" s="48" t="str">
        <x:v>住宅</x:v>
      </x:c>
      <x:c r="R54" s="56" t="n">
        <x:v>3.8</x:v>
      </x:c>
      <x:c r="S54" s="56" t="n">
        <x:v>3.7</x:v>
      </x:c>
      <x:c r="T54" s="56" t="n">
        <x:v>0</x:v>
      </x:c>
      <x:c r="U54" s="56" t="n">
        <x:f>MAX(0,5-F54/5)</x:f>
        <x:v>3.3600000000000003</x:v>
      </x:c>
      <x:c r="V54" s="56" t="n">
        <x:f>MAX(0,MIN(5,(5000-I54)/520))</x:f>
        <x:v>2.5961538461538463</x:v>
      </x:c>
      <x:c r="W54" s="56" t="n">
        <x:f>MIN(5,LOG(L54+1,2))</x:f>
        <x:v>2.321928094887362</x:v>
      </x:c>
      <x:c r="X54" s="56" t="n">
        <x:f>ROUND(U54*$AB$2+R54*$AB$3+V54*$AB$4+W54*$AB$5+S54*$AB$6,1)</x:f>
        <x:v>66.2</x:v>
      </x:c>
      <x:c r="Y54" s="48" t="str">
        <x:f>IF(AND(F54&lt;=8,I54&lt;=3800,R54&gt;=3.5,L54&gt;=6),"优先看房",IF(AND(F54&lt;=12,I54&lt;=4500,R54&gt;=3),"可进入备选","谨慎/低优先"))</x:f>
        <x:v>可进入备选</x:v>
      </x:c>
      <x:c r="Z54" s="48"/>
      <x:c r="AA54" s="48"/>
      <x:c r="AB54" s="48"/>
    </x:row>
    <x:row r="55">
      <x:c r="A55" s="48" t="n">
        <x:v>51</x:v>
      </x:c>
      <x:c r="B55" s="48" t="str">
        <x:v>文锦花园(春风路)</x:v>
      </x:c>
      <x:c r="C55" s="48" t="str">
        <x:v>住宅小区倾向</x:v>
      </x:c>
      <x:c r="D55" s="48" t="str">
        <x:v>黄贝岭</x:v>
      </x:c>
      <x:c r="E55" s="55" t="n">
        <x:v>914</x:v>
      </x:c>
      <x:c r="F55" s="56" t="n">
        <x:v>12.2</x:v>
      </x:c>
      <x:c r="G55" s="55" t="n">
        <x:v>485</x:v>
      </x:c>
      <x:c r="H55" s="57" t="n">
        <x:v>2813</x:v>
      </x:c>
      <x:c r="I55" s="57" t="n">
        <x:v>2980</x:v>
      </x:c>
      <x:c r="J55" s="57" t="n">
        <x:v>2730</x:v>
      </x:c>
      <x:c r="K55" s="57" t="n">
        <x:v>2980</x:v>
      </x:c>
      <x:c r="L55" s="48" t="n">
        <x:v>3</x:v>
      </x:c>
      <x:c r="M55" s="48" t="n">
        <x:v>3</x:v>
      </x:c>
      <x:c r="N55" s="48" t="n">
        <x:v>0</x:v>
      </x:c>
      <x:c r="O55" s="48" t="str">
        <x:v>低</x:v>
      </x:c>
      <x:c r="P55" s="48" t="str">
        <x:v>待核</x:v>
      </x:c>
      <x:c r="Q55" s="48" t="str">
        <x:v>待核</x:v>
      </x:c>
      <x:c r="R55" s="56" t="n">
        <x:v>2.8</x:v>
      </x:c>
      <x:c r="S55" s="56" t="n">
        <x:v>2.3</x:v>
      </x:c>
      <x:c r="T55" s="56" t="n">
        <x:v>0</x:v>
      </x:c>
      <x:c r="U55" s="56" t="n">
        <x:f>MAX(0,5-F55/5)</x:f>
        <x:v>2.56</x:v>
      </x:c>
      <x:c r="V55" s="56" t="n">
        <x:f>MAX(0,MIN(5,(5000-I55)/520))</x:f>
        <x:v>3.8846153846153846</x:v>
      </x:c>
      <x:c r="W55" s="56" t="n">
        <x:f>MIN(5,LOG(L55+1,2))</x:f>
        <x:v>2</x:v>
      </x:c>
      <x:c r="X55" s="56" t="n">
        <x:f>ROUND(U55*$AB$2+R55*$AB$3+V55*$AB$4+W55*$AB$5+S55*$AB$6,1)</x:f>
        <x:v>59.6</x:v>
      </x:c>
      <x:c r="Y55" s="48" t="str">
        <x:f>IF(AND(F55&lt;=8,I55&lt;=3800,R55&gt;=3.5,L55&gt;=6),"优先看房",IF(AND(F55&lt;=12,I55&lt;=4500,R55&gt;=3),"可进入备选","谨慎/低优先"))</x:f>
        <x:v>谨慎/低优先</x:v>
      </x:c>
      <x:c r="Z55" s="48"/>
      <x:c r="AA55" s="48"/>
      <x:c r="AB55" s="48"/>
    </x:row>
    <x:row r="56">
      <x:c r="A56" s="48" t="n">
        <x:v>52</x:v>
      </x:c>
      <x:c r="B56" s="48" t="str">
        <x:v>文锦中学教工楼</x:v>
      </x:c>
      <x:c r="C56" s="48" t="str">
        <x:v>住宅小区倾向</x:v>
      </x:c>
      <x:c r="D56" s="48" t="str">
        <x:v>湖贝</x:v>
      </x:c>
      <x:c r="E56" s="55" t="n">
        <x:v>955</x:v>
      </x:c>
      <x:c r="F56" s="56" t="n">
        <x:v>12.7</x:v>
      </x:c>
      <x:c r="G56" s="55" t="n">
        <x:v>622</x:v>
      </x:c>
      <x:c r="H56" s="57" t="n">
        <x:v>2600</x:v>
      </x:c>
      <x:c r="I56" s="57" t="n">
        <x:v>2600</x:v>
      </x:c>
      <x:c r="J56" s="57" t="n">
        <x:v>2600</x:v>
      </x:c>
      <x:c r="K56" s="57" t="n">
        <x:v>2600</x:v>
      </x:c>
      <x:c r="L56" s="48" t="n">
        <x:v>1</x:v>
      </x:c>
      <x:c r="M56" s="48" t="n">
        <x:v>1</x:v>
      </x:c>
      <x:c r="N56" s="48" t="n">
        <x:v>0</x:v>
      </x:c>
      <x:c r="O56" s="48" t="str">
        <x:v>低</x:v>
      </x:c>
      <x:c r="P56" s="48" t="str">
        <x:v>半开放式</x:v>
      </x:c>
      <x:c r="Q56" s="48" t="str">
        <x:v>住宅</x:v>
      </x:c>
      <x:c r="R56" s="56" t="n">
        <x:v>3.8</x:v>
      </x:c>
      <x:c r="S56" s="56" t="n">
        <x:v>3.6</x:v>
      </x:c>
      <x:c r="T56" s="56" t="n">
        <x:v>0</x:v>
      </x:c>
      <x:c r="U56" s="56" t="n">
        <x:f>MAX(0,5-F56/5)</x:f>
        <x:v>2.46</x:v>
      </x:c>
      <x:c r="V56" s="56" t="n">
        <x:f>MAX(0,MIN(5,(5000-I56)/520))</x:f>
        <x:v>4.615384615384615</x:v>
      </x:c>
      <x:c r="W56" s="56" t="n">
        <x:f>MIN(5,LOG(L56+1,2))</x:f>
        <x:v>1</x:v>
      </x:c>
      <x:c r="X56" s="56" t="n">
        <x:f>ROUND(U56*$AB$2+R56*$AB$3+V56*$AB$4+W56*$AB$5+S56*$AB$6,1)</x:f>
        <x:v>65.9</x:v>
      </x:c>
      <x:c r="Y56" s="48" t="str">
        <x:f>IF(AND(F56&lt;=8,I56&lt;=3800,R56&gt;=3.5,L56&gt;=6),"优先看房",IF(AND(F56&lt;=12,I56&lt;=4500,R56&gt;=3),"可进入备选","谨慎/低优先"))</x:f>
        <x:v>谨慎/低优先</x:v>
      </x:c>
      <x:c r="Z56" s="48"/>
      <x:c r="AA56" s="48"/>
      <x:c r="AB56" s="48"/>
    </x:row>
    <x:row r="57">
      <x:c r="A57" s="48" t="n">
        <x:v>53</x:v>
      </x:c>
      <x:c r="B57" s="48" t="str">
        <x:v>鸿翔花园</x:v>
      </x:c>
      <x:c r="C57" s="48" t="str">
        <x:v>住宅小区倾向</x:v>
      </x:c>
      <x:c r="D57" s="48" t="str">
        <x:v>红岭</x:v>
      </x:c>
      <x:c r="E57" s="55" t="n">
        <x:v>788</x:v>
      </x:c>
      <x:c r="F57" s="56" t="n">
        <x:v>10.5</x:v>
      </x:c>
      <x:c r="G57" s="55" t="n">
        <x:v>640</x:v>
      </x:c>
      <x:c r="H57" s="57" t="n">
        <x:v>3467</x:v>
      </x:c>
      <x:c r="I57" s="57" t="n">
        <x:v>3500</x:v>
      </x:c>
      <x:c r="J57" s="57" t="n">
        <x:v>3425</x:v>
      </x:c>
      <x:c r="K57" s="57" t="n">
        <x:v>3500</x:v>
      </x:c>
      <x:c r="L57" s="48" t="n">
        <x:v>6</x:v>
      </x:c>
      <x:c r="M57" s="48" t="n">
        <x:v>11</x:v>
      </x:c>
      <x:c r="N57" s="48" t="n">
        <x:v>5</x:v>
      </x:c>
      <x:c r="O57" s="48" t="str">
        <x:v>中</x:v>
      </x:c>
      <x:c r="P57" s="48" t="str">
        <x:v>全封闭式</x:v>
      </x:c>
      <x:c r="Q57" s="48" t="str">
        <x:v>住宅、商铺</x:v>
      </x:c>
      <x:c r="R57" s="56" t="n">
        <x:v>4.6</x:v>
      </x:c>
      <x:c r="S57" s="56" t="n">
        <x:v>4</x:v>
      </x:c>
      <x:c r="T57" s="56" t="n">
        <x:v>0</x:v>
      </x:c>
      <x:c r="U57" s="56" t="n">
        <x:f>MAX(0,5-F57/5)</x:f>
        <x:v>2.9</x:v>
      </x:c>
      <x:c r="V57" s="56" t="n">
        <x:f>MAX(0,MIN(5,(5000-I57)/520))</x:f>
        <x:v>2.8846153846153846</x:v>
      </x:c>
      <x:c r="W57" s="56" t="n">
        <x:f>MIN(5,LOG(L57+1,2))</x:f>
        <x:v>2.807354922057604</x:v>
      </x:c>
      <x:c r="X57" s="56" t="n">
        <x:f>ROUND(U57*$AB$2+R57*$AB$3+V57*$AB$4+W57*$AB$5+S57*$AB$6,1)</x:f>
        <x:v>70.1</x:v>
      </x:c>
      <x:c r="Y57" s="48" t="str">
        <x:f>IF(AND(F57&lt;=8,I57&lt;=3800,R57&gt;=3.5,L57&gt;=6),"优先看房",IF(AND(F57&lt;=12,I57&lt;=4500,R57&gt;=3),"可进入备选","谨慎/低优先"))</x:f>
        <x:v>可进入备选</x:v>
      </x:c>
      <x:c r="Z57" s="48"/>
      <x:c r="AA57" s="48"/>
      <x:c r="AB57" s="48"/>
    </x:row>
    <x:row r="58">
      <x:c r="A58" s="48" t="n">
        <x:v>54</x:v>
      </x:c>
      <x:c r="B58" s="48" t="str">
        <x:v>嘉福苑</x:v>
      </x:c>
      <x:c r="C58" s="48" t="str">
        <x:v>住宅小区倾向</x:v>
      </x:c>
      <x:c r="D58" s="48" t="str">
        <x:v>红岭</x:v>
      </x:c>
      <x:c r="E58" s="55" t="n">
        <x:v>879</x:v>
      </x:c>
      <x:c r="F58" s="56" t="n">
        <x:v>11.7</x:v>
      </x:c>
      <x:c r="G58" s="55" t="n">
        <x:v>657</x:v>
      </x:c>
      <x:c r="H58" s="57" t="n">
        <x:v>2953</x:v>
      </x:c>
      <x:c r="I58" s="57" t="n">
        <x:v>3080</x:v>
      </x:c>
      <x:c r="J58" s="57" t="n">
        <x:v>2840</x:v>
      </x:c>
      <x:c r="K58" s="57" t="n">
        <x:v>3130</x:v>
      </x:c>
      <x:c r="L58" s="48" t="n">
        <x:v>3</x:v>
      </x:c>
      <x:c r="M58" s="48" t="n">
        <x:v>3</x:v>
      </x:c>
      <x:c r="N58" s="48" t="n">
        <x:v>0</x:v>
      </x:c>
      <x:c r="O58" s="48" t="str">
        <x:v>低</x:v>
      </x:c>
      <x:c r="P58" s="48" t="str">
        <x:v>全开放式</x:v>
      </x:c>
      <x:c r="Q58" s="48" t="str">
        <x:v>住宅</x:v>
      </x:c>
      <x:c r="R58" s="56" t="n">
        <x:v>3.2</x:v>
      </x:c>
      <x:c r="S58" s="56" t="n">
        <x:v>3.7</x:v>
      </x:c>
      <x:c r="T58" s="56" t="n">
        <x:v>0</x:v>
      </x:c>
      <x:c r="U58" s="56" t="n">
        <x:f>MAX(0,5-F58/5)</x:f>
        <x:v>2.66</x:v>
      </x:c>
      <x:c r="V58" s="56" t="n">
        <x:f>MAX(0,MIN(5,(5000-I58)/520))</x:f>
        <x:v>3.6923076923076925</x:v>
      </x:c>
      <x:c r="W58" s="56" t="n">
        <x:f>MIN(5,LOG(L58+1,2))</x:f>
        <x:v>2</x:v>
      </x:c>
      <x:c r="X58" s="56" t="n">
        <x:f>ROUND(U58*$AB$2+R58*$AB$3+V58*$AB$4+W58*$AB$5+S58*$AB$6,1)</x:f>
        <x:v>62.8</x:v>
      </x:c>
      <x:c r="Y58" s="48" t="str">
        <x:f>IF(AND(F58&lt;=8,I58&lt;=3800,R58&gt;=3.5,L58&gt;=6),"优先看房",IF(AND(F58&lt;=12,I58&lt;=4500,R58&gt;=3),"可进入备选","谨慎/低优先"))</x:f>
        <x:v>可进入备选</x:v>
      </x:c>
      <x:c r="Z58" s="48"/>
      <x:c r="AA58" s="48"/>
      <x:c r="AB58" s="48"/>
    </x:row>
    <x:row r="59">
      <x:c r="A59" s="48" t="n">
        <x:v>55</x:v>
      </x:c>
      <x:c r="B59" s="48" t="str">
        <x:v>同乐大厦</x:v>
      </x:c>
      <x:c r="C59" s="48" t="str">
        <x:v>混合住宅/公寓</x:v>
      </x:c>
      <x:c r="D59" s="48" t="str">
        <x:v>晒布</x:v>
      </x:c>
      <x:c r="E59" s="55" t="n">
        <x:v>933</x:v>
      </x:c>
      <x:c r="F59" s="56" t="n">
        <x:v>12.4</x:v>
      </x:c>
      <x:c r="G59" s="55" t="n">
        <x:v>716</x:v>
      </x:c>
      <x:c r="H59" s="57" t="n">
        <x:v>2953</x:v>
      </x:c>
      <x:c r="I59" s="57" t="n">
        <x:v>2900</x:v>
      </x:c>
      <x:c r="J59" s="57" t="n">
        <x:v>2800</x:v>
      </x:c>
      <x:c r="K59" s="57" t="n">
        <x:v>3000</x:v>
      </x:c>
      <x:c r="L59" s="48" t="n">
        <x:v>9</x:v>
      </x:c>
      <x:c r="M59" s="48" t="n">
        <x:v>11</x:v>
      </x:c>
      <x:c r="N59" s="48" t="n">
        <x:v>2</x:v>
      </x:c>
      <x:c r="O59" s="48" t="str">
        <x:v>中</x:v>
      </x:c>
      <x:c r="P59" s="48" t="str">
        <x:v>全开放式</x:v>
      </x:c>
      <x:c r="Q59" s="48" t="str">
        <x:v>住宅、写字楼、商铺</x:v>
      </x:c>
      <x:c r="R59" s="56" t="n">
        <x:v>2.4</x:v>
      </x:c>
      <x:c r="S59" s="56" t="n">
        <x:v>2.7</x:v>
      </x:c>
      <x:c r="T59" s="56" t="n">
        <x:v>0</x:v>
      </x:c>
      <x:c r="U59" s="56" t="n">
        <x:f>MAX(0,5-F59/5)</x:f>
        <x:v>2.52</x:v>
      </x:c>
      <x:c r="V59" s="56" t="n">
        <x:f>MAX(0,MIN(5,(5000-I59)/520))</x:f>
        <x:v>4.038461538461538</x:v>
      </x:c>
      <x:c r="W59" s="56" t="n">
        <x:f>MIN(5,LOG(L59+1,2))</x:f>
        <x:v>3.3219280948873626</x:v>
      </x:c>
      <x:c r="X59" s="56" t="n">
        <x:f>ROUND(U59*$AB$2+R59*$AB$3+V59*$AB$4+W59*$AB$5+S59*$AB$6,1)</x:f>
        <x:v>62.5</x:v>
      </x:c>
      <x:c r="Y59" s="48" t="str">
        <x:f>IF(AND(F59&lt;=8,I59&lt;=3800,R59&gt;=3.5,L59&gt;=6),"优先看房",IF(AND(F59&lt;=12,I59&lt;=4500,R59&gt;=3),"可进入备选","谨慎/低优先"))</x:f>
        <x:v>谨慎/低优先</x:v>
      </x:c>
      <x:c r="Z59" s="48"/>
      <x:c r="AA59" s="48"/>
      <x:c r="AB59" s="48"/>
    </x:row>
    <x:row r="60">
      <x:c r="A60" s="48" t="n">
        <x:v>56</x:v>
      </x:c>
      <x:c r="B60" s="48" t="str">
        <x:v>景贝南小区</x:v>
      </x:c>
      <x:c r="C60" s="48" t="str">
        <x:v>住宅小区倾向</x:v>
      </x:c>
      <x:c r="D60" s="48" t="str">
        <x:v>黄贝岭</x:v>
      </x:c>
      <x:c r="E60" s="55" t="n">
        <x:v>1237</x:v>
      </x:c>
      <x:c r="F60" s="56" t="n">
        <x:v>16.5</x:v>
      </x:c>
      <x:c r="G60" s="55" t="n">
        <x:v>924</x:v>
      </x:c>
      <x:c r="H60" s="57" t="n">
        <x:v>2592</x:v>
      </x:c>
      <x:c r="I60" s="57" t="n">
        <x:v>2600</x:v>
      </x:c>
      <x:c r="J60" s="57" t="n">
        <x:v>2480</x:v>
      </x:c>
      <x:c r="K60" s="57" t="n">
        <x:v>2700</x:v>
      </x:c>
      <x:c r="L60" s="48" t="n">
        <x:v>5</x:v>
      </x:c>
      <x:c r="M60" s="48" t="n">
        <x:v>7</x:v>
      </x:c>
      <x:c r="N60" s="48" t="n">
        <x:v>2</x:v>
      </x:c>
      <x:c r="O60" s="48" t="str">
        <x:v>低</x:v>
      </x:c>
      <x:c r="P60" s="48" t="str">
        <x:v>半开放式</x:v>
      </x:c>
      <x:c r="Q60" s="48" t="str">
        <x:v>住宅、商铺</x:v>
      </x:c>
      <x:c r="R60" s="56" t="n">
        <x:v>3.4</x:v>
      </x:c>
      <x:c r="S60" s="56" t="n">
        <x:v>3.7</x:v>
      </x:c>
      <x:c r="T60" s="56" t="n">
        <x:v>0</x:v>
      </x:c>
      <x:c r="U60" s="56" t="n">
        <x:f>MAX(0,5-F60/5)</x:f>
        <x:v>1.7000000000000002</x:v>
      </x:c>
      <x:c r="V60" s="56" t="n">
        <x:f>MAX(0,MIN(5,(5000-I60)/520))</x:f>
        <x:v>4.615384615384615</x:v>
      </x:c>
      <x:c r="W60" s="56" t="n">
        <x:f>MIN(5,LOG(L60+1,2))</x:f>
        <x:v>2.584962500721156</x:v>
      </x:c>
      <x:c r="X60" s="56" t="n">
        <x:f>ROUND(U60*$AB$2+R60*$AB$3+V60*$AB$4+W60*$AB$5+S60*$AB$6,1)</x:f>
        <x:v>63.4</x:v>
      </x:c>
      <x:c r="Y60" s="48" t="str">
        <x:f>IF(AND(F60&lt;=8,I60&lt;=3800,R60&gt;=3.5,L60&gt;=6),"优先看房",IF(AND(F60&lt;=12,I60&lt;=4500,R60&gt;=3),"可进入备选","谨慎/低优先"))</x:f>
        <x:v>谨慎/低优先</x:v>
      </x:c>
      <x:c r="Z60" s="48"/>
      <x:c r="AA60" s="48"/>
      <x:c r="AB60" s="48"/>
    </x:row>
    <x:row r="61">
      <x:c r="A61" s="48" t="n">
        <x:v>57</x:v>
      </x:c>
      <x:c r="B61" s="48" t="str">
        <x:v>景园大厦(松园路)</x:v>
      </x:c>
      <x:c r="C61" s="48" t="str">
        <x:v>住宅小区倾向</x:v>
      </x:c>
      <x:c r="D61" s="48" t="str">
        <x:v>红岭</x:v>
      </x:c>
      <x:c r="E61" s="55" t="n">
        <x:v>619</x:v>
      </x:c>
      <x:c r="F61" s="56" t="n">
        <x:v>8.3</x:v>
      </x:c>
      <x:c r="G61" s="55" t="n">
        <x:v>495</x:v>
      </x:c>
      <x:c r="H61" s="57" t="n">
        <x:v>3500</x:v>
      </x:c>
      <x:c r="I61" s="57" t="n">
        <x:v>3500</x:v>
      </x:c>
      <x:c r="J61" s="57" t="n">
        <x:v>3000</x:v>
      </x:c>
      <x:c r="K61" s="57" t="n">
        <x:v>4000</x:v>
      </x:c>
      <x:c r="L61" s="48" t="n">
        <x:v>2</x:v>
      </x:c>
      <x:c r="M61" s="48" t="n">
        <x:v>2</x:v>
      </x:c>
      <x:c r="N61" s="48" t="n">
        <x:v>0</x:v>
      </x:c>
      <x:c r="O61" s="48" t="str">
        <x:v>低</x:v>
      </x:c>
      <x:c r="P61" s="48" t="str">
        <x:v>待核</x:v>
      </x:c>
      <x:c r="Q61" s="48" t="str">
        <x:v>待核</x:v>
      </x:c>
      <x:c r="R61" s="56" t="n">
        <x:v>2.8</x:v>
      </x:c>
      <x:c r="S61" s="56" t="n">
        <x:v>2.6</x:v>
      </x:c>
      <x:c r="T61" s="56" t="n">
        <x:v>0</x:v>
      </x:c>
      <x:c r="U61" s="56" t="n">
        <x:f>MAX(0,5-F61/5)</x:f>
        <x:v>3.34</x:v>
      </x:c>
      <x:c r="V61" s="56" t="n">
        <x:f>MAX(0,MIN(5,(5000-I61)/520))</x:f>
        <x:v>2.8846153846153846</x:v>
      </x:c>
      <x:c r="W61" s="56" t="n">
        <x:f>MIN(5,LOG(L61+1,2))</x:f>
        <x:v>1.584962500721156</x:v>
      </x:c>
      <x:c r="X61" s="56" t="n">
        <x:f>ROUND(U61*$AB$2+R61*$AB$3+V61*$AB$4+W61*$AB$5+S61*$AB$6,1)</x:f>
        <x:v>59.2</x:v>
      </x:c>
      <x:c r="Y61" s="48" t="str">
        <x:f>IF(AND(F61&lt;=8,I61&lt;=3800,R61&gt;=3.5,L61&gt;=6),"优先看房",IF(AND(F61&lt;=12,I61&lt;=4500,R61&gt;=3),"可进入备选","谨慎/低优先"))</x:f>
        <x:v>谨慎/低优先</x:v>
      </x:c>
      <x:c r="Z61" s="48"/>
      <x:c r="AA61" s="48"/>
      <x:c r="AB61" s="48"/>
    </x:row>
    <x:row r="62">
      <x:c r="A62" s="48" t="n">
        <x:v>58</x:v>
      </x:c>
      <x:c r="B62" s="48" t="str">
        <x:v>新天地名居</x:v>
      </x:c>
      <x:c r="C62" s="48" t="str">
        <x:v>住宅小区倾向</x:v>
      </x:c>
      <x:c r="D62" s="48" t="str">
        <x:v>黄贝岭</x:v>
      </x:c>
      <x:c r="E62" s="55" t="n">
        <x:v>459</x:v>
      </x:c>
      <x:c r="F62" s="56" t="n">
        <x:v>6.1</x:v>
      </x:c>
      <x:c r="G62" s="55" t="n">
        <x:v>302</x:v>
      </x:c>
      <x:c r="H62" s="57" t="n">
        <x:v>4213</x:v>
      </x:c>
      <x:c r="I62" s="57" t="n">
        <x:v>4350</x:v>
      </x:c>
      <x:c r="J62" s="57" t="n">
        <x:v>3950</x:v>
      </x:c>
      <x:c r="K62" s="57" t="n">
        <x:v>4500</x:v>
      </x:c>
      <x:c r="L62" s="48" t="n">
        <x:v>8</x:v>
      </x:c>
      <x:c r="M62" s="48" t="n">
        <x:v>8</x:v>
      </x:c>
      <x:c r="N62" s="48" t="n">
        <x:v>0</x:v>
      </x:c>
      <x:c r="O62" s="48" t="str">
        <x:v>中</x:v>
      </x:c>
      <x:c r="P62" s="48" t="str">
        <x:v>全封闭式</x:v>
      </x:c>
      <x:c r="Q62" s="48" t="str">
        <x:v>住宅</x:v>
      </x:c>
      <x:c r="R62" s="56" t="n">
        <x:v>5</x:v>
      </x:c>
      <x:c r="S62" s="56" t="n">
        <x:v>4.1</x:v>
      </x:c>
      <x:c r="T62" s="56" t="n">
        <x:v>0</x:v>
      </x:c>
      <x:c r="U62" s="56" t="n">
        <x:f>MAX(0,5-F62/5)</x:f>
        <x:v>3.7800000000000002</x:v>
      </x:c>
      <x:c r="V62" s="56" t="n">
        <x:f>MAX(0,MIN(5,(5000-I62)/520))</x:f>
        <x:v>1.25</x:v>
      </x:c>
      <x:c r="W62" s="56" t="n">
        <x:f>MIN(5,LOG(L62+1,2))</x:f>
        <x:v>3.1699250014423126</x:v>
      </x:c>
      <x:c r="X62" s="56" t="n">
        <x:f>ROUND(U62*$AB$2+R62*$AB$3+V62*$AB$4+W62*$AB$5+S62*$AB$6,1)</x:f>
        <x:v>71.3</x:v>
      </x:c>
      <x:c r="Y62" s="48" t="str">
        <x:f>IF(AND(F62&lt;=8,I62&lt;=3800,R62&gt;=3.5,L62&gt;=6),"优先看房",IF(AND(F62&lt;=12,I62&lt;=4500,R62&gt;=3),"可进入备选","谨慎/低优先"))</x:f>
        <x:v>可进入备选</x:v>
      </x:c>
      <x:c r="Z62" s="48"/>
      <x:c r="AA62" s="48"/>
      <x:c r="AB62" s="48"/>
    </x:row>
    <x:row r="63">
      <x:c r="A63" s="48" t="n">
        <x:v>59</x:v>
      </x:c>
      <x:c r="B63" s="48" t="str">
        <x:v>寸金大厦</x:v>
      </x:c>
      <x:c r="C63" s="48" t="str">
        <x:v>商住大厦倾向</x:v>
      </x:c>
      <x:c r="D63" s="48" t="str">
        <x:v>国贸</x:v>
      </x:c>
      <x:c r="E63" s="55" t="n">
        <x:v>542</x:v>
      </x:c>
      <x:c r="F63" s="56" t="n">
        <x:v>7.2</x:v>
      </x:c>
      <x:c r="G63" s="55" t="n">
        <x:v>422</x:v>
      </x:c>
      <x:c r="H63" s="57" t="n">
        <x:v>3612</x:v>
      </x:c>
      <x:c r="I63" s="57" t="n">
        <x:v>3580</x:v>
      </x:c>
      <x:c r="J63" s="57" t="n">
        <x:v>3520</x:v>
      </x:c>
      <x:c r="K63" s="57" t="n">
        <x:v>3680</x:v>
      </x:c>
      <x:c r="L63" s="48" t="n">
        <x:v>22</x:v>
      </x:c>
      <x:c r="M63" s="48" t="n">
        <x:v>43</x:v>
      </x:c>
      <x:c r="N63" s="48" t="n">
        <x:v>21</x:v>
      </x:c>
      <x:c r="O63" s="48" t="str">
        <x:v>高</x:v>
      </x:c>
      <x:c r="P63" s="48" t="str">
        <x:v>全封闭式</x:v>
      </x:c>
      <x:c r="Q63" s="48" t="str">
        <x:v>住宅、写字楼</x:v>
      </x:c>
      <x:c r="R63" s="56" t="n">
        <x:v>4.2</x:v>
      </x:c>
      <x:c r="S63" s="56" t="n">
        <x:v>3.5</x:v>
      </x:c>
      <x:c r="T63" s="56" t="n">
        <x:v>0</x:v>
      </x:c>
      <x:c r="U63" s="56" t="n">
        <x:f>MAX(0,5-F63/5)</x:f>
        <x:v>3.56</x:v>
      </x:c>
      <x:c r="V63" s="56" t="n">
        <x:f>MAX(0,MIN(5,(5000-I63)/520))</x:f>
        <x:v>2.730769230769231</x:v>
      </x:c>
      <x:c r="W63" s="56" t="n">
        <x:f>MIN(5,LOG(L63+1,2))</x:f>
        <x:v>4.523561956057013</x:v>
      </x:c>
      <x:c r="X63" s="56" t="n">
        <x:f>ROUND(U63*$AB$2+R63*$AB$3+V63*$AB$4+W63*$AB$5+S63*$AB$6,1)</x:f>
        <x:v>76.6</x:v>
      </x:c>
      <x:c r="Y63" s="48" t="str">
        <x:f>IF(AND(F63&lt;=8,I63&lt;=3800,R63&gt;=3.5,L63&gt;=6),"优先看房",IF(AND(F63&lt;=12,I63&lt;=4500,R63&gt;=3),"可进入备选","谨慎/低优先"))</x:f>
        <x:v>优先看房</x:v>
      </x:c>
      <x:c r="Z63" s="48"/>
      <x:c r="AA63" s="48"/>
      <x:c r="AB63" s="48"/>
    </x:row>
    <x:row r="64">
      <x:c r="A64" s="48" t="n">
        <x:v>60</x:v>
      </x:c>
      <x:c r="B64" s="48" t="str">
        <x:v>名仕阁</x:v>
      </x:c>
      <x:c r="C64" s="48" t="str">
        <x:v>住宅小区倾向</x:v>
      </x:c>
      <x:c r="D64" s="48" t="str">
        <x:v>大剧院</x:v>
      </x:c>
      <x:c r="E64" s="55" t="n">
        <x:v>137</x:v>
      </x:c>
      <x:c r="F64" s="56" t="n">
        <x:v>1.8</x:v>
      </x:c>
      <x:c r="G64" s="55" t="n">
        <x:v>125</x:v>
      </x:c>
      <x:c r="H64" s="57" t="n">
        <x:v>4560</x:v>
      </x:c>
      <x:c r="I64" s="57" t="n">
        <x:v>4800</x:v>
      </x:c>
      <x:c r="J64" s="57" t="n">
        <x:v>4200</x:v>
      </x:c>
      <x:c r="K64" s="57" t="n">
        <x:v>5000</x:v>
      </x:c>
      <x:c r="L64" s="48" t="n">
        <x:v>5</x:v>
      </x:c>
      <x:c r="M64" s="48" t="n">
        <x:v>5</x:v>
      </x:c>
      <x:c r="N64" s="48" t="n">
        <x:v>0</x:v>
      </x:c>
      <x:c r="O64" s="48" t="str">
        <x:v>低</x:v>
      </x:c>
      <x:c r="P64" s="48" t="str">
        <x:v>半开放式</x:v>
      </x:c>
      <x:c r="Q64" s="48" t="str">
        <x:v>住宅、商铺</x:v>
      </x:c>
      <x:c r="R64" s="56" t="n">
        <x:v>3.4</x:v>
      </x:c>
      <x:c r="S64" s="56" t="n">
        <x:v>3.7</x:v>
      </x:c>
      <x:c r="T64" s="56" t="n">
        <x:v>0</x:v>
      </x:c>
      <x:c r="U64" s="56" t="n">
        <x:f>MAX(0,5-F64/5)</x:f>
        <x:v>4.64</x:v>
      </x:c>
      <x:c r="V64" s="56" t="n">
        <x:f>MAX(0,MIN(5,(5000-I64)/520))</x:f>
        <x:v>0.38461538461538464</x:v>
      </x:c>
      <x:c r="W64" s="56" t="n">
        <x:f>MIN(5,LOG(L64+1,2))</x:f>
        <x:v>2.584962500721156</x:v>
      </x:c>
      <x:c r="X64" s="56" t="n">
        <x:f>ROUND(U64*$AB$2+R64*$AB$3+V64*$AB$4+W64*$AB$5+S64*$AB$6,1)</x:f>
        <x:v>62.9</x:v>
      </x:c>
      <x:c r="Y64" s="48" t="str">
        <x:f>IF(AND(F64&lt;=8,I64&lt;=3800,R64&gt;=3.5,L64&gt;=6),"优先看房",IF(AND(F64&lt;=12,I64&lt;=4500,R64&gt;=3),"可进入备选","谨慎/低优先"))</x:f>
        <x:v>谨慎/低优先</x:v>
      </x:c>
      <x:c r="Z64" s="48"/>
      <x:c r="AA64" s="48"/>
      <x:c r="AB64" s="48"/>
    </x:row>
    <x:row r="65">
      <x:c r="A65" s="48" t="n">
        <x:v>61</x:v>
      </x:c>
      <x:c r="B65" s="48" t="str">
        <x:v>金色都汇</x:v>
      </x:c>
      <x:c r="C65" s="48" t="str">
        <x:v>住宅小区倾向</x:v>
      </x:c>
      <x:c r="D65" s="48" t="str">
        <x:v>湖贝</x:v>
      </x:c>
      <x:c r="E65" s="55" t="n">
        <x:v>523</x:v>
      </x:c>
      <x:c r="F65" s="56" t="n">
        <x:v>7</x:v>
      </x:c>
      <x:c r="G65" s="55" t="n">
        <x:v>426</x:v>
      </x:c>
      <x:c r="H65" s="57" t="n">
        <x:v>4125</x:v>
      </x:c>
      <x:c r="I65" s="57" t="n">
        <x:v>4000</x:v>
      </x:c>
      <x:c r="J65" s="57" t="n">
        <x:v>3700</x:v>
      </x:c>
      <x:c r="K65" s="57" t="n">
        <x:v>4425</x:v>
      </x:c>
      <x:c r="L65" s="48" t="n">
        <x:v>4</x:v>
      </x:c>
      <x:c r="M65" s="48" t="n">
        <x:v>4</x:v>
      </x:c>
      <x:c r="N65" s="48" t="n">
        <x:v>0</x:v>
      </x:c>
      <x:c r="O65" s="48" t="str">
        <x:v>低</x:v>
      </x:c>
      <x:c r="P65" s="48" t="str">
        <x:v>全封闭式</x:v>
      </x:c>
      <x:c r="Q65" s="48" t="str">
        <x:v>住宅、商铺</x:v>
      </x:c>
      <x:c r="R65" s="56" t="n">
        <x:v>4.6</x:v>
      </x:c>
      <x:c r="S65" s="56" t="n">
        <x:v>4</x:v>
      </x:c>
      <x:c r="T65" s="56" t="n">
        <x:v>0</x:v>
      </x:c>
      <x:c r="U65" s="56" t="n">
        <x:f>MAX(0,5-F65/5)</x:f>
        <x:v>3.6</x:v>
      </x:c>
      <x:c r="V65" s="56" t="n">
        <x:f>MAX(0,MIN(5,(5000-I65)/520))</x:f>
        <x:v>1.9230769230769231</x:v>
      </x:c>
      <x:c r="W65" s="56" t="n">
        <x:f>MIN(5,LOG(L65+1,2))</x:f>
        <x:v>2.321928094887362</x:v>
      </x:c>
      <x:c r="X65" s="56" t="n">
        <x:f>ROUND(U65*$AB$2+R65*$AB$3+V65*$AB$4+W65*$AB$5+S65*$AB$6,1)</x:f>
        <x:v>68.8</x:v>
      </x:c>
      <x:c r="Y65" s="48" t="str">
        <x:f>IF(AND(F65&lt;=8,I65&lt;=3800,R65&gt;=3.5,L65&gt;=6),"优先看房",IF(AND(F65&lt;=12,I65&lt;=4500,R65&gt;=3),"可进入备选","谨慎/低优先"))</x:f>
        <x:v>可进入备选</x:v>
      </x:c>
      <x:c r="Z65" s="48"/>
      <x:c r="AA65" s="48"/>
      <x:c r="AB65" s="48"/>
    </x:row>
    <x:row r="66">
      <x:c r="A66" s="48" t="n">
        <x:v>62</x:v>
      </x:c>
      <x:c r="B66" s="48" t="str">
        <x:v>幸福华府</x:v>
      </x:c>
      <x:c r="C66" s="48" t="str">
        <x:v>住宅小区倾向</x:v>
      </x:c>
      <x:c r="D66" s="48" t="str">
        <x:v>红岭</x:v>
      </x:c>
      <x:c r="E66" s="55" t="n">
        <x:v>666</x:v>
      </x:c>
      <x:c r="F66" s="56" t="n">
        <x:v>8.9</x:v>
      </x:c>
      <x:c r="G66" s="55" t="n">
        <x:v>443</x:v>
      </x:c>
      <x:c r="H66" s="57" t="n">
        <x:v>3550</x:v>
      </x:c>
      <x:c r="I66" s="57" t="n">
        <x:v>3550</x:v>
      </x:c>
      <x:c r="J66" s="57" t="n">
        <x:v>3525</x:v>
      </x:c>
      <x:c r="K66" s="57" t="n">
        <x:v>3575</x:v>
      </x:c>
      <x:c r="L66" s="48" t="n">
        <x:v>2</x:v>
      </x:c>
      <x:c r="M66" s="48" t="n">
        <x:v>2</x:v>
      </x:c>
      <x:c r="N66" s="48" t="n">
        <x:v>0</x:v>
      </x:c>
      <x:c r="O66" s="48" t="str">
        <x:v>低</x:v>
      </x:c>
      <x:c r="P66" s="48" t="str">
        <x:v>半开放式</x:v>
      </x:c>
      <x:c r="Q66" s="48" t="str">
        <x:v>住宅</x:v>
      </x:c>
      <x:c r="R66" s="56" t="n">
        <x:v>3.8</x:v>
      </x:c>
      <x:c r="S66" s="56" t="n">
        <x:v>3.7</x:v>
      </x:c>
      <x:c r="T66" s="56" t="n">
        <x:v>0</x:v>
      </x:c>
      <x:c r="U66" s="56" t="n">
        <x:f>MAX(0,5-F66/5)</x:f>
        <x:v>3.2199999999999998</x:v>
      </x:c>
      <x:c r="V66" s="56" t="n">
        <x:f>MAX(0,MIN(5,(5000-I66)/520))</x:f>
        <x:v>2.7884615384615383</x:v>
      </x:c>
      <x:c r="W66" s="56" t="n">
        <x:f>MIN(5,LOG(L66+1,2))</x:f>
        <x:v>1.584962500721156</x:v>
      </x:c>
      <x:c r="X66" s="56" t="n">
        <x:f>ROUND(U66*$AB$2+R66*$AB$3+V66*$AB$4+W66*$AB$5+S66*$AB$6,1)</x:f>
        <x:v>63.9</x:v>
      </x:c>
      <x:c r="Y66" s="48" t="str">
        <x:f>IF(AND(F66&lt;=8,I66&lt;=3800,R66&gt;=3.5,L66&gt;=6),"优先看房",IF(AND(F66&lt;=12,I66&lt;=4500,R66&gt;=3),"可进入备选","谨慎/低优先"))</x:f>
        <x:v>可进入备选</x:v>
      </x:c>
      <x:c r="Z66" s="48"/>
      <x:c r="AA66" s="48"/>
      <x:c r="AB66" s="48"/>
    </x:row>
    <x:row r="67">
      <x:c r="A67" s="48" t="n">
        <x:v>63</x:v>
      </x:c>
      <x:c r="B67" s="48" t="str">
        <x:v>名都大厦A座</x:v>
      </x:c>
      <x:c r="C67" s="48" t="str">
        <x:v>住宅小区倾向</x:v>
      </x:c>
      <x:c r="D67" s="48" t="str">
        <x:v>晒布</x:v>
      </x:c>
      <x:c r="E67" s="55" t="n">
        <x:v>1105</x:v>
      </x:c>
      <x:c r="F67" s="56" t="n">
        <x:v>14.7</x:v>
      </x:c>
      <x:c r="G67" s="55" t="n">
        <x:v>754</x:v>
      </x:c>
      <x:c r="H67" s="57" t="n">
        <x:v>3177</x:v>
      </x:c>
      <x:c r="I67" s="57" t="n">
        <x:v>3090</x:v>
      </x:c>
      <x:c r="J67" s="57" t="n">
        <x:v>2730</x:v>
      </x:c>
      <x:c r="K67" s="57" t="n">
        <x:v>3600</x:v>
      </x:c>
      <x:c r="L67" s="48" t="n">
        <x:v>6</x:v>
      </x:c>
      <x:c r="M67" s="48" t="n">
        <x:v>6</x:v>
      </x:c>
      <x:c r="N67" s="48" t="n">
        <x:v>0</x:v>
      </x:c>
      <x:c r="O67" s="48" t="str">
        <x:v>中</x:v>
      </x:c>
      <x:c r="P67" s="48" t="str">
        <x:v>待核</x:v>
      </x:c>
      <x:c r="Q67" s="48" t="str">
        <x:v>待核</x:v>
      </x:c>
      <x:c r="R67" s="56" t="n">
        <x:v>2.8</x:v>
      </x:c>
      <x:c r="S67" s="56" t="n">
        <x:v>2.3</x:v>
      </x:c>
      <x:c r="T67" s="56" t="n">
        <x:v>0</x:v>
      </x:c>
      <x:c r="U67" s="56" t="n">
        <x:f>MAX(0,5-F67/5)</x:f>
        <x:v>2.06</x:v>
      </x:c>
      <x:c r="V67" s="56" t="n">
        <x:f>MAX(0,MIN(5,(5000-I67)/520))</x:f>
        <x:v>3.673076923076923</x:v>
      </x:c>
      <x:c r="W67" s="56" t="n">
        <x:f>MIN(5,LOG(L67+1,2))</x:f>
        <x:v>2.807354922057604</x:v>
      </x:c>
      <x:c r="X67" s="56" t="n">
        <x:f>ROUND(U67*$AB$2+R67*$AB$3+V67*$AB$4+W67*$AB$5+S67*$AB$6,1)</x:f>
        <x:v>57.5</x:v>
      </x:c>
      <x:c r="Y67" s="48" t="str">
        <x:f>IF(AND(F67&lt;=8,I67&lt;=3800,R67&gt;=3.5,L67&gt;=6),"优先看房",IF(AND(F67&lt;=12,I67&lt;=4500,R67&gt;=3),"可进入备选","谨慎/低优先"))</x:f>
        <x:v>谨慎/低优先</x:v>
      </x:c>
      <x:c r="Z67" s="48"/>
      <x:c r="AA67" s="48"/>
      <x:c r="AB67" s="48"/>
    </x:row>
    <x:row r="68">
      <x:c r="A68" s="48" t="n">
        <x:v>64</x:v>
      </x:c>
      <x:c r="B68" s="48" t="str">
        <x:v>嘉年华名苑</x:v>
      </x:c>
      <x:c r="C68" s="48" t="str">
        <x:v>住宅小区倾向</x:v>
      </x:c>
      <x:c r="D68" s="48" t="str">
        <x:v>晒布</x:v>
      </x:c>
      <x:c r="E68" s="55" t="n">
        <x:v>300</x:v>
      </x:c>
      <x:c r="F68" s="56" t="n">
        <x:v>4</x:v>
      </x:c>
      <x:c r="G68" s="55" t="n">
        <x:v>115</x:v>
      </x:c>
      <x:c r="H68" s="57" t="n">
        <x:v>4433</x:v>
      </x:c>
      <x:c r="I68" s="57" t="n">
        <x:v>4400</x:v>
      </x:c>
      <x:c r="J68" s="57" t="n">
        <x:v>4350</x:v>
      </x:c>
      <x:c r="K68" s="57" t="n">
        <x:v>4500</x:v>
      </x:c>
      <x:c r="L68" s="48" t="n">
        <x:v>3</x:v>
      </x:c>
      <x:c r="M68" s="48" t="n">
        <x:v>3</x:v>
      </x:c>
      <x:c r="N68" s="48" t="n">
        <x:v>0</x:v>
      </x:c>
      <x:c r="O68" s="48" t="str">
        <x:v>低</x:v>
      </x:c>
      <x:c r="P68" s="48" t="str">
        <x:v>全封闭式</x:v>
      </x:c>
      <x:c r="Q68" s="48" t="str">
        <x:v>住宅、商铺</x:v>
      </x:c>
      <x:c r="R68" s="56" t="n">
        <x:v>4.6</x:v>
      </x:c>
      <x:c r="S68" s="56" t="n">
        <x:v>4</x:v>
      </x:c>
      <x:c r="T68" s="56" t="n">
        <x:v>0</x:v>
      </x:c>
      <x:c r="U68" s="56" t="n">
        <x:f>MAX(0,5-F68/5)</x:f>
        <x:v>4.2</x:v>
      </x:c>
      <x:c r="V68" s="56" t="n">
        <x:f>MAX(0,MIN(5,(5000-I68)/520))</x:f>
        <x:v>1.1538461538461537</x:v>
      </x:c>
      <x:c r="W68" s="56" t="n">
        <x:f>MIN(5,LOG(L68+1,2))</x:f>
        <x:v>2</x:v>
      </x:c>
      <x:c r="X68" s="56" t="n">
        <x:f>ROUND(U68*$AB$2+R68*$AB$3+V68*$AB$4+W68*$AB$5+S68*$AB$6,1)</x:f>
        <x:v>68.2</x:v>
      </x:c>
      <x:c r="Y68" s="48" t="str">
        <x:f>IF(AND(F68&lt;=8,I68&lt;=3800,R68&gt;=3.5,L68&gt;=6),"优先看房",IF(AND(F68&lt;=12,I68&lt;=4500,R68&gt;=3),"可进入备选","谨慎/低优先"))</x:f>
        <x:v>可进入备选</x:v>
      </x:c>
      <x:c r="Z68" s="48"/>
      <x:c r="AA68" s="48"/>
      <x:c r="AB68" s="48"/>
    </x:row>
    <x:row r="69">
      <x:c r="A69" s="48" t="n">
        <x:v>65</x:v>
      </x:c>
      <x:c r="B69" s="48" t="str">
        <x:v>金城华庭</x:v>
      </x:c>
      <x:c r="C69" s="48" t="str">
        <x:v>住宅小区倾向</x:v>
      </x:c>
      <x:c r="D69" s="48" t="str">
        <x:v>黄贝岭</x:v>
      </x:c>
      <x:c r="E69" s="55" t="n">
        <x:v>800</x:v>
      </x:c>
      <x:c r="F69" s="56" t="n">
        <x:v>10.7</x:v>
      </x:c>
      <x:c r="G69" s="55" t="n">
        <x:v>452</x:v>
      </x:c>
      <x:c r="H69" s="57" t="n">
        <x:v>3888</x:v>
      </x:c>
      <x:c r="I69" s="57" t="n">
        <x:v>3900</x:v>
      </x:c>
      <x:c r="J69" s="57" t="n">
        <x:v>3800</x:v>
      </x:c>
      <x:c r="K69" s="57" t="n">
        <x:v>4000</x:v>
      </x:c>
      <x:c r="L69" s="48" t="n">
        <x:v>10</x:v>
      </x:c>
      <x:c r="M69" s="48" t="n">
        <x:v>11</x:v>
      </x:c>
      <x:c r="N69" s="48" t="n">
        <x:v>1</x:v>
      </x:c>
      <x:c r="O69" s="48" t="str">
        <x:v>中</x:v>
      </x:c>
      <x:c r="P69" s="48" t="str">
        <x:v>全封闭式</x:v>
      </x:c>
      <x:c r="Q69" s="48" t="str">
        <x:v>住宅、车位</x:v>
      </x:c>
      <x:c r="R69" s="56" t="n">
        <x:v>4.6</x:v>
      </x:c>
      <x:c r="S69" s="56" t="n">
        <x:v>3.7</x:v>
      </x:c>
      <x:c r="T69" s="56" t="n">
        <x:v>0</x:v>
      </x:c>
      <x:c r="U69" s="56" t="n">
        <x:f>MAX(0,5-F69/5)</x:f>
        <x:v>2.8600000000000003</x:v>
      </x:c>
      <x:c r="V69" s="56" t="n">
        <x:f>MAX(0,MIN(5,(5000-I69)/520))</x:f>
        <x:v>2.1153846153846154</x:v>
      </x:c>
      <x:c r="W69" s="56" t="n">
        <x:f>MIN(5,LOG(L69+1,2))</x:f>
        <x:v>3.4594316186372978</x:v>
      </x:c>
      <x:c r="X69" s="56" t="n">
        <x:f>ROUND(U69*$AB$2+R69*$AB$3+V69*$AB$4+W69*$AB$5+S69*$AB$6,1)</x:f>
        <x:v>67.7</x:v>
      </x:c>
      <x:c r="Y69" s="48" t="str">
        <x:f>IF(AND(F69&lt;=8,I69&lt;=3800,R69&gt;=3.5,L69&gt;=6),"优先看房",IF(AND(F69&lt;=12,I69&lt;=4500,R69&gt;=3),"可进入备选","谨慎/低优先"))</x:f>
        <x:v>可进入备选</x:v>
      </x:c>
      <x:c r="Z69" s="48"/>
      <x:c r="AA69" s="48"/>
      <x:c r="AB69" s="48"/>
    </x:row>
    <x:row r="70">
      <x:c r="A70" s="48" t="n">
        <x:v>66</x:v>
      </x:c>
      <x:c r="B70" s="48" t="str">
        <x:v>天俊大厦</x:v>
      </x:c>
      <x:c r="C70" s="48" t="str">
        <x:v>商住大厦倾向</x:v>
      </x:c>
      <x:c r="D70" s="48" t="str">
        <x:v>国贸</x:v>
      </x:c>
      <x:c r="E70" s="55" t="n">
        <x:v>584</x:v>
      </x:c>
      <x:c r="F70" s="56" t="n">
        <x:v>7.8</x:v>
      </x:c>
      <x:c r="G70" s="55" t="n">
        <x:v>409</x:v>
      </x:c>
      <x:c r="H70" s="57" t="n">
        <x:v>2938</x:v>
      </x:c>
      <x:c r="I70" s="57" t="n">
        <x:v>2950</x:v>
      </x:c>
      <x:c r="J70" s="57" t="n">
        <x:v>2800</x:v>
      </x:c>
      <x:c r="K70" s="57" t="n">
        <x:v>3088</x:v>
      </x:c>
      <x:c r="L70" s="48" t="n">
        <x:v>4</x:v>
      </x:c>
      <x:c r="M70" s="48" t="n">
        <x:v>5</x:v>
      </x:c>
      <x:c r="N70" s="48" t="n">
        <x:v>1</x:v>
      </x:c>
      <x:c r="O70" s="48" t="str">
        <x:v>低</x:v>
      </x:c>
      <x:c r="P70" s="48" t="str">
        <x:v>全封闭式</x:v>
      </x:c>
      <x:c r="Q70" s="48" t="str">
        <x:v>住宅、写字楼、商铺、车位</x:v>
      </x:c>
      <x:c r="R70" s="56" t="n">
        <x:v>4.2</x:v>
      </x:c>
      <x:c r="S70" s="56" t="n">
        <x:v>3</x:v>
      </x:c>
      <x:c r="T70" s="56" t="n">
        <x:v>0</x:v>
      </x:c>
      <x:c r="U70" s="56" t="n">
        <x:f>MAX(0,5-F70/5)</x:f>
        <x:v>3.44</x:v>
      </x:c>
      <x:c r="V70" s="56" t="n">
        <x:f>MAX(0,MIN(5,(5000-I70)/520))</x:f>
        <x:v>3.9423076923076925</x:v>
      </x:c>
      <x:c r="W70" s="56" t="n">
        <x:f>MIN(5,LOG(L70+1,2))</x:f>
        <x:v>2.321928094887362</x:v>
      </x:c>
      <x:c r="X70" s="56" t="n">
        <x:f>ROUND(U70*$AB$2+R70*$AB$3+V70*$AB$4+W70*$AB$5+S70*$AB$6,1)</x:f>
        <x:v>74.8</x:v>
      </x:c>
      <x:c r="Y70" s="48" t="str">
        <x:f>IF(AND(F70&lt;=8,I70&lt;=3800,R70&gt;=3.5,L70&gt;=6),"优先看房",IF(AND(F70&lt;=12,I70&lt;=4500,R70&gt;=3),"可进入备选","谨慎/低优先"))</x:f>
        <x:v>可进入备选</x:v>
      </x:c>
      <x:c r="Z70" s="48"/>
      <x:c r="AA70" s="48"/>
      <x:c r="AB70" s="48"/>
    </x:row>
    <x:row r="71">
      <x:c r="A71" s="48" t="n">
        <x:v>67</x:v>
      </x:c>
      <x:c r="B71" s="48" t="str">
        <x:v>金龙大厦</x:v>
      </x:c>
      <x:c r="C71" s="48" t="str">
        <x:v>商住大厦倾向</x:v>
      </x:c>
      <x:c r="D71" s="48" t="str">
        <x:v>湖贝</x:v>
      </x:c>
      <x:c r="E71" s="55" t="n">
        <x:v>549</x:v>
      </x:c>
      <x:c r="F71" s="56" t="n">
        <x:v>7.3</x:v>
      </x:c>
      <x:c r="G71" s="55" t="n">
        <x:v>409</x:v>
      </x:c>
      <x:c r="H71" s="57" t="n">
        <x:v>3764</x:v>
      </x:c>
      <x:c r="I71" s="57" t="n">
        <x:v>3880</x:v>
      </x:c>
      <x:c r="J71" s="57" t="n">
        <x:v>2980</x:v>
      </x:c>
      <x:c r="K71" s="57" t="n">
        <x:v>4380</x:v>
      </x:c>
      <x:c r="L71" s="48" t="n">
        <x:v>53</x:v>
      </x:c>
      <x:c r="M71" s="48" t="n">
        <x:v>55</x:v>
      </x:c>
      <x:c r="N71" s="48" t="n">
        <x:v>2</x:v>
      </x:c>
      <x:c r="O71" s="48" t="str">
        <x:v>高</x:v>
      </x:c>
      <x:c r="P71" s="48" t="str">
        <x:v>全封闭式</x:v>
      </x:c>
      <x:c r="Q71" s="48" t="str">
        <x:v>住宅、写字楼、车位</x:v>
      </x:c>
      <x:c r="R71" s="56" t="n">
        <x:v>4.2</x:v>
      </x:c>
      <x:c r="S71" s="56" t="n">
        <x:v>3</x:v>
      </x:c>
      <x:c r="T71" s="56" t="n">
        <x:v>0</x:v>
      </x:c>
      <x:c r="U71" s="56" t="n">
        <x:f>MAX(0,5-F71/5)</x:f>
        <x:v>3.54</x:v>
      </x:c>
      <x:c r="V71" s="56" t="n">
        <x:f>MAX(0,MIN(5,(5000-I71)/520))</x:f>
        <x:v>2.1538461538461537</x:v>
      </x:c>
      <x:c r="W71" s="56" t="n">
        <x:f>MIN(5,LOG(L71+1,2))</x:f>
        <x:v>5</x:v>
      </x:c>
      <x:c r="X71" s="56" t="n">
        <x:f>ROUND(U71*$AB$2+R71*$AB$3+V71*$AB$4+W71*$AB$5+S71*$AB$6,1)</x:f>
        <x:v>74.5</x:v>
      </x:c>
      <x:c r="Y71" s="48" t="str">
        <x:f>IF(AND(F71&lt;=8,I71&lt;=3800,R71&gt;=3.5,L71&gt;=6),"优先看房",IF(AND(F71&lt;=12,I71&lt;=4500,R71&gt;=3),"可进入备选","谨慎/低优先"))</x:f>
        <x:v>可进入备选</x:v>
      </x:c>
      <x:c r="Z71" s="48"/>
      <x:c r="AA71" s="48"/>
      <x:c r="AB71" s="48"/>
    </x:row>
    <x:row r="72">
      <x:c r="A72" s="48" t="n">
        <x:v>68</x:v>
      </x:c>
      <x:c r="B72" s="48" t="str">
        <x:v>国都花园</x:v>
      </x:c>
      <x:c r="C72" s="48" t="str">
        <x:v>住宅小区倾向</x:v>
      </x:c>
      <x:c r="D72" s="48" t="str">
        <x:v>红岭</x:v>
      </x:c>
      <x:c r="E72" s="55" t="n">
        <x:v>979</x:v>
      </x:c>
      <x:c r="F72" s="56" t="n">
        <x:v>13.1</x:v>
      </x:c>
      <x:c r="G72" s="55" t="n">
        <x:v>651</x:v>
      </x:c>
      <x:c r="H72" s="57" t="n">
        <x:v>3100</x:v>
      </x:c>
      <x:c r="I72" s="57" t="n">
        <x:v>3100</x:v>
      </x:c>
      <x:c r="J72" s="57" t="n">
        <x:v>3050</x:v>
      </x:c>
      <x:c r="K72" s="57" t="n">
        <x:v>3150</x:v>
      </x:c>
      <x:c r="L72" s="48" t="n">
        <x:v>2</x:v>
      </x:c>
      <x:c r="M72" s="48" t="n">
        <x:v>2</x:v>
      </x:c>
      <x:c r="N72" s="48" t="n">
        <x:v>0</x:v>
      </x:c>
      <x:c r="O72" s="48" t="str">
        <x:v>低</x:v>
      </x:c>
      <x:c r="P72" s="48" t="str">
        <x:v>半开放式</x:v>
      </x:c>
      <x:c r="Q72" s="48" t="str">
        <x:v>住宅、写字楼、商铺</x:v>
      </x:c>
      <x:c r="R72" s="56" t="n">
        <x:v>3</x:v>
      </x:c>
      <x:c r="S72" s="56" t="n">
        <x:v>3.6</x:v>
      </x:c>
      <x:c r="T72" s="56" t="n">
        <x:v>0</x:v>
      </x:c>
      <x:c r="U72" s="56" t="n">
        <x:f>MAX(0,5-F72/5)</x:f>
        <x:v>2.38</x:v>
      </x:c>
      <x:c r="V72" s="56" t="n">
        <x:f>MAX(0,MIN(5,(5000-I72)/520))</x:f>
        <x:v>3.6538461538461537</x:v>
      </x:c>
      <x:c r="W72" s="56" t="n">
        <x:f>MIN(5,LOG(L72+1,2))</x:f>
        <x:v>1.584962500721156</x:v>
      </x:c>
      <x:c r="X72" s="56" t="n">
        <x:f>ROUND(U72*$AB$2+R72*$AB$3+V72*$AB$4+W72*$AB$5+S72*$AB$6,1)</x:f>
        <x:v>58.3</x:v>
      </x:c>
      <x:c r="Y72" s="48" t="str">
        <x:f>IF(AND(F72&lt;=8,I72&lt;=3800,R72&gt;=3.5,L72&gt;=6),"优先看房",IF(AND(F72&lt;=12,I72&lt;=4500,R72&gt;=3),"可进入备选","谨慎/低优先"))</x:f>
        <x:v>谨慎/低优先</x:v>
      </x:c>
      <x:c r="Z72" s="48"/>
      <x:c r="AA72" s="48"/>
      <x:c r="AB72" s="48"/>
    </x:row>
    <x:row r="73">
      <x:c r="A73" s="48" t="n">
        <x:v>69</x:v>
      </x:c>
      <x:c r="B73" s="48" t="str">
        <x:v>日豪名园2A</x:v>
      </x:c>
      <x:c r="C73" s="48" t="str">
        <x:v>住宅小区倾向</x:v>
      </x:c>
      <x:c r="D73" s="48" t="str">
        <x:v>红岭</x:v>
      </x:c>
      <x:c r="E73" s="55" t="n">
        <x:v>846</x:v>
      </x:c>
      <x:c r="F73" s="56" t="n">
        <x:v>11.3</x:v>
      </x:c>
      <x:c r="G73" s="55" t="n">
        <x:v>518</x:v>
      </x:c>
      <x:c r="H73" s="57" t="n">
        <x:v>3625</x:v>
      </x:c>
      <x:c r="I73" s="57" t="n">
        <x:v>3600</x:v>
      </x:c>
      <x:c r="J73" s="57" t="n">
        <x:v>2800</x:v>
      </x:c>
      <x:c r="K73" s="57" t="n">
        <x:v>4425</x:v>
      </x:c>
      <x:c r="L73" s="48" t="n">
        <x:v>4</x:v>
      </x:c>
      <x:c r="M73" s="48" t="n">
        <x:v>4</x:v>
      </x:c>
      <x:c r="N73" s="48" t="n">
        <x:v>0</x:v>
      </x:c>
      <x:c r="O73" s="48" t="str">
        <x:v>低</x:v>
      </x:c>
      <x:c r="P73" s="48" t="str">
        <x:v>全开放式</x:v>
      </x:c>
      <x:c r="Q73" s="48" t="str">
        <x:v>住宅</x:v>
      </x:c>
      <x:c r="R73" s="56" t="n">
        <x:v>3.2</x:v>
      </x:c>
      <x:c r="S73" s="56" t="n">
        <x:v>4</x:v>
      </x:c>
      <x:c r="T73" s="56" t="n">
        <x:v>0</x:v>
      </x:c>
      <x:c r="U73" s="56" t="n">
        <x:f>MAX(0,5-F73/5)</x:f>
        <x:v>2.7399999999999998</x:v>
      </x:c>
      <x:c r="V73" s="56" t="n">
        <x:f>MAX(0,MIN(5,(5000-I73)/520))</x:f>
        <x:v>2.6923076923076925</x:v>
      </x:c>
      <x:c r="W73" s="56" t="n">
        <x:f>MIN(5,LOG(L73+1,2))</x:f>
        <x:v>2.321928094887362</x:v>
      </x:c>
      <x:c r="X73" s="56" t="n">
        <x:f>ROUND(U73*$AB$2+R73*$AB$3+V73*$AB$4+W73*$AB$5+S73*$AB$6,1)</x:f>
        <x:v>59.6</x:v>
      </x:c>
      <x:c r="Y73" s="48" t="str">
        <x:f>IF(AND(F73&lt;=8,I73&lt;=3800,R73&gt;=3.5,L73&gt;=6),"优先看房",IF(AND(F73&lt;=12,I73&lt;=4500,R73&gt;=3),"可进入备选","谨慎/低优先"))</x:f>
        <x:v>可进入备选</x:v>
      </x:c>
      <x:c r="Z73" s="48"/>
      <x:c r="AA73" s="48"/>
      <x:c r="AB73" s="48"/>
    </x:row>
    <x:row r="74">
      <x:c r="A74" s="48" t="n">
        <x:v>70</x:v>
      </x:c>
      <x:c r="B74" s="48" t="str">
        <x:v>渔民村</x:v>
      </x:c>
      <x:c r="C74" s="48" t="str">
        <x:v>住宅小区倾向</x:v>
      </x:c>
      <x:c r="D74" s="48" t="str">
        <x:v>罗湖</x:v>
      </x:c>
      <x:c r="E74" s="55" t="n">
        <x:v>1121</x:v>
      </x:c>
      <x:c r="F74" s="56" t="n">
        <x:v>14.9</x:v>
      </x:c>
      <x:c r="G74" s="55" t="n">
        <x:v>661</x:v>
      </x:c>
      <x:c r="H74" s="57" t="n">
        <x:v>3460</x:v>
      </x:c>
      <x:c r="I74" s="57" t="n">
        <x:v>2980</x:v>
      </x:c>
      <x:c r="J74" s="57" t="n">
        <x:v>2940</x:v>
      </x:c>
      <x:c r="K74" s="57" t="n">
        <x:v>3740</x:v>
      </x:c>
      <x:c r="L74" s="48" t="n">
        <x:v>3</x:v>
      </x:c>
      <x:c r="M74" s="48" t="n">
        <x:v>3</x:v>
      </x:c>
      <x:c r="N74" s="48" t="n">
        <x:v>0</x:v>
      </x:c>
      <x:c r="O74" s="48" t="str">
        <x:v>低</x:v>
      </x:c>
      <x:c r="P74" s="48" t="str">
        <x:v>半开放式</x:v>
      </x:c>
      <x:c r="Q74" s="48" t="str">
        <x:v>住宅</x:v>
      </x:c>
      <x:c r="R74" s="56" t="n">
        <x:v>3.8</x:v>
      </x:c>
      <x:c r="S74" s="56" t="n">
        <x:v>3</x:v>
      </x:c>
      <x:c r="T74" s="56" t="n">
        <x:v>0</x:v>
      </x:c>
      <x:c r="U74" s="56" t="n">
        <x:f>MAX(0,5-F74/5)</x:f>
        <x:v>2.02</x:v>
      </x:c>
      <x:c r="V74" s="56" t="n">
        <x:f>MAX(0,MIN(5,(5000-I74)/520))</x:f>
        <x:v>3.8846153846153846</x:v>
      </x:c>
      <x:c r="W74" s="56" t="n">
        <x:f>MIN(5,LOG(L74+1,2))</x:f>
        <x:v>2</x:v>
      </x:c>
      <x:c r="X74" s="56" t="n">
        <x:f>ROUND(U74*$AB$2+R74*$AB$3+V74*$AB$4+W74*$AB$5+S74*$AB$6,1)</x:f>
        <x:v>61.6</x:v>
      </x:c>
      <x:c r="Y74" s="48" t="str">
        <x:f>IF(AND(F74&lt;=8,I74&lt;=3800,R74&gt;=3.5,L74&gt;=6),"优先看房",IF(AND(F74&lt;=12,I74&lt;=4500,R74&gt;=3),"可进入备选","谨慎/低优先"))</x:f>
        <x:v>谨慎/低优先</x:v>
      </x:c>
      <x:c r="Z74" s="48"/>
      <x:c r="AA74" s="48"/>
      <x:c r="AB74" s="48"/>
    </x:row>
    <x:row r="75">
      <x:c r="A75" s="48" t="n">
        <x:v>71</x:v>
      </x:c>
      <x:c r="B75" s="48" t="str">
        <x:v>华盛君荟名庭</x:v>
      </x:c>
      <x:c r="C75" s="48" t="str">
        <x:v>住宅小区倾向</x:v>
      </x:c>
      <x:c r="D75" s="48" t="str">
        <x:v>晒布</x:v>
      </x:c>
      <x:c r="E75" s="55" t="n">
        <x:v>203</x:v>
      </x:c>
      <x:c r="F75" s="56" t="n">
        <x:v>2.7</x:v>
      </x:c>
      <x:c r="G75" s="55" t="n">
        <x:v>147</x:v>
      </x:c>
      <x:c r="H75" s="57" t="n">
        <x:v>4650</x:v>
      </x:c>
      <x:c r="I75" s="57" t="n">
        <x:v>4650</x:v>
      </x:c>
      <x:c r="J75" s="57" t="n">
        <x:v>4575</x:v>
      </x:c>
      <x:c r="K75" s="57" t="n">
        <x:v>4725</x:v>
      </x:c>
      <x:c r="L75" s="48" t="n">
        <x:v>2</x:v>
      </x:c>
      <x:c r="M75" s="48" t="n">
        <x:v>2</x:v>
      </x:c>
      <x:c r="N75" s="48" t="n">
        <x:v>0</x:v>
      </x:c>
      <x:c r="O75" s="48" t="str">
        <x:v>低</x:v>
      </x:c>
      <x:c r="P75" s="48" t="str">
        <x:v>全封闭式</x:v>
      </x:c>
      <x:c r="Q75" s="48" t="str">
        <x:v>住宅</x:v>
      </x:c>
      <x:c r="R75" s="56" t="n">
        <x:v>5</x:v>
      </x:c>
      <x:c r="S75" s="56" t="n">
        <x:v>4.3</x:v>
      </x:c>
      <x:c r="T75" s="56" t="n">
        <x:v>0</x:v>
      </x:c>
      <x:c r="U75" s="56" t="n">
        <x:f>MAX(0,5-F75/5)</x:f>
        <x:v>4.46</x:v>
      </x:c>
      <x:c r="V75" s="56" t="n">
        <x:f>MAX(0,MIN(5,(5000-I75)/520))</x:f>
        <x:v>0.6730769230769231</x:v>
      </x:c>
      <x:c r="W75" s="56" t="n">
        <x:f>MIN(5,LOG(L75+1,2))</x:f>
        <x:v>1.584962500721156</x:v>
      </x:c>
      <x:c r="X75" s="56" t="n">
        <x:f>ROUND(U75*$AB$2+R75*$AB$3+V75*$AB$4+W75*$AB$5+S75*$AB$6,1)</x:f>
        <x:v>68.6</x:v>
      </x:c>
      <x:c r="Y75" s="48" t="str">
        <x:f>IF(AND(F75&lt;=8,I75&lt;=3800,R75&gt;=3.5,L75&gt;=6),"优先看房",IF(AND(F75&lt;=12,I75&lt;=4500,R75&gt;=3),"可进入备选","谨慎/低优先"))</x:f>
        <x:v>谨慎/低优先</x:v>
      </x:c>
      <x:c r="Z75" s="48"/>
      <x:c r="AA75" s="48"/>
      <x:c r="AB75" s="48"/>
    </x:row>
    <x:row r="76">
      <x:c r="A76" s="48" t="n">
        <x:v>72</x:v>
      </x:c>
      <x:c r="B76" s="48" t="str">
        <x:v>文华大厦</x:v>
      </x:c>
      <x:c r="C76" s="48" t="str">
        <x:v>混合住宅/公寓</x:v>
      </x:c>
      <x:c r="D76" s="48" t="str">
        <x:v>黄贝岭</x:v>
      </x:c>
      <x:c r="E76" s="55" t="n">
        <x:v>290</x:v>
      </x:c>
      <x:c r="F76" s="56" t="n">
        <x:v>3.9</x:v>
      </x:c>
      <x:c r="G76" s="55" t="n">
        <x:v>123</x:v>
      </x:c>
      <x:c r="H76" s="57" t="n">
        <x:v>4000</x:v>
      </x:c>
      <x:c r="I76" s="57" t="n">
        <x:v>4000</x:v>
      </x:c>
      <x:c r="J76" s="57" t="n">
        <x:v>4000</x:v>
      </x:c>
      <x:c r="K76" s="57" t="n">
        <x:v>4000</x:v>
      </x:c>
      <x:c r="L76" s="48" t="n">
        <x:v>2</x:v>
      </x:c>
      <x:c r="M76" s="48" t="n">
        <x:v>2</x:v>
      </x:c>
      <x:c r="N76" s="48" t="n">
        <x:v>0</x:v>
      </x:c>
      <x:c r="O76" s="48" t="str">
        <x:v>低</x:v>
      </x:c>
      <x:c r="P76" s="48" t="str">
        <x:v>半开放式</x:v>
      </x:c>
      <x:c r="Q76" s="48" t="str">
        <x:v>住宅、写字楼、商铺</x:v>
      </x:c>
      <x:c r="R76" s="56" t="n">
        <x:v>3</x:v>
      </x:c>
      <x:c r="S76" s="56" t="n">
        <x:v>3</x:v>
      </x:c>
      <x:c r="T76" s="56" t="n">
        <x:v>0</x:v>
      </x:c>
      <x:c r="U76" s="56" t="n">
        <x:f>MAX(0,5-F76/5)</x:f>
        <x:v>4.22</x:v>
      </x:c>
      <x:c r="V76" s="56" t="n">
        <x:f>MAX(0,MIN(5,(5000-I76)/520))</x:f>
        <x:v>1.9230769230769231</x:v>
      </x:c>
      <x:c r="W76" s="56" t="n">
        <x:f>MIN(5,LOG(L76+1,2))</x:f>
        <x:v>1.584962500721156</x:v>
      </x:c>
      <x:c r="X76" s="56" t="n">
        <x:f>ROUND(U76*$AB$2+R76*$AB$3+V76*$AB$4+W76*$AB$5+S76*$AB$6,1)</x:f>
        <x:v>61.9</x:v>
      </x:c>
      <x:c r="Y76" s="48" t="str">
        <x:f>IF(AND(F76&lt;=8,I76&lt;=3800,R76&gt;=3.5,L76&gt;=6),"优先看房",IF(AND(F76&lt;=12,I76&lt;=4500,R76&gt;=3),"可进入备选","谨慎/低优先"))</x:f>
        <x:v>可进入备选</x:v>
      </x:c>
      <x:c r="Z76" s="48"/>
      <x:c r="AA76" s="48"/>
      <x:c r="AB76" s="48"/>
    </x:row>
    <x:row r="77">
      <x:c r="A77" s="48" t="n">
        <x:v>73</x:v>
      </x:c>
      <x:c r="B77" s="48" t="str">
        <x:v>裕安花园(渔民村路)</x:v>
      </x:c>
      <x:c r="C77" s="48" t="str">
        <x:v>住宅小区倾向</x:v>
      </x:c>
      <x:c r="D77" s="48" t="str">
        <x:v>罗湖</x:v>
      </x:c>
      <x:c r="E77" s="55" t="n">
        <x:v>1080</x:v>
      </x:c>
      <x:c r="F77" s="56" t="n">
        <x:v>14.4</x:v>
      </x:c>
      <x:c r="G77" s="55" t="n">
        <x:v>698</x:v>
      </x:c>
      <x:c r="H77" s="57" t="n">
        <x:v>2800</x:v>
      </x:c>
      <x:c r="I77" s="57" t="n">
        <x:v>2800</x:v>
      </x:c>
      <x:c r="J77" s="57" t="n">
        <x:v>2800</x:v>
      </x:c>
      <x:c r="K77" s="57" t="n">
        <x:v>2800</x:v>
      </x:c>
      <x:c r="L77" s="48" t="n">
        <x:v>1</x:v>
      </x:c>
      <x:c r="M77" s="48" t="n">
        <x:v>1</x:v>
      </x:c>
      <x:c r="N77" s="48" t="n">
        <x:v>0</x:v>
      </x:c>
      <x:c r="O77" s="48" t="str">
        <x:v>低</x:v>
      </x:c>
      <x:c r="P77" s="48" t="str">
        <x:v>待核</x:v>
      </x:c>
      <x:c r="Q77" s="48" t="str">
        <x:v>待核</x:v>
      </x:c>
      <x:c r="R77" s="56" t="n">
        <x:v>2.8</x:v>
      </x:c>
      <x:c r="S77" s="56" t="n">
        <x:v>2.3</x:v>
      </x:c>
      <x:c r="T77" s="56" t="n">
        <x:v>0</x:v>
      </x:c>
      <x:c r="U77" s="56" t="n">
        <x:f>MAX(0,5-F77/5)</x:f>
        <x:v>2.12</x:v>
      </x:c>
      <x:c r="V77" s="56" t="n">
        <x:f>MAX(0,MIN(5,(5000-I77)/520))</x:f>
        <x:v>4.230769230769231</x:v>
      </x:c>
      <x:c r="W77" s="56" t="n">
        <x:f>MIN(5,LOG(L77+1,2))</x:f>
        <x:v>1</x:v>
      </x:c>
      <x:c r="X77" s="56" t="n">
        <x:f>ROUND(U77*$AB$2+R77*$AB$3+V77*$AB$4+W77*$AB$5+S77*$AB$6,1)</x:f>
        <x:v>55.3</x:v>
      </x:c>
      <x:c r="Y77" s="48" t="str">
        <x:f>IF(AND(F77&lt;=8,I77&lt;=3800,R77&gt;=3.5,L77&gt;=6),"优先看房",IF(AND(F77&lt;=12,I77&lt;=4500,R77&gt;=3),"可进入备选","谨慎/低优先"))</x:f>
        <x:v>谨慎/低优先</x:v>
      </x:c>
      <x:c r="Z77" s="48"/>
      <x:c r="AA77" s="48"/>
      <x:c r="AB77" s="48"/>
    </x:row>
    <x:row r="78">
      <x:c r="A78" s="48" t="n">
        <x:v>74</x:v>
      </x:c>
      <x:c r="B78" s="48" t="str">
        <x:v>蓝馨苑</x:v>
      </x:c>
      <x:c r="C78" s="48" t="str">
        <x:v>住宅小区倾向</x:v>
      </x:c>
      <x:c r="D78" s="48" t="str">
        <x:v>晒布</x:v>
      </x:c>
      <x:c r="E78" s="55" t="n">
        <x:v>1262</x:v>
      </x:c>
      <x:c r="F78" s="56" t="n">
        <x:v>16.8</x:v>
      </x:c>
      <x:c r="G78" s="55" t="n">
        <x:v>803</x:v>
      </x:c>
      <x:c r="H78" s="57" t="n">
        <x:v>2650</x:v>
      </x:c>
      <x:c r="I78" s="57" t="n">
        <x:v>2650</x:v>
      </x:c>
      <x:c r="J78" s="57" t="n">
        <x:v>2575</x:v>
      </x:c>
      <x:c r="K78" s="57" t="n">
        <x:v>2725</x:v>
      </x:c>
      <x:c r="L78" s="48" t="n">
        <x:v>2</x:v>
      </x:c>
      <x:c r="M78" s="48" t="n">
        <x:v>2</x:v>
      </x:c>
      <x:c r="N78" s="48" t="n">
        <x:v>0</x:v>
      </x:c>
      <x:c r="O78" s="48" t="str">
        <x:v>低</x:v>
      </x:c>
      <x:c r="P78" s="48" t="str">
        <x:v>半开放式</x:v>
      </x:c>
      <x:c r="Q78" s="48" t="str">
        <x:v>住宅</x:v>
      </x:c>
      <x:c r="R78" s="56" t="n">
        <x:v>3.8</x:v>
      </x:c>
      <x:c r="S78" s="56" t="n">
        <x:v>3.7</x:v>
      </x:c>
      <x:c r="T78" s="56" t="n">
        <x:v>0</x:v>
      </x:c>
      <x:c r="U78" s="56" t="n">
        <x:f>MAX(0,5-F78/5)</x:f>
        <x:v>1.6399999999999997</x:v>
      </x:c>
      <x:c r="V78" s="56" t="n">
        <x:f>MAX(0,MIN(5,(5000-I78)/520))</x:f>
        <x:v>4.519230769230769</x:v>
      </x:c>
      <x:c r="W78" s="56" t="n">
        <x:f>MIN(5,LOG(L78+1,2))</x:f>
        <x:v>1.584962500721156</x:v>
      </x:c>
      <x:c r="X78" s="56" t="n">
        <x:f>ROUND(U78*$AB$2+R78*$AB$3+V78*$AB$4+W78*$AB$5+S78*$AB$6,1)</x:f>
        <x:v>61.5</x:v>
      </x:c>
      <x:c r="Y78" s="48" t="str">
        <x:f>IF(AND(F78&lt;=8,I78&lt;=3800,R78&gt;=3.5,L78&gt;=6),"优先看房",IF(AND(F78&lt;=12,I78&lt;=4500,R78&gt;=3),"可进入备选","谨慎/低优先"))</x:f>
        <x:v>谨慎/低优先</x:v>
      </x:c>
      <x:c r="Z78" s="48"/>
      <x:c r="AA78" s="48"/>
      <x:c r="AB78" s="48"/>
    </x:row>
    <x:row r="79">
      <x:c r="A79" s="48" t="n">
        <x:v>75</x:v>
      </x:c>
      <x:c r="B79" s="48" t="str">
        <x:v>双城世纪大厦</x:v>
      </x:c>
      <x:c r="C79" s="48" t="str">
        <x:v>住宅小区倾向</x:v>
      </x:c>
      <x:c r="D79" s="48" t="str">
        <x:v>罗湖</x:v>
      </x:c>
      <x:c r="E79" s="55" t="n">
        <x:v>484</x:v>
      </x:c>
      <x:c r="F79" s="56" t="n">
        <x:v>6.5</x:v>
      </x:c>
      <x:c r="G79" s="55" t="n">
        <x:v>281</x:v>
      </x:c>
      <x:c r="H79" s="57" t="n">
        <x:v>4000</x:v>
      </x:c>
      <x:c r="I79" s="57" t="n">
        <x:v>4000</x:v>
      </x:c>
      <x:c r="J79" s="57" t="n">
        <x:v>4000</x:v>
      </x:c>
      <x:c r="K79" s="57" t="n">
        <x:v>4000</x:v>
      </x:c>
      <x:c r="L79" s="48" t="n">
        <x:v>1</x:v>
      </x:c>
      <x:c r="M79" s="48" t="n">
        <x:v>1</x:v>
      </x:c>
      <x:c r="N79" s="48" t="n">
        <x:v>0</x:v>
      </x:c>
      <x:c r="O79" s="48" t="str">
        <x:v>低</x:v>
      </x:c>
      <x:c r="P79" s="48" t="str">
        <x:v>全封闭式</x:v>
      </x:c>
      <x:c r="Q79" s="48" t="str">
        <x:v>住宅、写字楼、商铺</x:v>
      </x:c>
      <x:c r="R79" s="56" t="n">
        <x:v>4.2</x:v>
      </x:c>
      <x:c r="S79" s="56" t="n">
        <x:v>4.3</x:v>
      </x:c>
      <x:c r="T79" s="56" t="n">
        <x:v>0</x:v>
      </x:c>
      <x:c r="U79" s="56" t="n">
        <x:f>MAX(0,5-F79/5)</x:f>
        <x:v>3.7</x:v>
      </x:c>
      <x:c r="V79" s="56" t="n">
        <x:f>MAX(0,MIN(5,(5000-I79)/520))</x:f>
        <x:v>1.9230769230769231</x:v>
      </x:c>
      <x:c r="W79" s="56" t="n">
        <x:f>MIN(5,LOG(L79+1,2))</x:f>
        <x:v>1</x:v>
      </x:c>
      <x:c r="X79" s="56" t="n">
        <x:f>ROUND(U79*$AB$2+R79*$AB$3+V79*$AB$4+W79*$AB$5+S79*$AB$6,1)</x:f>
        <x:v>63.8</x:v>
      </x:c>
      <x:c r="Y79" s="48" t="str">
        <x:f>IF(AND(F79&lt;=8,I79&lt;=3800,R79&gt;=3.5,L79&gt;=6),"优先看房",IF(AND(F79&lt;=12,I79&lt;=4500,R79&gt;=3),"可进入备选","谨慎/低优先"))</x:f>
        <x:v>可进入备选</x:v>
      </x:c>
      <x:c r="Z79" s="48"/>
      <x:c r="AA79" s="48"/>
      <x:c r="AB79" s="48"/>
    </x:row>
    <x:row r="80">
      <x:c r="A80" s="48" t="n">
        <x:v>76</x:v>
      </x:c>
      <x:c r="B80" s="48" t="str">
        <x:v>文星花园</x:v>
      </x:c>
      <x:c r="C80" s="48" t="str">
        <x:v>住宅小区倾向</x:v>
      </x:c>
      <x:c r="D80" s="48" t="str">
        <x:v>湖贝</x:v>
      </x:c>
      <x:c r="E80" s="55" t="n">
        <x:v>763</x:v>
      </x:c>
      <x:c r="F80" s="56" t="n">
        <x:v>10.2</x:v>
      </x:c>
      <x:c r="G80" s="55" t="n">
        <x:v>462</x:v>
      </x:c>
      <x:c r="H80" s="57" t="n">
        <x:v>3967</x:v>
      </x:c>
      <x:c r="I80" s="57" t="n">
        <x:v>3800</x:v>
      </x:c>
      <x:c r="J80" s="57" t="n">
        <x:v>3800</x:v>
      </x:c>
      <x:c r="K80" s="57" t="n">
        <x:v>4050</x:v>
      </x:c>
      <x:c r="L80" s="48" t="n">
        <x:v>3</x:v>
      </x:c>
      <x:c r="M80" s="48" t="n">
        <x:v>4</x:v>
      </x:c>
      <x:c r="N80" s="48" t="n">
        <x:v>1</x:v>
      </x:c>
      <x:c r="O80" s="48" t="str">
        <x:v>低</x:v>
      </x:c>
      <x:c r="P80" s="48" t="str">
        <x:v>全开放式</x:v>
      </x:c>
      <x:c r="Q80" s="48" t="str">
        <x:v>住宅、商铺</x:v>
      </x:c>
      <x:c r="R80" s="56" t="n">
        <x:v>2.8</x:v>
      </x:c>
      <x:c r="S80" s="56" t="n">
        <x:v>3.7</x:v>
      </x:c>
      <x:c r="T80" s="56" t="n">
        <x:v>0</x:v>
      </x:c>
      <x:c r="U80" s="56" t="n">
        <x:f>MAX(0,5-F80/5)</x:f>
        <x:v>2.96</x:v>
      </x:c>
      <x:c r="V80" s="56" t="n">
        <x:f>MAX(0,MIN(5,(5000-I80)/520))</x:f>
        <x:v>2.3076923076923075</x:v>
      </x:c>
      <x:c r="W80" s="56" t="n">
        <x:f>MIN(5,LOG(L80+1,2))</x:f>
        <x:v>2</x:v>
      </x:c>
      <x:c r="X80" s="56" t="n">
        <x:f>ROUND(U80*$AB$2+R80*$AB$3+V80*$AB$4+W80*$AB$5+S80*$AB$6,1)</x:f>
        <x:v>56</x:v>
      </x:c>
      <x:c r="Y80" s="48" t="str">
        <x:f>IF(AND(F80&lt;=8,I80&lt;=3800,R80&gt;=3.5,L80&gt;=6),"优先看房",IF(AND(F80&lt;=12,I80&lt;=4500,R80&gt;=3),"可进入备选","谨慎/低优先"))</x:f>
        <x:v>谨慎/低优先</x:v>
      </x:c>
      <x:c r="Z80" s="48"/>
      <x:c r="AA80" s="48"/>
      <x:c r="AB80" s="48"/>
    </x:row>
    <x:row r="81">
      <x:c r="A81" s="48" t="n">
        <x:v>77</x:v>
      </x:c>
      <x:c r="B81" s="48" t="str">
        <x:v>聚龙大厦</x:v>
      </x:c>
      <x:c r="C81" s="48" t="str">
        <x:v>住宅小区倾向</x:v>
      </x:c>
      <x:c r="D81" s="48" t="str">
        <x:v>晒布</x:v>
      </x:c>
      <x:c r="E81" s="55" t="n">
        <x:v>850</x:v>
      </x:c>
      <x:c r="F81" s="56" t="n">
        <x:v>11.3</x:v>
      </x:c>
      <x:c r="G81" s="55" t="n">
        <x:v>653</x:v>
      </x:c>
      <x:c r="H81" s="57" t="n">
        <x:v>3500</x:v>
      </x:c>
      <x:c r="I81" s="57" t="n">
        <x:v>3500</x:v>
      </x:c>
      <x:c r="J81" s="57" t="n">
        <x:v>3350</x:v>
      </x:c>
      <x:c r="K81" s="57" t="n">
        <x:v>3650</x:v>
      </x:c>
      <x:c r="L81" s="48" t="n">
        <x:v>2</x:v>
      </x:c>
      <x:c r="M81" s="48" t="n">
        <x:v>2</x:v>
      </x:c>
      <x:c r="N81" s="48" t="n">
        <x:v>0</x:v>
      </x:c>
      <x:c r="O81" s="48" t="str">
        <x:v>低</x:v>
      </x:c>
      <x:c r="P81" s="48" t="str">
        <x:v>半开放式</x:v>
      </x:c>
      <x:c r="Q81" s="48" t="str">
        <x:v>住宅、商铺</x:v>
      </x:c>
      <x:c r="R81" s="56" t="n">
        <x:v>3.4</x:v>
      </x:c>
      <x:c r="S81" s="56" t="n">
        <x:v>3.7</x:v>
      </x:c>
      <x:c r="T81" s="56" t="n">
        <x:v>0</x:v>
      </x:c>
      <x:c r="U81" s="56" t="n">
        <x:f>MAX(0,5-F81/5)</x:f>
        <x:v>2.7399999999999998</x:v>
      </x:c>
      <x:c r="V81" s="56" t="n">
        <x:f>MAX(0,MIN(5,(5000-I81)/520))</x:f>
        <x:v>2.8846153846153846</x:v>
      </x:c>
      <x:c r="W81" s="56" t="n">
        <x:f>MIN(5,LOG(L81+1,2))</x:f>
        <x:v>1.584962500721156</x:v>
      </x:c>
      <x:c r="X81" s="56" t="n">
        <x:f>ROUND(U81*$AB$2+R81*$AB$3+V81*$AB$4+W81*$AB$5+S81*$AB$6,1)</x:f>
        <x:v>59.1</x:v>
      </x:c>
      <x:c r="Y81" s="48" t="str">
        <x:f>IF(AND(F81&lt;=8,I81&lt;=3800,R81&gt;=3.5,L81&gt;=6),"优先看房",IF(AND(F81&lt;=12,I81&lt;=4500,R81&gt;=3),"可进入备选","谨慎/低优先"))</x:f>
        <x:v>可进入备选</x:v>
      </x:c>
      <x:c r="Z81" s="48"/>
      <x:c r="AA81" s="48"/>
      <x:c r="AB81" s="48"/>
    </x:row>
    <x:row r="82">
      <x:c r="A82" s="48" t="n">
        <x:v>78</x:v>
      </x:c>
      <x:c r="B82" s="48" t="str">
        <x:v>深业东岭</x:v>
      </x:c>
      <x:c r="C82" s="48" t="str">
        <x:v>住宅小区倾向</x:v>
      </x:c>
      <x:c r="D82" s="48" t="str">
        <x:v>黄贝岭</x:v>
      </x:c>
      <x:c r="E82" s="55" t="n">
        <x:v>584</x:v>
      </x:c>
      <x:c r="F82" s="56" t="n">
        <x:v>7.8</x:v>
      </x:c>
      <x:c r="G82" s="55" t="n">
        <x:v>505</x:v>
      </x:c>
      <x:c r="H82" s="57" t="n">
        <x:v>4600</x:v>
      </x:c>
      <x:c r="I82" s="57" t="n">
        <x:v>4700</x:v>
      </x:c>
      <x:c r="J82" s="57" t="n">
        <x:v>4275</x:v>
      </x:c>
      <x:c r="K82" s="57" t="n">
        <x:v>4850</x:v>
      </x:c>
      <x:c r="L82" s="48" t="n">
        <x:v>12</x:v>
      </x:c>
      <x:c r="M82" s="48" t="n">
        <x:v>13</x:v>
      </x:c>
      <x:c r="N82" s="48" t="n">
        <x:v>1</x:v>
      </x:c>
      <x:c r="O82" s="48" t="str">
        <x:v>中</x:v>
      </x:c>
      <x:c r="P82" s="48" t="str">
        <x:v>半开放式</x:v>
      </x:c>
      <x:c r="Q82" s="48" t="str">
        <x:v>住宅、商铺、教育、车位</x:v>
      </x:c>
      <x:c r="R82" s="56" t="n">
        <x:v>3.4</x:v>
      </x:c>
      <x:c r="S82" s="56" t="n">
        <x:v>4</x:v>
      </x:c>
      <x:c r="T82" s="56" t="n">
        <x:v>0</x:v>
      </x:c>
      <x:c r="U82" s="56" t="n">
        <x:f>MAX(0,5-F82/5)</x:f>
        <x:v>3.44</x:v>
      </x:c>
      <x:c r="V82" s="56" t="n">
        <x:f>MAX(0,MIN(5,(5000-I82)/520))</x:f>
        <x:v>0.5769230769230769</x:v>
      </x:c>
      <x:c r="W82" s="56" t="n">
        <x:f>MIN(5,LOG(L82+1,2))</x:f>
        <x:v>3.700439718141092</x:v>
      </x:c>
      <x:c r="X82" s="56" t="n">
        <x:f>ROUND(U82*$AB$2+R82*$AB$3+V82*$AB$4+W82*$AB$5+S82*$AB$6,1)</x:f>
        <x:v>59.1</x:v>
      </x:c>
      <x:c r="Y82" s="48" t="str">
        <x:f>IF(AND(F82&lt;=8,I82&lt;=3800,R82&gt;=3.5,L82&gt;=6),"优先看房",IF(AND(F82&lt;=12,I82&lt;=4500,R82&gt;=3),"可进入备选","谨慎/低优先"))</x:f>
        <x:v>谨慎/低优先</x:v>
      </x:c>
      <x:c r="Z82" s="48"/>
      <x:c r="AA82" s="48"/>
      <x:c r="AB82" s="48"/>
    </x:row>
    <x:row r="83">
      <x:c r="A83" s="48" t="n">
        <x:v>79</x:v>
      </x:c>
      <x:c r="B83" s="48" t="str">
        <x:v>南洋大厦</x:v>
      </x:c>
      <x:c r="C83" s="48" t="str">
        <x:v>商住大厦倾向</x:v>
      </x:c>
      <x:c r="D83" s="48" t="str">
        <x:v>国贸</x:v>
      </x:c>
      <x:c r="E83" s="55" t="n">
        <x:v>218</x:v>
      </x:c>
      <x:c r="F83" s="56" t="n">
        <x:v>2.9</x:v>
      </x:c>
      <x:c r="G83" s="55" t="n">
        <x:v>191</x:v>
      </x:c>
      <x:c r="H83" s="57" t="n">
        <x:v>4213</x:v>
      </x:c>
      <x:c r="I83" s="57" t="n">
        <x:v>3880</x:v>
      </x:c>
      <x:c r="J83" s="57" t="n">
        <x:v>3880</x:v>
      </x:c>
      <x:c r="K83" s="57" t="n">
        <x:v>4380</x:v>
      </x:c>
      <x:c r="L83" s="48" t="n">
        <x:v>3</x:v>
      </x:c>
      <x:c r="M83" s="48" t="n">
        <x:v>3</x:v>
      </x:c>
      <x:c r="N83" s="48" t="n">
        <x:v>0</x:v>
      </x:c>
      <x:c r="O83" s="48" t="str">
        <x:v>低</x:v>
      </x:c>
      <x:c r="P83" s="48" t="str">
        <x:v>全开放式</x:v>
      </x:c>
      <x:c r="Q83" s="48" t="str">
        <x:v>住宅、写字楼、商铺</x:v>
      </x:c>
      <x:c r="R83" s="56" t="n">
        <x:v>2.4</x:v>
      </x:c>
      <x:c r="S83" s="56" t="n">
        <x:v>3</x:v>
      </x:c>
      <x:c r="T83" s="56" t="n">
        <x:v>0</x:v>
      </x:c>
      <x:c r="U83" s="56" t="n">
        <x:f>MAX(0,5-F83/5)</x:f>
        <x:v>4.42</x:v>
      </x:c>
      <x:c r="V83" s="56" t="n">
        <x:f>MAX(0,MIN(5,(5000-I83)/520))</x:f>
        <x:v>2.1538461538461537</x:v>
      </x:c>
      <x:c r="W83" s="56" t="n">
        <x:f>MIN(5,LOG(L83+1,2))</x:f>
        <x:v>2</x:v>
      </x:c>
      <x:c r="X83" s="56" t="n">
        <x:f>ROUND(U83*$AB$2+R83*$AB$3+V83*$AB$4+W83*$AB$5+S83*$AB$6,1)</x:f>
        <x:v>62.7</x:v>
      </x:c>
      <x:c r="Y83" s="48" t="str">
        <x:f>IF(AND(F83&lt;=8,I83&lt;=3800,R83&gt;=3.5,L83&gt;=6),"优先看房",IF(AND(F83&lt;=12,I83&lt;=4500,R83&gt;=3),"可进入备选","谨慎/低优先"))</x:f>
        <x:v>谨慎/低优先</x:v>
      </x:c>
      <x:c r="Z83" s="48"/>
      <x:c r="AA83" s="48"/>
      <x:c r="AB83" s="48"/>
    </x:row>
    <x:row r="84">
      <x:c r="A84" s="48" t="n">
        <x:v>80</x:v>
      </x:c>
      <x:c r="B84" s="48" t="str">
        <x:v>银座金钻</x:v>
      </x:c>
      <x:c r="C84" s="48" t="str">
        <x:v>住宅小区倾向</x:v>
      </x:c>
      <x:c r="D84" s="48" t="str">
        <x:v>国贸</x:v>
      </x:c>
      <x:c r="E84" s="55" t="n">
        <x:v>448</x:v>
      </x:c>
      <x:c r="F84" s="56" t="n">
        <x:v>6</x:v>
      </x:c>
      <x:c r="G84" s="55" t="n">
        <x:v>356</x:v>
      </x:c>
      <x:c r="H84" s="57" t="n">
        <x:v>4433</x:v>
      </x:c>
      <x:c r="I84" s="57" t="n">
        <x:v>4500</x:v>
      </x:c>
      <x:c r="J84" s="57" t="n">
        <x:v>4250</x:v>
      </x:c>
      <x:c r="K84" s="57" t="n">
        <x:v>4650</x:v>
      </x:c>
      <x:c r="L84" s="48" t="n">
        <x:v>3</x:v>
      </x:c>
      <x:c r="M84" s="48" t="n">
        <x:v>3</x:v>
      </x:c>
      <x:c r="N84" s="48" t="n">
        <x:v>0</x:v>
      </x:c>
      <x:c r="O84" s="48" t="str">
        <x:v>低</x:v>
      </x:c>
      <x:c r="P84" s="48" t="str">
        <x:v>全封闭式</x:v>
      </x:c>
      <x:c r="Q84" s="48" t="str">
        <x:v>住宅、商铺</x:v>
      </x:c>
      <x:c r="R84" s="56" t="n">
        <x:v>4.6</x:v>
      </x:c>
      <x:c r="S84" s="56" t="n">
        <x:v>3</x:v>
      </x:c>
      <x:c r="T84" s="56" t="n">
        <x:v>0</x:v>
      </x:c>
      <x:c r="U84" s="56" t="n">
        <x:f>MAX(0,5-F84/5)</x:f>
        <x:v>3.8</x:v>
      </x:c>
      <x:c r="V84" s="56" t="n">
        <x:f>MAX(0,MIN(5,(5000-I84)/520))</x:f>
        <x:v>0.9615384615384616</x:v>
      </x:c>
      <x:c r="W84" s="56" t="n">
        <x:f>MIN(5,LOG(L84+1,2))</x:f>
        <x:v>2</x:v>
      </x:c>
      <x:c r="X84" s="56" t="n">
        <x:f>ROUND(U84*$AB$2+R84*$AB$3+V84*$AB$4+W84*$AB$5+S84*$AB$6,1)</x:f>
        <x:v>63.4</x:v>
      </x:c>
      <x:c r="Y84" s="48" t="str">
        <x:f>IF(AND(F84&lt;=8,I84&lt;=3800,R84&gt;=3.5,L84&gt;=6),"优先看房",IF(AND(F84&lt;=12,I84&lt;=4500,R84&gt;=3),"可进入备选","谨慎/低优先"))</x:f>
        <x:v>可进入备选</x:v>
      </x:c>
      <x:c r="Z84" s="48"/>
      <x:c r="AA84" s="48"/>
      <x:c r="AB84" s="48"/>
    </x:row>
    <x:row r="85">
      <x:c r="A85" s="48" t="n">
        <x:v>81</x:v>
      </x:c>
      <x:c r="B85" s="48" t="str">
        <x:v>滨河新村(东园路)</x:v>
      </x:c>
      <x:c r="C85" s="48" t="str">
        <x:v>住宅小区倾向</x:v>
      </x:c>
      <x:c r="D85" s="48" t="str">
        <x:v>大剧院</x:v>
      </x:c>
      <x:c r="E85" s="55" t="n">
        <x:v>1158</x:v>
      </x:c>
      <x:c r="F85" s="56" t="n">
        <x:v>15.4</x:v>
      </x:c>
      <x:c r="G85" s="55" t="n">
        <x:v>807</x:v>
      </x:c>
      <x:c r="H85" s="57" t="n">
        <x:v>2800</x:v>
      </x:c>
      <x:c r="I85" s="57" t="n">
        <x:v>2800</x:v>
      </x:c>
      <x:c r="J85" s="57" t="n">
        <x:v>2800</x:v>
      </x:c>
      <x:c r="K85" s="57" t="n">
        <x:v>2800</x:v>
      </x:c>
      <x:c r="L85" s="48" t="n">
        <x:v>1</x:v>
      </x:c>
      <x:c r="M85" s="48" t="n">
        <x:v>1</x:v>
      </x:c>
      <x:c r="N85" s="48" t="n">
        <x:v>0</x:v>
      </x:c>
      <x:c r="O85" s="48" t="str">
        <x:v>低</x:v>
      </x:c>
      <x:c r="P85" s="48" t="str">
        <x:v>待核</x:v>
      </x:c>
      <x:c r="Q85" s="48" t="str">
        <x:v>待核</x:v>
      </x:c>
      <x:c r="R85" s="56" t="n">
        <x:v>2.8</x:v>
      </x:c>
      <x:c r="S85" s="56" t="n">
        <x:v>2.3</x:v>
      </x:c>
      <x:c r="T85" s="56" t="n">
        <x:v>0</x:v>
      </x:c>
      <x:c r="U85" s="56" t="n">
        <x:f>MAX(0,5-F85/5)</x:f>
        <x:v>1.92</x:v>
      </x:c>
      <x:c r="V85" s="56" t="n">
        <x:f>MAX(0,MIN(5,(5000-I85)/520))</x:f>
        <x:v>4.230769230769231</x:v>
      </x:c>
      <x:c r="W85" s="56" t="n">
        <x:f>MIN(5,LOG(L85+1,2))</x:f>
        <x:v>1</x:v>
      </x:c>
      <x:c r="X85" s="56" t="n">
        <x:f>ROUND(U85*$AB$2+R85*$AB$3+V85*$AB$4+W85*$AB$5+S85*$AB$6,1)</x:f>
        <x:v>53.9</x:v>
      </x:c>
      <x:c r="Y85" s="48" t="str">
        <x:f>IF(AND(F85&lt;=8,I85&lt;=3800,R85&gt;=3.5,L85&gt;=6),"优先看房",IF(AND(F85&lt;=12,I85&lt;=4500,R85&gt;=3),"可进入备选","谨慎/低优先"))</x:f>
        <x:v>谨慎/低优先</x:v>
      </x:c>
      <x:c r="Z85" s="48"/>
      <x:c r="AA85" s="48"/>
      <x:c r="AB85" s="48"/>
    </x:row>
    <x:row r="86">
      <x:c r="A86" s="48" t="n">
        <x:v>82</x:v>
      </x:c>
      <x:c r="B86" s="48" t="str">
        <x:v>罗湖金岸</x:v>
      </x:c>
      <x:c r="C86" s="48" t="str">
        <x:v>住宅小区倾向</x:v>
      </x:c>
      <x:c r="D86" s="48" t="str">
        <x:v>罗湖</x:v>
      </x:c>
      <x:c r="E86" s="55" t="n">
        <x:v>800</x:v>
      </x:c>
      <x:c r="F86" s="56" t="n">
        <x:v>10.7</x:v>
      </x:c>
      <x:c r="G86" s="55" t="n">
        <x:v>572</x:v>
      </x:c>
      <x:c r="H86" s="57" t="n">
        <x:v>3500</x:v>
      </x:c>
      <x:c r="I86" s="57" t="n">
        <x:v>3500</x:v>
      </x:c>
      <x:c r="J86" s="57" t="n">
        <x:v>3500</x:v>
      </x:c>
      <x:c r="K86" s="57" t="n">
        <x:v>3500</x:v>
      </x:c>
      <x:c r="L86" s="48" t="n">
        <x:v>1</x:v>
      </x:c>
      <x:c r="M86" s="48" t="n">
        <x:v>1</x:v>
      </x:c>
      <x:c r="N86" s="48" t="n">
        <x:v>0</x:v>
      </x:c>
      <x:c r="O86" s="48" t="str">
        <x:v>低</x:v>
      </x:c>
      <x:c r="P86" s="48" t="str">
        <x:v>全封闭式</x:v>
      </x:c>
      <x:c r="Q86" s="48" t="str">
        <x:v>住宅、写字楼、商铺</x:v>
      </x:c>
      <x:c r="R86" s="56" t="n">
        <x:v>4.2</x:v>
      </x:c>
      <x:c r="S86" s="56" t="n">
        <x:v>4</x:v>
      </x:c>
      <x:c r="T86" s="56" t="n">
        <x:v>0</x:v>
      </x:c>
      <x:c r="U86" s="56" t="n">
        <x:f>MAX(0,5-F86/5)</x:f>
        <x:v>2.8600000000000003</x:v>
      </x:c>
      <x:c r="V86" s="56" t="n">
        <x:f>MAX(0,MIN(5,(5000-I86)/520))</x:f>
        <x:v>2.8846153846153846</x:v>
      </x:c>
      <x:c r="W86" s="56" t="n">
        <x:f>MIN(5,LOG(L86+1,2))</x:f>
        <x:v>1</x:v>
      </x:c>
      <x:c r="X86" s="56" t="n">
        <x:f>ROUND(U86*$AB$2+R86*$AB$3+V86*$AB$4+W86*$AB$5+S86*$AB$6,1)</x:f>
        <x:v>62.4</x:v>
      </x:c>
      <x:c r="Y86" s="48" t="str">
        <x:f>IF(AND(F86&lt;=8,I86&lt;=3800,R86&gt;=3.5,L86&gt;=6),"优先看房",IF(AND(F86&lt;=12,I86&lt;=4500,R86&gt;=3),"可进入备选","谨慎/低优先"))</x:f>
        <x:v>可进入备选</x:v>
      </x:c>
      <x:c r="Z86" s="48"/>
      <x:c r="AA86" s="48"/>
      <x:c r="AB86" s="48"/>
    </x:row>
    <x:row r="87">
      <x:c r="A87" s="48" t="n">
        <x:v>83</x:v>
      </x:c>
      <x:c r="B87" s="48" t="str">
        <x:v>东园新村</x:v>
      </x:c>
      <x:c r="C87" s="48" t="str">
        <x:v>住宅小区倾向</x:v>
      </x:c>
      <x:c r="D87" s="48" t="str">
        <x:v>大剧院</x:v>
      </x:c>
      <x:c r="E87" s="55" t="n">
        <x:v>922</x:v>
      </x:c>
      <x:c r="F87" s="56" t="n">
        <x:v>12.3</x:v>
      </x:c>
      <x:c r="G87" s="55" t="n">
        <x:v>592</x:v>
      </x:c>
      <x:c r="H87" s="57" t="n">
        <x:v>3300</x:v>
      </x:c>
      <x:c r="I87" s="57" t="n">
        <x:v>3300</x:v>
      </x:c>
      <x:c r="J87" s="57" t="n">
        <x:v>3300</x:v>
      </x:c>
      <x:c r="K87" s="57" t="n">
        <x:v>3300</x:v>
      </x:c>
      <x:c r="L87" s="48" t="n">
        <x:v>1</x:v>
      </x:c>
      <x:c r="M87" s="48" t="n">
        <x:v>1</x:v>
      </x:c>
      <x:c r="N87" s="48" t="n">
        <x:v>0</x:v>
      </x:c>
      <x:c r="O87" s="48" t="str">
        <x:v>低</x:v>
      </x:c>
      <x:c r="P87" s="48" t="str">
        <x:v>全开放式</x:v>
      </x:c>
      <x:c r="Q87" s="48" t="str">
        <x:v>住宅、商铺</x:v>
      </x:c>
      <x:c r="R87" s="56" t="n">
        <x:v>2.8</x:v>
      </x:c>
      <x:c r="S87" s="56" t="n">
        <x:v>3.7</x:v>
      </x:c>
      <x:c r="T87" s="56" t="n">
        <x:v>0</x:v>
      </x:c>
      <x:c r="U87" s="56" t="n">
        <x:f>MAX(0,5-F87/5)</x:f>
        <x:v>2.54</x:v>
      </x:c>
      <x:c r="V87" s="56" t="n">
        <x:f>MAX(0,MIN(5,(5000-I87)/520))</x:f>
        <x:v>3.269230769230769</x:v>
      </x:c>
      <x:c r="W87" s="56" t="n">
        <x:f>MIN(5,LOG(L87+1,2))</x:f>
        <x:v>1</x:v>
      </x:c>
      <x:c r="X87" s="56" t="n">
        <x:f>ROUND(U87*$AB$2+R87*$AB$3+V87*$AB$4+W87*$AB$5+S87*$AB$6,1)</x:f>
        <x:v>54.8</x:v>
      </x:c>
      <x:c r="Y87" s="48" t="str">
        <x:f>IF(AND(F87&lt;=8,I87&lt;=3800,R87&gt;=3.5,L87&gt;=6),"优先看房",IF(AND(F87&lt;=12,I87&lt;=4500,R87&gt;=3),"可进入备选","谨慎/低优先"))</x:f>
        <x:v>谨慎/低优先</x:v>
      </x:c>
      <x:c r="Z87" s="48"/>
      <x:c r="AA87" s="48"/>
      <x:c r="AB87" s="48"/>
    </x:row>
    <x:row r="88">
      <x:c r="A88" s="48" t="n">
        <x:v>84</x:v>
      </x:c>
      <x:c r="B88" s="48" t="str">
        <x:v>金鼎大厦</x:v>
      </x:c>
      <x:c r="C88" s="48" t="str">
        <x:v>住宅小区倾向</x:v>
      </x:c>
      <x:c r="D88" s="48" t="str">
        <x:v>湖贝</x:v>
      </x:c>
      <x:c r="E88" s="55" t="n">
        <x:v>420</x:v>
      </x:c>
      <x:c r="F88" s="56" t="n">
        <x:v>5.6</x:v>
      </x:c>
      <x:c r="G88" s="55" t="n">
        <x:v>329</x:v>
      </x:c>
      <x:c r="H88" s="57" t="n">
        <x:v>4725</x:v>
      </x:c>
      <x:c r="I88" s="57" t="n">
        <x:v>4700</x:v>
      </x:c>
      <x:c r="J88" s="57" t="n">
        <x:v>4575</x:v>
      </x:c>
      <x:c r="K88" s="57" t="n">
        <x:v>4850</x:v>
      </x:c>
      <x:c r="L88" s="48" t="n">
        <x:v>4</x:v>
      </x:c>
      <x:c r="M88" s="48" t="n">
        <x:v>4</x:v>
      </x:c>
      <x:c r="N88" s="48" t="n">
        <x:v>0</x:v>
      </x:c>
      <x:c r="O88" s="48" t="str">
        <x:v>低</x:v>
      </x:c>
      <x:c r="P88" s="48" t="str">
        <x:v>全封闭式</x:v>
      </x:c>
      <x:c r="Q88" s="48" t="str">
        <x:v>住宅、商铺、车位</x:v>
      </x:c>
      <x:c r="R88" s="56" t="n">
        <x:v>4.6</x:v>
      </x:c>
      <x:c r="S88" s="56" t="n">
        <x:v>3</x:v>
      </x:c>
      <x:c r="T88" s="56" t="n">
        <x:v>0</x:v>
      </x:c>
      <x:c r="U88" s="56" t="n">
        <x:f>MAX(0,5-F88/5)</x:f>
        <x:v>3.88</x:v>
      </x:c>
      <x:c r="V88" s="56" t="n">
        <x:f>MAX(0,MIN(5,(5000-I88)/520))</x:f>
        <x:v>0.5769230769230769</x:v>
      </x:c>
      <x:c r="W88" s="56" t="n">
        <x:f>MIN(5,LOG(L88+1,2))</x:f>
        <x:v>2.321928094887362</x:v>
      </x:c>
      <x:c r="X88" s="56" t="n">
        <x:f>ROUND(U88*$AB$2+R88*$AB$3+V88*$AB$4+W88*$AB$5+S88*$AB$6,1)</x:f>
        <x:v>63</x:v>
      </x:c>
      <x:c r="Y88" s="48" t="str">
        <x:f>IF(AND(F88&lt;=8,I88&lt;=3800,R88&gt;=3.5,L88&gt;=6),"优先看房",IF(AND(F88&lt;=12,I88&lt;=4500,R88&gt;=3),"可进入备选","谨慎/低优先"))</x:f>
        <x:v>谨慎/低优先</x:v>
      </x:c>
      <x:c r="Z88" s="48"/>
      <x:c r="AA88" s="48"/>
      <x:c r="AB88" s="48"/>
    </x:row>
    <x:row r="89">
      <x:c r="A89" s="48" t="n">
        <x:v>85</x:v>
      </x:c>
      <x:c r="B89" s="48" t="str">
        <x:v>鹿苑小区</x:v>
      </x:c>
      <x:c r="C89" s="48" t="str">
        <x:v>住宅小区倾向</x:v>
      </x:c>
      <x:c r="D89" s="48" t="str">
        <x:v>大剧院</x:v>
      </x:c>
      <x:c r="E89" s="55" t="n">
        <x:v>1673</x:v>
      </x:c>
      <x:c r="F89" s="56" t="n">
        <x:v>22.3</x:v>
      </x:c>
      <x:c r="G89" s="55" t="n">
        <x:v>803</x:v>
      </x:c>
      <x:c r="H89" s="57" t="n">
        <x:v>2497</x:v>
      </x:c>
      <x:c r="I89" s="57" t="n">
        <x:v>2500</x:v>
      </x:c>
      <x:c r="J89" s="57" t="n">
        <x:v>2475</x:v>
      </x:c>
      <x:c r="K89" s="57" t="n">
        <x:v>2500</x:v>
      </x:c>
      <x:c r="L89" s="48" t="n">
        <x:v>7</x:v>
      </x:c>
      <x:c r="M89" s="48" t="n">
        <x:v>22</x:v>
      </x:c>
      <x:c r="N89" s="48" t="n">
        <x:v>15</x:v>
      </x:c>
      <x:c r="O89" s="48" t="str">
        <x:v>中</x:v>
      </x:c>
      <x:c r="P89" s="48" t="str">
        <x:v>待核</x:v>
      </x:c>
      <x:c r="Q89" s="48" t="str">
        <x:v>住宅</x:v>
      </x:c>
      <x:c r="R89" s="56" t="n">
        <x:v>3.8</x:v>
      </x:c>
      <x:c r="S89" s="56" t="n">
        <x:v>2.3</x:v>
      </x:c>
      <x:c r="T89" s="56" t="n">
        <x:v>0</x:v>
      </x:c>
      <x:c r="U89" s="56" t="n">
        <x:f>MAX(0,5-F89/5)</x:f>
        <x:v>0.54</x:v>
      </x:c>
      <x:c r="V89" s="56" t="n">
        <x:f>MAX(0,MIN(5,(5000-I89)/520))</x:f>
        <x:v>4.8076923076923075</x:v>
      </x:c>
      <x:c r="W89" s="56" t="n">
        <x:f>MIN(5,LOG(L89+1,2))</x:f>
        <x:v>3</x:v>
      </x:c>
      <x:c r="X89" s="56" t="n">
        <x:f>ROUND(U89*$AB$2+R89*$AB$3+V89*$AB$4+W89*$AB$5+S89*$AB$6,1)</x:f>
        <x:v>58.1</x:v>
      </x:c>
      <x:c r="Y89" s="48" t="str">
        <x:f>IF(AND(F89&lt;=8,I89&lt;=3800,R89&gt;=3.5,L89&gt;=6),"优先看房",IF(AND(F89&lt;=12,I89&lt;=4500,R89&gt;=3),"可进入备选","谨慎/低优先"))</x:f>
        <x:v>谨慎/低优先</x:v>
      </x:c>
      <x:c r="Z89" s="48"/>
      <x:c r="AA89" s="48"/>
      <x:c r="AB89" s="48"/>
    </x:row>
    <x:row r="90">
      <x:c r="A90" s="48" t="n">
        <x:v>86</x:v>
      </x:c>
      <x:c r="B90" s="48" t="str">
        <x:v>都心名苑</x:v>
      </x:c>
      <x:c r="C90" s="48" t="str">
        <x:v>住宅小区倾向</x:v>
      </x:c>
      <x:c r="D90" s="48" t="str">
        <x:v>晒布</x:v>
      </x:c>
      <x:c r="E90" s="55" t="n">
        <x:v>594</x:v>
      </x:c>
      <x:c r="F90" s="56" t="n">
        <x:v>7.9</x:v>
      </x:c>
      <x:c r="G90" s="55" t="n">
        <x:v>355</x:v>
      </x:c>
      <x:c r="H90" s="57" t="n">
        <x:v>4200</x:v>
      </x:c>
      <x:c r="I90" s="57" t="n">
        <x:v>4200</x:v>
      </x:c>
      <x:c r="J90" s="57" t="n">
        <x:v>4050</x:v>
      </x:c>
      <x:c r="K90" s="57" t="n">
        <x:v>4350</x:v>
      </x:c>
      <x:c r="L90" s="48" t="n">
        <x:v>2</x:v>
      </x:c>
      <x:c r="M90" s="48" t="n">
        <x:v>2</x:v>
      </x:c>
      <x:c r="N90" s="48" t="n">
        <x:v>0</x:v>
      </x:c>
      <x:c r="O90" s="48" t="str">
        <x:v>低</x:v>
      </x:c>
      <x:c r="P90" s="48" t="str">
        <x:v>全封闭式</x:v>
      </x:c>
      <x:c r="Q90" s="48" t="str">
        <x:v>住宅、商铺</x:v>
      </x:c>
      <x:c r="R90" s="56" t="n">
        <x:v>4.6</x:v>
      </x:c>
      <x:c r="S90" s="56" t="n">
        <x:v>4.3</x:v>
      </x:c>
      <x:c r="T90" s="56" t="n">
        <x:v>0</x:v>
      </x:c>
      <x:c r="U90" s="56" t="n">
        <x:f>MAX(0,5-F90/5)</x:f>
        <x:v>3.42</x:v>
      </x:c>
      <x:c r="V90" s="56" t="n">
        <x:f>MAX(0,MIN(5,(5000-I90)/520))</x:f>
        <x:v>1.5384615384615385</x:v>
      </x:c>
      <x:c r="W90" s="56" t="n">
        <x:f>MIN(5,LOG(L90+1,2))</x:f>
        <x:v>1.584962500721156</x:v>
      </x:c>
      <x:c r="X90" s="56" t="n">
        <x:f>ROUND(U90*$AB$2+R90*$AB$3+V90*$AB$4+W90*$AB$5+S90*$AB$6,1)</x:f>
        <x:v>63.7</x:v>
      </x:c>
      <x:c r="Y90" s="48" t="str">
        <x:f>IF(AND(F90&lt;=8,I90&lt;=3800,R90&gt;=3.5,L90&gt;=6),"优先看房",IF(AND(F90&lt;=12,I90&lt;=4500,R90&gt;=3),"可进入备选","谨慎/低优先"))</x:f>
        <x:v>可进入备选</x:v>
      </x:c>
      <x:c r="Z90" s="48"/>
      <x:c r="AA90" s="48"/>
      <x:c r="AB90" s="48"/>
    </x:row>
    <x:row r="91">
      <x:c r="A91" s="48" t="n">
        <x:v>87</x:v>
      </x:c>
      <x:c r="B91" s="48" t="str">
        <x:v>京基·凤凰印象A座</x:v>
      </x:c>
      <x:c r="C91" s="48" t="str">
        <x:v>住宅小区倾向</x:v>
      </x:c>
      <x:c r="D91" s="48" t="str">
        <x:v>黄贝岭</x:v>
      </x:c>
      <x:c r="E91" s="55" t="n">
        <x:v>518</x:v>
      </x:c>
      <x:c r="F91" s="56" t="n">
        <x:v>6.9</x:v>
      </x:c>
      <x:c r="G91" s="55" t="n">
        <x:v>361</x:v>
      </x:c>
      <x:c r="H91" s="57" t="n">
        <x:v>4814</x:v>
      </x:c>
      <x:c r="I91" s="57" t="n">
        <x:v>4800</x:v>
      </x:c>
      <x:c r="J91" s="57" t="n">
        <x:v>4750</x:v>
      </x:c>
      <x:c r="K91" s="57" t="n">
        <x:v>5000</x:v>
      </x:c>
      <x:c r="L91" s="48" t="n">
        <x:v>7</x:v>
      </x:c>
      <x:c r="M91" s="48" t="n">
        <x:v>7</x:v>
      </x:c>
      <x:c r="N91" s="48" t="n">
        <x:v>0</x:v>
      </x:c>
      <x:c r="O91" s="48" t="str">
        <x:v>中</x:v>
      </x:c>
      <x:c r="P91" s="48" t="str">
        <x:v>待核</x:v>
      </x:c>
      <x:c r="Q91" s="48" t="str">
        <x:v>待核</x:v>
      </x:c>
      <x:c r="R91" s="56" t="n">
        <x:v>2.8</x:v>
      </x:c>
      <x:c r="S91" s="56" t="n">
        <x:v>2.9</x:v>
      </x:c>
      <x:c r="T91" s="56" t="n">
        <x:v>0</x:v>
      </x:c>
      <x:c r="U91" s="56" t="n">
        <x:f>MAX(0,5-F91/5)</x:f>
        <x:v>3.62</x:v>
      </x:c>
      <x:c r="V91" s="56" t="n">
        <x:f>MAX(0,MIN(5,(5000-I91)/520))</x:f>
        <x:v>0.38461538461538464</x:v>
      </x:c>
      <x:c r="W91" s="56" t="n">
        <x:f>MIN(5,LOG(L91+1,2))</x:f>
        <x:v>3</x:v>
      </x:c>
      <x:c r="X91" s="56" t="n">
        <x:f>ROUND(U91*$AB$2+R91*$AB$3+V91*$AB$4+W91*$AB$5+S91*$AB$6,1)</x:f>
        <x:v>53.2</x:v>
      </x:c>
      <x:c r="Y91" s="48" t="str">
        <x:f>IF(AND(F91&lt;=8,I91&lt;=3800,R91&gt;=3.5,L91&gt;=6),"优先看房",IF(AND(F91&lt;=12,I91&lt;=4500,R91&gt;=3),"可进入备选","谨慎/低优先"))</x:f>
        <x:v>谨慎/低优先</x:v>
      </x:c>
      <x:c r="Z91" s="48"/>
      <x:c r="AA91" s="48"/>
      <x:c r="AB91" s="48"/>
    </x:row>
    <x:row r="92">
      <x:c r="A92" s="48" t="n">
        <x:v>88</x:v>
      </x:c>
      <x:c r="B92" s="48" t="str">
        <x:v>凯悦华庭</x:v>
      </x:c>
      <x:c r="C92" s="48" t="str">
        <x:v>住宅小区倾向</x:v>
      </x:c>
      <x:c r="D92" s="48" t="str">
        <x:v>湖贝</x:v>
      </x:c>
      <x:c r="E92" s="55" t="n">
        <x:v>565</x:v>
      </x:c>
      <x:c r="F92" s="56" t="n">
        <x:v>7.5</x:v>
      </x:c>
      <x:c r="G92" s="55" t="n">
        <x:v>483</x:v>
      </x:c>
      <x:c r="H92" s="57" t="n">
        <x:v>4400</x:v>
      </x:c>
      <x:c r="I92" s="57" t="n">
        <x:v>4500</x:v>
      </x:c>
      <x:c r="J92" s="57" t="n">
        <x:v>4125</x:v>
      </x:c>
      <x:c r="K92" s="57" t="n">
        <x:v>4775</x:v>
      </x:c>
      <x:c r="L92" s="48" t="n">
        <x:v>4</x:v>
      </x:c>
      <x:c r="M92" s="48" t="n">
        <x:v>4</x:v>
      </x:c>
      <x:c r="N92" s="48" t="n">
        <x:v>0</x:v>
      </x:c>
      <x:c r="O92" s="48" t="str">
        <x:v>低</x:v>
      </x:c>
      <x:c r="P92" s="48" t="str">
        <x:v>全封闭式</x:v>
      </x:c>
      <x:c r="Q92" s="48" t="str">
        <x:v>住宅</x:v>
      </x:c>
      <x:c r="R92" s="56" t="n">
        <x:v>5</x:v>
      </x:c>
      <x:c r="S92" s="56" t="n">
        <x:v>4</x:v>
      </x:c>
      <x:c r="T92" s="56" t="n">
        <x:v>0</x:v>
      </x:c>
      <x:c r="U92" s="56" t="n">
        <x:f>MAX(0,5-F92/5)</x:f>
        <x:v>3.5</x:v>
      </x:c>
      <x:c r="V92" s="56" t="n">
        <x:f>MAX(0,MIN(5,(5000-I92)/520))</x:f>
        <x:v>0.9615384615384616</x:v>
      </x:c>
      <x:c r="W92" s="56" t="n">
        <x:f>MIN(5,LOG(L92+1,2))</x:f>
        <x:v>2.321928094887362</x:v>
      </x:c>
      <x:c r="X92" s="56" t="n">
        <x:f>ROUND(U92*$AB$2+R92*$AB$3+V92*$AB$4+W92*$AB$5+S92*$AB$6,1)</x:f>
        <x:v>65.3</x:v>
      </x:c>
      <x:c r="Y92" s="48" t="str">
        <x:f>IF(AND(F92&lt;=8,I92&lt;=3800,R92&gt;=3.5,L92&gt;=6),"优先看房",IF(AND(F92&lt;=12,I92&lt;=4500,R92&gt;=3),"可进入备选","谨慎/低优先"))</x:f>
        <x:v>可进入备选</x:v>
      </x:c>
      <x:c r="Z92" s="48"/>
      <x:c r="AA92" s="48"/>
      <x:c r="AB92" s="48"/>
    </x:row>
    <x:row r="93">
      <x:c r="A93" s="48" t="n">
        <x:v>89</x:v>
      </x:c>
      <x:c r="B93" s="48" t="str">
        <x:v>粤华小区</x:v>
      </x:c>
      <x:c r="C93" s="48" t="str">
        <x:v>住宅小区倾向</x:v>
      </x:c>
      <x:c r="D93" s="48" t="str">
        <x:v>老街</x:v>
      </x:c>
      <x:c r="E93" s="55" t="n">
        <x:v>694</x:v>
      </x:c>
      <x:c r="F93" s="56" t="n">
        <x:v>9.3</x:v>
      </x:c>
      <x:c r="G93" s="55" t="n">
        <x:v>432</x:v>
      </x:c>
      <x:c r="H93" s="57" t="n">
        <x:v>3880</x:v>
      </x:c>
      <x:c r="I93" s="57" t="n">
        <x:v>3880</x:v>
      </x:c>
      <x:c r="J93" s="57" t="n">
        <x:v>3880</x:v>
      </x:c>
      <x:c r="K93" s="57" t="n">
        <x:v>3880</x:v>
      </x:c>
      <x:c r="L93" s="48" t="n">
        <x:v>1</x:v>
      </x:c>
      <x:c r="M93" s="48" t="n">
        <x:v>1</x:v>
      </x:c>
      <x:c r="N93" s="48" t="n">
        <x:v>0</x:v>
      </x:c>
      <x:c r="O93" s="48" t="str">
        <x:v>低</x:v>
      </x:c>
      <x:c r="P93" s="48" t="str">
        <x:v>待核</x:v>
      </x:c>
      <x:c r="Q93" s="48" t="str">
        <x:v>住宅</x:v>
      </x:c>
      <x:c r="R93" s="56" t="n">
        <x:v>3.8</x:v>
      </x:c>
      <x:c r="S93" s="56" t="n">
        <x:v>2.6</x:v>
      </x:c>
      <x:c r="T93" s="56" t="n">
        <x:v>0</x:v>
      </x:c>
      <x:c r="U93" s="56" t="n">
        <x:f>MAX(0,5-F93/5)</x:f>
        <x:v>3.1399999999999997</x:v>
      </x:c>
      <x:c r="V93" s="56" t="n">
        <x:f>MAX(0,MIN(5,(5000-I93)/520))</x:f>
        <x:v>2.1538461538461537</x:v>
      </x:c>
      <x:c r="W93" s="56" t="n">
        <x:f>MIN(5,LOG(L93+1,2))</x:f>
        <x:v>1</x:v>
      </x:c>
      <x:c r="X93" s="56" t="n">
        <x:f>ROUND(U93*$AB$2+R93*$AB$3+V93*$AB$4+W93*$AB$5+S93*$AB$6,1)</x:f>
        <x:v>57.3</x:v>
      </x:c>
      <x:c r="Y93" s="48" t="str">
        <x:f>IF(AND(F93&lt;=8,I93&lt;=3800,R93&gt;=3.5,L93&gt;=6),"优先看房",IF(AND(F93&lt;=12,I93&lt;=4500,R93&gt;=3),"可进入备选","谨慎/低优先"))</x:f>
        <x:v>可进入备选</x:v>
      </x:c>
      <x:c r="Z93" s="48"/>
      <x:c r="AA93" s="48"/>
      <x:c r="AB93" s="48"/>
    </x:row>
    <x:row r="94">
      <x:c r="A94" s="48" t="n">
        <x:v>90</x:v>
      </x:c>
      <x:c r="B94" s="48" t="str">
        <x:v>恒大天玺公馆</x:v>
      </x:c>
      <x:c r="C94" s="48" t="str">
        <x:v>住宅小区倾向</x:v>
      </x:c>
      <x:c r="D94" s="48" t="str">
        <x:v>老街</x:v>
      </x:c>
      <x:c r="E94" s="55" t="n">
        <x:v>746</x:v>
      </x:c>
      <x:c r="F94" s="56" t="n">
        <x:v>9.9</x:v>
      </x:c>
      <x:c r="G94" s="55" t="n">
        <x:v>455</x:v>
      </x:c>
      <x:c r="H94" s="57" t="n">
        <x:v>4000</x:v>
      </x:c>
      <x:c r="I94" s="57" t="n">
        <x:v>4000</x:v>
      </x:c>
      <x:c r="J94" s="57" t="n">
        <x:v>3600</x:v>
      </x:c>
      <x:c r="K94" s="57" t="n">
        <x:v>4400</x:v>
      </x:c>
      <x:c r="L94" s="48" t="n">
        <x:v>2</x:v>
      </x:c>
      <x:c r="M94" s="48" t="n">
        <x:v>2</x:v>
      </x:c>
      <x:c r="N94" s="48" t="n">
        <x:v>0</x:v>
      </x:c>
      <x:c r="O94" s="48" t="str">
        <x:v>低</x:v>
      </x:c>
      <x:c r="P94" s="48" t="str">
        <x:v>半开放式</x:v>
      </x:c>
      <x:c r="Q94" s="48" t="str">
        <x:v>住宅、商铺</x:v>
      </x:c>
      <x:c r="R94" s="56" t="n">
        <x:v>3.4</x:v>
      </x:c>
      <x:c r="S94" s="56" t="n">
        <x:v>3.7</x:v>
      </x:c>
      <x:c r="T94" s="56" t="n">
        <x:v>0</x:v>
      </x:c>
      <x:c r="U94" s="56" t="n">
        <x:f>MAX(0,5-F94/5)</x:f>
        <x:v>3.02</x:v>
      </x:c>
      <x:c r="V94" s="56" t="n">
        <x:f>MAX(0,MIN(5,(5000-I94)/520))</x:f>
        <x:v>1.9230769230769231</x:v>
      </x:c>
      <x:c r="W94" s="56" t="n">
        <x:f>MIN(5,LOG(L94+1,2))</x:f>
        <x:v>1.584962500721156</x:v>
      </x:c>
      <x:c r="X94" s="56" t="n">
        <x:f>ROUND(U94*$AB$2+R94*$AB$3+V94*$AB$4+W94*$AB$5+S94*$AB$6,1)</x:f>
        <x:v>56.2</x:v>
      </x:c>
      <x:c r="Y94" s="48" t="str">
        <x:f>IF(AND(F94&lt;=8,I94&lt;=3800,R94&gt;=3.5,L94&gt;=6),"优先看房",IF(AND(F94&lt;=12,I94&lt;=4500,R94&gt;=3),"可进入备选","谨慎/低优先"))</x:f>
        <x:v>可进入备选</x:v>
      </x:c>
      <x:c r="Z94" s="48"/>
      <x:c r="AA94" s="48"/>
      <x:c r="AB94" s="48"/>
    </x:row>
    <x:row r="95">
      <x:c r="A95" s="48" t="n">
        <x:v>91</x:v>
      </x:c>
      <x:c r="B95" s="48" t="str">
        <x:v>京基100大厦</x:v>
      </x:c>
      <x:c r="C95" s="48" t="str">
        <x:v>住宅小区倾向</x:v>
      </x:c>
      <x:c r="D95" s="48" t="str">
        <x:v>大剧院</x:v>
      </x:c>
      <x:c r="E95" s="55" t="n">
        <x:v>289</x:v>
      </x:c>
      <x:c r="F95" s="56" t="n">
        <x:v>3.9</x:v>
      </x:c>
      <x:c r="G95" s="55" t="n">
        <x:v>166</x:v>
      </x:c>
      <x:c r="H95" s="57" t="n">
        <x:v>4900</x:v>
      </x:c>
      <x:c r="I95" s="57" t="n">
        <x:v>4900</x:v>
      </x:c>
      <x:c r="J95" s="57" t="n">
        <x:v>4850</x:v>
      </x:c>
      <x:c r="K95" s="57" t="n">
        <x:v>4950</x:v>
      </x:c>
      <x:c r="L95" s="48" t="n">
        <x:v>2</x:v>
      </x:c>
      <x:c r="M95" s="48" t="n">
        <x:v>4</x:v>
      </x:c>
      <x:c r="N95" s="48" t="n">
        <x:v>2</x:v>
      </x:c>
      <x:c r="O95" s="48" t="str">
        <x:v>低</x:v>
      </x:c>
      <x:c r="P95" s="48" t="str">
        <x:v>待核</x:v>
      </x:c>
      <x:c r="Q95" s="48" t="str">
        <x:v>待核</x:v>
      </x:c>
      <x:c r="R95" s="56" t="n">
        <x:v>2.8</x:v>
      </x:c>
      <x:c r="S95" s="56" t="n">
        <x:v>2.9</x:v>
      </x:c>
      <x:c r="T95" s="56" t="n">
        <x:v>1</x:v>
      </x:c>
      <x:c r="U95" s="56" t="n">
        <x:f>MAX(0,5-F95/5)</x:f>
        <x:v>4.22</x:v>
      </x:c>
      <x:c r="V95" s="56" t="n">
        <x:f>MAX(0,MIN(5,(5000-I95)/520))</x:f>
        <x:v>0.19230769230769232</x:v>
      </x:c>
      <x:c r="W95" s="56" t="n">
        <x:f>MIN(5,LOG(L95+1,2))</x:f>
        <x:v>1.584962500721156</x:v>
      </x:c>
      <x:c r="X95" s="56" t="n">
        <x:f>ROUND(U95*$AB$2+R95*$AB$3+V95*$AB$4+W95*$AB$5+S95*$AB$6,1)</x:f>
        <x:v>52.2</x:v>
      </x:c>
      <x:c r="Y95" s="48" t="str">
        <x:f>IF(AND(F95&lt;=8,I95&lt;=3800,R95&gt;=3.5,L95&gt;=6),"优先看房",IF(AND(F95&lt;=12,I95&lt;=4500,R95&gt;=3),"可进入备选","谨慎/低优先"))</x:f>
        <x:v>谨慎/低优先</x:v>
      </x:c>
      <x:c r="Z95" s="48"/>
      <x:c r="AA95" s="48"/>
      <x:c r="AB95" s="48"/>
    </x:row>
    <x:row r="96">
      <x:c r="A96" s="48" t="n">
        <x:v>92</x:v>
      </x:c>
      <x:c r="B96" s="48" t="str">
        <x:v>怡泰大厦B座</x:v>
      </x:c>
      <x:c r="C96" s="48" t="str">
        <x:v>商住大厦倾向</x:v>
      </x:c>
      <x:c r="D96" s="48" t="str">
        <x:v>晒布</x:v>
      </x:c>
      <x:c r="E96" s="55" t="n">
        <x:v>939</x:v>
      </x:c>
      <x:c r="F96" s="56" t="n">
        <x:v>12.5</x:v>
      </x:c>
      <x:c r="G96" s="55" t="n">
        <x:v>774</x:v>
      </x:c>
      <x:c r="H96" s="57" t="n">
        <x:v>3330</x:v>
      </x:c>
      <x:c r="I96" s="57" t="n">
        <x:v>3440</x:v>
      </x:c>
      <x:c r="J96" s="57" t="n">
        <x:v>2725</x:v>
      </x:c>
      <x:c r="K96" s="57" t="n">
        <x:v>3900</x:v>
      </x:c>
      <x:c r="L96" s="48" t="n">
        <x:v>18</x:v>
      </x:c>
      <x:c r="M96" s="48" t="n">
        <x:v>18</x:v>
      </x:c>
      <x:c r="N96" s="48" t="n">
        <x:v>0</x:v>
      </x:c>
      <x:c r="O96" s="48" t="str">
        <x:v>高</x:v>
      </x:c>
      <x:c r="P96" s="48" t="str">
        <x:v>待核</x:v>
      </x:c>
      <x:c r="Q96" s="48" t="str">
        <x:v>待核</x:v>
      </x:c>
      <x:c r="R96" s="56" t="n">
        <x:v>2.8</x:v>
      </x:c>
      <x:c r="S96" s="56" t="n">
        <x:v>2.3</x:v>
      </x:c>
      <x:c r="T96" s="56" t="n">
        <x:v>0</x:v>
      </x:c>
      <x:c r="U96" s="56" t="n">
        <x:f>MAX(0,5-F96/5)</x:f>
        <x:v>2.5</x:v>
      </x:c>
      <x:c r="V96" s="56" t="n">
        <x:f>MAX(0,MIN(5,(5000-I96)/520))</x:f>
        <x:v>3</x:v>
      </x:c>
      <x:c r="W96" s="56" t="n">
        <x:f>MIN(5,LOG(L96+1,2))</x:f>
        <x:v>4.247927513443585</x:v>
      </x:c>
      <x:c r="X96" s="56" t="n">
        <x:f>ROUND(U96*$AB$2+R96*$AB$3+V96*$AB$4+W96*$AB$5+S96*$AB$6,1)</x:f>
        <x:v>61.5</x:v>
      </x:c>
      <x:c r="Y96" s="48" t="str">
        <x:f>IF(AND(F96&lt;=8,I96&lt;=3800,R96&gt;=3.5,L96&gt;=6),"优先看房",IF(AND(F96&lt;=12,I96&lt;=4500,R96&gt;=3),"可进入备选","谨慎/低优先"))</x:f>
        <x:v>谨慎/低优先</x:v>
      </x:c>
      <x:c r="Z96" s="48"/>
      <x:c r="AA96" s="48"/>
      <x:c r="AB96" s="48"/>
    </x:row>
    <x:row r="97">
      <x:c r="A97" s="48" t="n">
        <x:v>93</x:v>
      </x:c>
      <x:c r="B97" s="48" t="str">
        <x:v>乐美居</x:v>
      </x:c>
      <x:c r="C97" s="48" t="str">
        <x:v>住宅小区倾向</x:v>
      </x:c>
      <x:c r="D97" s="48" t="str">
        <x:v>黄贝岭</x:v>
      </x:c>
      <x:c r="E97" s="55" t="n">
        <x:v>1450</x:v>
      </x:c>
      <x:c r="F97" s="56" t="n">
        <x:v>19.3</x:v>
      </x:c>
      <x:c r="G97" s="55" t="n">
        <x:v>882</x:v>
      </x:c>
      <x:c r="H97" s="57" t="n">
        <x:v>2480</x:v>
      </x:c>
      <x:c r="I97" s="57" t="n">
        <x:v>2480</x:v>
      </x:c>
      <x:c r="J97" s="57" t="n">
        <x:v>2480</x:v>
      </x:c>
      <x:c r="K97" s="57" t="n">
        <x:v>2480</x:v>
      </x:c>
      <x:c r="L97" s="48" t="n">
        <x:v>1</x:v>
      </x:c>
      <x:c r="M97" s="48" t="n">
        <x:v>1</x:v>
      </x:c>
      <x:c r="N97" s="48" t="n">
        <x:v>0</x:v>
      </x:c>
      <x:c r="O97" s="48" t="str">
        <x:v>低</x:v>
      </x:c>
      <x:c r="P97" s="48" t="str">
        <x:v>全开放式</x:v>
      </x:c>
      <x:c r="Q97" s="48" t="str">
        <x:v>住宅、商铺</x:v>
      </x:c>
      <x:c r="R97" s="56" t="n">
        <x:v>2.8</x:v>
      </x:c>
      <x:c r="S97" s="56" t="n">
        <x:v>3.6</x:v>
      </x:c>
      <x:c r="T97" s="56" t="n">
        <x:v>0</x:v>
      </x:c>
      <x:c r="U97" s="56" t="n">
        <x:f>MAX(0,5-F97/5)</x:f>
        <x:v>1.1399999999999997</x:v>
      </x:c>
      <x:c r="V97" s="56" t="n">
        <x:f>MAX(0,MIN(5,(5000-I97)/520))</x:f>
        <x:v>4.846153846153846</x:v>
      </x:c>
      <x:c r="W97" s="56" t="n">
        <x:f>MIN(5,LOG(L97+1,2))</x:f>
        <x:v>1</x:v>
      </x:c>
      <x:c r="X97" s="56" t="n">
        <x:f>ROUND(U97*$AB$2+R97*$AB$3+V97*$AB$4+W97*$AB$5+S97*$AB$6,1)</x:f>
        <x:v>52.8</x:v>
      </x:c>
      <x:c r="Y97" s="48" t="str">
        <x:f>IF(AND(F97&lt;=8,I97&lt;=3800,R97&gt;=3.5,L97&gt;=6),"优先看房",IF(AND(F97&lt;=12,I97&lt;=4500,R97&gt;=3),"可进入备选","谨慎/低优先"))</x:f>
        <x:v>谨慎/低优先</x:v>
      </x:c>
      <x:c r="Z97" s="48"/>
      <x:c r="AA97" s="48"/>
      <x:c r="AB97" s="48"/>
    </x:row>
    <x:row r="98">
      <x:c r="A98" s="48" t="n">
        <x:v>94</x:v>
      </x:c>
      <x:c r="B98" s="48" t="str">
        <x:v>华瑞大厦</x:v>
      </x:c>
      <x:c r="C98" s="48" t="str">
        <x:v>住宅小区倾向</x:v>
      </x:c>
      <x:c r="D98" s="48" t="str">
        <x:v>大剧院</x:v>
      </x:c>
      <x:c r="E98" s="55" t="n">
        <x:v>1234</x:v>
      </x:c>
      <x:c r="F98" s="56" t="n">
        <x:v>16.4</x:v>
      </x:c>
      <x:c r="G98" s="55" t="n">
        <x:v>612</x:v>
      </x:c>
      <x:c r="H98" s="57" t="n">
        <x:v>2950</x:v>
      </x:c>
      <x:c r="I98" s="57" t="n">
        <x:v>2950</x:v>
      </x:c>
      <x:c r="J98" s="57" t="n">
        <x:v>2950</x:v>
      </x:c>
      <x:c r="K98" s="57" t="n">
        <x:v>2950</x:v>
      </x:c>
      <x:c r="L98" s="48" t="n">
        <x:v>1</x:v>
      </x:c>
      <x:c r="M98" s="48" t="n">
        <x:v>1</x:v>
      </x:c>
      <x:c r="N98" s="48" t="n">
        <x:v>0</x:v>
      </x:c>
      <x:c r="O98" s="48" t="str">
        <x:v>低</x:v>
      </x:c>
      <x:c r="P98" s="48" t="str">
        <x:v>半开放式</x:v>
      </x:c>
      <x:c r="Q98" s="48" t="str">
        <x:v>住宅、写字楼</x:v>
      </x:c>
      <x:c r="R98" s="56" t="n">
        <x:v>3</x:v>
      </x:c>
      <x:c r="S98" s="56" t="n">
        <x:v>3.4</x:v>
      </x:c>
      <x:c r="T98" s="56" t="n">
        <x:v>0</x:v>
      </x:c>
      <x:c r="U98" s="56" t="n">
        <x:f>MAX(0,5-F98/5)</x:f>
        <x:v>1.7200000000000002</x:v>
      </x:c>
      <x:c r="V98" s="56" t="n">
        <x:f>MAX(0,MIN(5,(5000-I98)/520))</x:f>
        <x:v>3.9423076923076925</x:v>
      </x:c>
      <x:c r="W98" s="56" t="n">
        <x:f>MIN(5,LOG(L98+1,2))</x:f>
        <x:v>1</x:v>
      </x:c>
      <x:c r="X98" s="56" t="n">
        <x:f>ROUND(U98*$AB$2+R98*$AB$3+V98*$AB$4+W98*$AB$5+S98*$AB$6,1)</x:f>
        <x:v>53.2</x:v>
      </x:c>
      <x:c r="Y98" s="48" t="str">
        <x:f>IF(AND(F98&lt;=8,I98&lt;=3800,R98&gt;=3.5,L98&gt;=6),"优先看房",IF(AND(F98&lt;=12,I98&lt;=4500,R98&gt;=3),"可进入备选","谨慎/低优先"))</x:f>
        <x:v>谨慎/低优先</x:v>
      </x:c>
      <x:c r="Z98" s="48"/>
      <x:c r="AA98" s="48"/>
      <x:c r="AB98" s="48"/>
    </x:row>
    <x:row r="99">
      <x:c r="A99" s="48" t="n">
        <x:v>95</x:v>
      </x:c>
      <x:c r="B99" s="48" t="str">
        <x:v>风格名苑</x:v>
      </x:c>
      <x:c r="C99" s="48" t="str">
        <x:v>住宅小区倾向</x:v>
      </x:c>
      <x:c r="D99" s="48" t="str">
        <x:v>红岭</x:v>
      </x:c>
      <x:c r="E99" s="55" t="n">
        <x:v>681</x:v>
      </x:c>
      <x:c r="F99" s="56" t="n">
        <x:v>9.1</x:v>
      </x:c>
      <x:c r="G99" s="55" t="n">
        <x:v>618</x:v>
      </x:c>
      <x:c r="H99" s="57" t="n">
        <x:v>4320</x:v>
      </x:c>
      <x:c r="I99" s="57" t="n">
        <x:v>4600</x:v>
      </x:c>
      <x:c r="J99" s="57" t="n">
        <x:v>3500</x:v>
      </x:c>
      <x:c r="K99" s="57" t="n">
        <x:v>5000</x:v>
      </x:c>
      <x:c r="L99" s="48" t="n">
        <x:v>5</x:v>
      </x:c>
      <x:c r="M99" s="48" t="n">
        <x:v>5</x:v>
      </x:c>
      <x:c r="N99" s="48" t="n">
        <x:v>0</x:v>
      </x:c>
      <x:c r="O99" s="48" t="str">
        <x:v>低</x:v>
      </x:c>
      <x:c r="P99" s="48" t="str">
        <x:v>全封闭式</x:v>
      </x:c>
      <x:c r="Q99" s="48" t="str">
        <x:v>住宅、商铺</x:v>
      </x:c>
      <x:c r="R99" s="56" t="n">
        <x:v>4.6</x:v>
      </x:c>
      <x:c r="S99" s="56" t="n">
        <x:v>3.2</x:v>
      </x:c>
      <x:c r="T99" s="56" t="n">
        <x:v>0</x:v>
      </x:c>
      <x:c r="U99" s="56" t="n">
        <x:f>MAX(0,5-F99/5)</x:f>
        <x:v>3.18</x:v>
      </x:c>
      <x:c r="V99" s="56" t="n">
        <x:f>MAX(0,MIN(5,(5000-I99)/520))</x:f>
        <x:v>0.7692307692307693</x:v>
      </x:c>
      <x:c r="W99" s="56" t="n">
        <x:f>MIN(5,LOG(L99+1,2))</x:f>
        <x:v>2.584962500721156</x:v>
      </x:c>
      <x:c r="X99" s="56" t="n">
        <x:f>ROUND(U99*$AB$2+R99*$AB$3+V99*$AB$4+W99*$AB$5+S99*$AB$6,1)</x:f>
        <x:v>60.1</x:v>
      </x:c>
      <x:c r="Y99" s="48" t="str">
        <x:f>IF(AND(F99&lt;=8,I99&lt;=3800,R99&gt;=3.5,L99&gt;=6),"优先看房",IF(AND(F99&lt;=12,I99&lt;=4500,R99&gt;=3),"可进入备选","谨慎/低优先"))</x:f>
        <x:v>谨慎/低优先</x:v>
      </x:c>
      <x:c r="Z99" s="48"/>
      <x:c r="AA99" s="48"/>
      <x:c r="AB99" s="48"/>
    </x:row>
    <x:row r="100">
      <x:c r="A100" s="48" t="n">
        <x:v>96</x:v>
      </x:c>
      <x:c r="B100" s="48" t="str">
        <x:v>庐山花园</x:v>
      </x:c>
      <x:c r="C100" s="48" t="str">
        <x:v>住宅小区倾向</x:v>
      </x:c>
      <x:c r="D100" s="48" t="str">
        <x:v>国贸</x:v>
      </x:c>
      <x:c r="E100" s="55" t="n">
        <x:v>856</x:v>
      </x:c>
      <x:c r="F100" s="56" t="n">
        <x:v>11.4</x:v>
      </x:c>
      <x:c r="G100" s="55" t="n">
        <x:v>639</x:v>
      </x:c>
      <x:c r="H100" s="57" t="n">
        <x:v>4200</x:v>
      </x:c>
      <x:c r="I100" s="57" t="n">
        <x:v>4350</x:v>
      </x:c>
      <x:c r="J100" s="57" t="n">
        <x:v>4200</x:v>
      </x:c>
      <x:c r="K100" s="57" t="n">
        <x:v>4500</x:v>
      </x:c>
      <x:c r="L100" s="48" t="n">
        <x:v>6</x:v>
      </x:c>
      <x:c r="M100" s="48" t="n">
        <x:v>7</x:v>
      </x:c>
      <x:c r="N100" s="48" t="n">
        <x:v>1</x:v>
      </x:c>
      <x:c r="O100" s="48" t="str">
        <x:v>中</x:v>
      </x:c>
      <x:c r="P100" s="48" t="str">
        <x:v>半开放式</x:v>
      </x:c>
      <x:c r="Q100" s="48" t="str">
        <x:v>住宅、写字楼、商铺</x:v>
      </x:c>
      <x:c r="R100" s="56" t="n">
        <x:v>3</x:v>
      </x:c>
      <x:c r="S100" s="56" t="n">
        <x:v>3.7</x:v>
      </x:c>
      <x:c r="T100" s="56" t="n">
        <x:v>0</x:v>
      </x:c>
      <x:c r="U100" s="56" t="n">
        <x:f>MAX(0,5-F100/5)</x:f>
        <x:v>2.7199999999999998</x:v>
      </x:c>
      <x:c r="V100" s="56" t="n">
        <x:f>MAX(0,MIN(5,(5000-I100)/520))</x:f>
        <x:v>1.25</x:v>
      </x:c>
      <x:c r="W100" s="56" t="n">
        <x:f>MIN(5,LOG(L100+1,2))</x:f>
        <x:v>2.807354922057604</x:v>
      </x:c>
      <x:c r="X100" s="56" t="n">
        <x:f>ROUND(U100*$AB$2+R100*$AB$3+V100*$AB$4+W100*$AB$5+S100*$AB$6,1)</x:f>
        <x:v>52.4</x:v>
      </x:c>
      <x:c r="Y100" s="48" t="str">
        <x:f>IF(AND(F100&lt;=8,I100&lt;=3800,R100&gt;=3.5,L100&gt;=6),"优先看房",IF(AND(F100&lt;=12,I100&lt;=4500,R100&gt;=3),"可进入备选","谨慎/低优先"))</x:f>
        <x:v>可进入备选</x:v>
      </x:c>
      <x:c r="Z100" s="48"/>
      <x:c r="AA100" s="48"/>
      <x:c r="AB100" s="48"/>
    </x:row>
    <x:row r="101">
      <x:c r="A101" s="48" t="n">
        <x:v>97</x:v>
      </x:c>
      <x:c r="B101" s="48" t="str">
        <x:v>御河堤</x:v>
      </x:c>
      <x:c r="C101" s="48" t="str">
        <x:v>住宅小区倾向</x:v>
      </x:c>
      <x:c r="D101" s="48" t="str">
        <x:v>大剧院</x:v>
      </x:c>
      <x:c r="E101" s="55" t="n">
        <x:v>953</x:v>
      </x:c>
      <x:c r="F101" s="56" t="n">
        <x:v>12.7</x:v>
      </x:c>
      <x:c r="G101" s="55" t="n">
        <x:v>576</x:v>
      </x:c>
      <x:c r="H101" s="57" t="n">
        <x:v>4391</x:v>
      </x:c>
      <x:c r="I101" s="57" t="n">
        <x:v>4500</x:v>
      </x:c>
      <x:c r="J101" s="57" t="n">
        <x:v>4000</x:v>
      </x:c>
      <x:c r="K101" s="57" t="n">
        <x:v>4800</x:v>
      </x:c>
      <x:c r="L101" s="48" t="n">
        <x:v>13</x:v>
      </x:c>
      <x:c r="M101" s="48" t="n">
        <x:v>15</x:v>
      </x:c>
      <x:c r="N101" s="48" t="n">
        <x:v>2</x:v>
      </x:c>
      <x:c r="O101" s="48" t="str">
        <x:v>中</x:v>
      </x:c>
      <x:c r="P101" s="48" t="str">
        <x:v>全封闭式</x:v>
      </x:c>
      <x:c r="Q101" s="48" t="str">
        <x:v>住宅、商铺</x:v>
      </x:c>
      <x:c r="R101" s="56" t="n">
        <x:v>4.6</x:v>
      </x:c>
      <x:c r="S101" s="56" t="n">
        <x:v>3.4</x:v>
      </x:c>
      <x:c r="T101" s="56" t="n">
        <x:v>0</x:v>
      </x:c>
      <x:c r="U101" s="56" t="n">
        <x:f>MAX(0,5-F101/5)</x:f>
        <x:v>2.46</x:v>
      </x:c>
      <x:c r="V101" s="56" t="n">
        <x:f>MAX(0,MIN(5,(5000-I101)/520))</x:f>
        <x:v>0.9615384615384616</x:v>
      </x:c>
      <x:c r="W101" s="56" t="n">
        <x:f>MIN(5,LOG(L101+1,2))</x:f>
        <x:v>3.8073549220576037</x:v>
      </x:c>
      <x:c r="X101" s="56" t="n">
        <x:f>ROUND(U101*$AB$2+R101*$AB$3+V101*$AB$4+W101*$AB$5+S101*$AB$6,1)</x:f>
        <x:v>59.8</x:v>
      </x:c>
      <x:c r="Y101" s="48" t="str">
        <x:f>IF(AND(F101&lt;=8,I101&lt;=3800,R101&gt;=3.5,L101&gt;=6),"优先看房",IF(AND(F101&lt;=12,I101&lt;=4500,R101&gt;=3),"可进入备选","谨慎/低优先"))</x:f>
        <x:v>谨慎/低优先</x:v>
      </x:c>
      <x:c r="Z101" s="48"/>
      <x:c r="AA101" s="48"/>
      <x:c r="AB101" s="48"/>
    </x:row>
    <x:row r="102">
      <x:c r="A102" s="48" t="n">
        <x:v>98</x:v>
      </x:c>
      <x:c r="B102" s="48" t="str">
        <x:v>金园花园</x:v>
      </x:c>
      <x:c r="C102" s="48" t="str">
        <x:v>住宅小区倾向</x:v>
      </x:c>
      <x:c r="D102" s="48" t="str">
        <x:v>红岭</x:v>
      </x:c>
      <x:c r="E102" s="55" t="n">
        <x:v>1122</x:v>
      </x:c>
      <x:c r="F102" s="56" t="n">
        <x:v>15</x:v>
      </x:c>
      <x:c r="G102" s="55" t="n">
        <x:v>904</x:v>
      </x:c>
      <x:c r="H102" s="57" t="n">
        <x:v>3500</x:v>
      </x:c>
      <x:c r="I102" s="57" t="n">
        <x:v>3500</x:v>
      </x:c>
      <x:c r="J102" s="57" t="n">
        <x:v>3500</x:v>
      </x:c>
      <x:c r="K102" s="57" t="n">
        <x:v>3500</x:v>
      </x:c>
      <x:c r="L102" s="48" t="n">
        <x:v>2</x:v>
      </x:c>
      <x:c r="M102" s="48" t="n">
        <x:v>2</x:v>
      </x:c>
      <x:c r="N102" s="48" t="n">
        <x:v>0</x:v>
      </x:c>
      <x:c r="O102" s="48" t="str">
        <x:v>低</x:v>
      </x:c>
      <x:c r="P102" s="48" t="str">
        <x:v>半开放式</x:v>
      </x:c>
      <x:c r="Q102" s="48" t="str">
        <x:v>住宅、写字楼、商铺、工业、教育、医疗、车位</x:v>
      </x:c>
      <x:c r="R102" s="56" t="n">
        <x:v>3</x:v>
      </x:c>
      <x:c r="S102" s="56" t="n">
        <x:v>3.4</x:v>
      </x:c>
      <x:c r="T102" s="56" t="n">
        <x:v>0</x:v>
      </x:c>
      <x:c r="U102" s="56" t="n">
        <x:f>MAX(0,5-F102/5)</x:f>
        <x:v>2</x:v>
      </x:c>
      <x:c r="V102" s="56" t="n">
        <x:f>MAX(0,MIN(5,(5000-I102)/520))</x:f>
        <x:v>2.8846153846153846</x:v>
      </x:c>
      <x:c r="W102" s="56" t="n">
        <x:f>MIN(5,LOG(L102+1,2))</x:f>
        <x:v>1.584962500721156</x:v>
      </x:c>
      <x:c r="X102" s="56" t="n">
        <x:f>ROUND(U102*$AB$2+R102*$AB$3+V102*$AB$4+W102*$AB$5+S102*$AB$6,1)</x:f>
        <x:v>51.6</x:v>
      </x:c>
      <x:c r="Y102" s="48" t="str">
        <x:f>IF(AND(F102&lt;=8,I102&lt;=3800,R102&gt;=3.5,L102&gt;=6),"优先看房",IF(AND(F102&lt;=12,I102&lt;=4500,R102&gt;=3),"可进入备选","谨慎/低优先"))</x:f>
        <x:v>谨慎/低优先</x:v>
      </x:c>
      <x:c r="Z102" s="48"/>
      <x:c r="AA102" s="48"/>
      <x:c r="AB102" s="48"/>
    </x:row>
    <x:row r="103">
      <x:c r="A103" s="48" t="n">
        <x:v>99</x:v>
      </x:c>
      <x:c r="B103" s="48" t="str">
        <x:v>云景豪园</x:v>
      </x:c>
      <x:c r="C103" s="48" t="str">
        <x:v>住宅小区倾向</x:v>
      </x:c>
      <x:c r="D103" s="48" t="str">
        <x:v>湖贝</x:v>
      </x:c>
      <x:c r="E103" s="55" t="n">
        <x:v>590</x:v>
      </x:c>
      <x:c r="F103" s="56" t="n">
        <x:v>7.9</x:v>
      </x:c>
      <x:c r="G103" s="55" t="n">
        <x:v>477</x:v>
      </x:c>
      <x:c r="H103" s="57" t="n">
        <x:v>4650</x:v>
      </x:c>
      <x:c r="I103" s="57" t="n">
        <x:v>4650</x:v>
      </x:c>
      <x:c r="J103" s="57" t="n">
        <x:v>4475</x:v>
      </x:c>
      <x:c r="K103" s="57" t="n">
        <x:v>4825</x:v>
      </x:c>
      <x:c r="L103" s="48" t="n">
        <x:v>2</x:v>
      </x:c>
      <x:c r="M103" s="48" t="n">
        <x:v>2</x:v>
      </x:c>
      <x:c r="N103" s="48" t="n">
        <x:v>0</x:v>
      </x:c>
      <x:c r="O103" s="48" t="str">
        <x:v>低</x:v>
      </x:c>
      <x:c r="P103" s="48" t="str">
        <x:v>半开放式</x:v>
      </x:c>
      <x:c r="Q103" s="48" t="str">
        <x:v>住宅、商铺</x:v>
      </x:c>
      <x:c r="R103" s="56" t="n">
        <x:v>3.4</x:v>
      </x:c>
      <x:c r="S103" s="56" t="n">
        <x:v>4</x:v>
      </x:c>
      <x:c r="T103" s="56" t="n">
        <x:v>0</x:v>
      </x:c>
      <x:c r="U103" s="56" t="n">
        <x:f>MAX(0,5-F103/5)</x:f>
        <x:v>3.42</x:v>
      </x:c>
      <x:c r="V103" s="56" t="n">
        <x:f>MAX(0,MIN(5,(5000-I103)/520))</x:f>
        <x:v>0.6730769230769231</x:v>
      </x:c>
      <x:c r="W103" s="56" t="n">
        <x:f>MIN(5,LOG(L103+1,2))</x:f>
        <x:v>1.584962500721156</x:v>
      </x:c>
      <x:c r="X103" s="56" t="n">
        <x:f>ROUND(U103*$AB$2+R103*$AB$3+V103*$AB$4+W103*$AB$5+S103*$AB$6,1)</x:f>
        <x:v>53.1</x:v>
      </x:c>
      <x:c r="Y103" s="48" t="str">
        <x:f>IF(AND(F103&lt;=8,I103&lt;=3800,R103&gt;=3.5,L103&gt;=6),"优先看房",IF(AND(F103&lt;=12,I103&lt;=4500,R103&gt;=3),"可进入备选","谨慎/低优先"))</x:f>
        <x:v>谨慎/低优先</x:v>
      </x:c>
      <x:c r="Z103" s="48"/>
      <x:c r="AA103" s="48"/>
      <x:c r="AB103" s="48"/>
    </x:row>
    <x:row r="104">
      <x:c r="A104" s="48" t="n">
        <x:v>100</x:v>
      </x:c>
      <x:c r="B104" s="48" t="str">
        <x:v>供电南苑</x:v>
      </x:c>
      <x:c r="C104" s="48" t="str">
        <x:v>住宅小区倾向</x:v>
      </x:c>
      <x:c r="D104" s="48" t="str">
        <x:v>大剧院</x:v>
      </x:c>
      <x:c r="E104" s="55" t="n">
        <x:v>747</x:v>
      </x:c>
      <x:c r="F104" s="56" t="n">
        <x:v>10</x:v>
      </x:c>
      <x:c r="G104" s="55" t="n">
        <x:v>478</x:v>
      </x:c>
      <x:c r="H104" s="57" t="n">
        <x:v>4200</x:v>
      </x:c>
      <x:c r="I104" s="57" t="n">
        <x:v>4200</x:v>
      </x:c>
      <x:c r="J104" s="57" t="n">
        <x:v>4200</x:v>
      </x:c>
      <x:c r="K104" s="57" t="n">
        <x:v>4200</x:v>
      </x:c>
      <x:c r="L104" s="48" t="n">
        <x:v>1</x:v>
      </x:c>
      <x:c r="M104" s="48" t="n">
        <x:v>1</x:v>
      </x:c>
      <x:c r="N104" s="48" t="n">
        <x:v>0</x:v>
      </x:c>
      <x:c r="O104" s="48" t="str">
        <x:v>低</x:v>
      </x:c>
      <x:c r="P104" s="48" t="str">
        <x:v>全封闭式</x:v>
      </x:c>
      <x:c r="Q104" s="48" t="str">
        <x:v>住宅</x:v>
      </x:c>
      <x:c r="R104" s="56" t="n">
        <x:v>5</x:v>
      </x:c>
      <x:c r="S104" s="56" t="n">
        <x:v>3.6</x:v>
      </x:c>
      <x:c r="T104" s="56" t="n">
        <x:v>0</x:v>
      </x:c>
      <x:c r="U104" s="56" t="n">
        <x:f>MAX(0,5-F104/5)</x:f>
        <x:v>3</x:v>
      </x:c>
      <x:c r="V104" s="56" t="n">
        <x:f>MAX(0,MIN(5,(5000-I104)/520))</x:f>
        <x:v>1.5384615384615385</x:v>
      </x:c>
      <x:c r="W104" s="56" t="n">
        <x:f>MIN(5,LOG(L104+1,2))</x:f>
        <x:v>1</x:v>
      </x:c>
      <x:c r="X104" s="56" t="n">
        <x:f>ROUND(U104*$AB$2+R104*$AB$3+V104*$AB$4+W104*$AB$5+S104*$AB$6,1)</x:f>
        <x:v>60.3</x:v>
      </x:c>
      <x:c r="Y104" s="48" t="str">
        <x:f>IF(AND(F104&lt;=8,I104&lt;=3800,R104&gt;=3.5,L104&gt;=6),"优先看房",IF(AND(F104&lt;=12,I104&lt;=4500,R104&gt;=3),"可进入备选","谨慎/低优先"))</x:f>
        <x:v>可进入备选</x:v>
      </x:c>
      <x:c r="Z104" s="48"/>
      <x:c r="AA104" s="48"/>
      <x:c r="AB104" s="48"/>
    </x:row>
    <x:row r="105">
      <x:c r="A105" s="48" t="n">
        <x:v>101</x:v>
      </x:c>
      <x:c r="B105" s="48" t="str">
        <x:v>铂金时代公寓</x:v>
      </x:c>
      <x:c r="C105" s="48" t="str">
        <x:v>住宅小区倾向</x:v>
      </x:c>
      <x:c r="D105" s="48" t="str">
        <x:v>罗湖</x:v>
      </x:c>
      <x:c r="E105" s="55" t="n">
        <x:v>743</x:v>
      </x:c>
      <x:c r="F105" s="56" t="n">
        <x:v>9.9</x:v>
      </x:c>
      <x:c r="G105" s="55" t="n">
        <x:v>560</x:v>
      </x:c>
      <x:c r="H105" s="57" t="n">
        <x:v>4533</x:v>
      </x:c>
      <x:c r="I105" s="57" t="n">
        <x:v>4600</x:v>
      </x:c>
      <x:c r="J105" s="57" t="n">
        <x:v>4400</x:v>
      </x:c>
      <x:c r="K105" s="57" t="n">
        <x:v>4700</x:v>
      </x:c>
      <x:c r="L105" s="48" t="n">
        <x:v>3</x:v>
      </x:c>
      <x:c r="M105" s="48" t="n">
        <x:v>3</x:v>
      </x:c>
      <x:c r="N105" s="48" t="n">
        <x:v>0</x:v>
      </x:c>
      <x:c r="O105" s="48" t="str">
        <x:v>低</x:v>
      </x:c>
      <x:c r="P105" s="48" t="str">
        <x:v>全封闭式</x:v>
      </x:c>
      <x:c r="Q105" s="48" t="str">
        <x:v>住宅、商铺</x:v>
      </x:c>
      <x:c r="R105" s="56" t="n">
        <x:v>4.6</x:v>
      </x:c>
      <x:c r="S105" s="56" t="n">
        <x:v>3.7</x:v>
      </x:c>
      <x:c r="T105" s="56" t="n">
        <x:v>0</x:v>
      </x:c>
      <x:c r="U105" s="56" t="n">
        <x:f>MAX(0,5-F105/5)</x:f>
        <x:v>3.02</x:v>
      </x:c>
      <x:c r="V105" s="56" t="n">
        <x:f>MAX(0,MIN(5,(5000-I105)/520))</x:f>
        <x:v>0.7692307692307693</x:v>
      </x:c>
      <x:c r="W105" s="56" t="n">
        <x:f>MIN(5,LOG(L105+1,2))</x:f>
        <x:v>2</x:v>
      </x:c>
      <x:c r="X105" s="56" t="n">
        <x:f>ROUND(U105*$AB$2+R105*$AB$3+V105*$AB$4+W105*$AB$5+S105*$AB$6,1)</x:f>
        <x:v>57.7</x:v>
      </x:c>
      <x:c r="Y105" s="48" t="str">
        <x:f>IF(AND(F105&lt;=8,I105&lt;=3800,R105&gt;=3.5,L105&gt;=6),"优先看房",IF(AND(F105&lt;=12,I105&lt;=4500,R105&gt;=3),"可进入备选","谨慎/低优先"))</x:f>
        <x:v>谨慎/低优先</x:v>
      </x:c>
      <x:c r="Z105" s="48"/>
      <x:c r="AA105" s="48"/>
      <x:c r="AB105" s="48"/>
    </x:row>
    <x:row r="106">
      <x:c r="A106" s="48" t="n">
        <x:v>102</x:v>
      </x:c>
      <x:c r="B106" s="48" t="str">
        <x:v>长虹大厦</x:v>
      </x:c>
      <x:c r="C106" s="48" t="str">
        <x:v>住宅小区倾向</x:v>
      </x:c>
      <x:c r="D106" s="48" t="str">
        <x:v>红岭</x:v>
      </x:c>
      <x:c r="E106" s="55" t="n">
        <x:v>1228</x:v>
      </x:c>
      <x:c r="F106" s="56" t="n">
        <x:v>16.4</x:v>
      </x:c>
      <x:c r="G106" s="55" t="n">
        <x:v>836</x:v>
      </x:c>
      <x:c r="H106" s="57" t="n">
        <x:v>4137</x:v>
      </x:c>
      <x:c r="I106" s="57" t="n">
        <x:v>3980</x:v>
      </x:c>
      <x:c r="J106" s="57" t="n">
        <x:v>3930</x:v>
      </x:c>
      <x:c r="K106" s="57" t="n">
        <x:v>4280</x:v>
      </x:c>
      <x:c r="L106" s="48" t="n">
        <x:v>7</x:v>
      </x:c>
      <x:c r="M106" s="48" t="n">
        <x:v>8</x:v>
      </x:c>
      <x:c r="N106" s="48" t="n">
        <x:v>1</x:v>
      </x:c>
      <x:c r="O106" s="48" t="str">
        <x:v>中</x:v>
      </x:c>
      <x:c r="P106" s="48" t="str">
        <x:v>半开放式</x:v>
      </x:c>
      <x:c r="Q106" s="48" t="str">
        <x:v>住宅、写字楼、商铺、工业、医疗、车位</x:v>
      </x:c>
      <x:c r="R106" s="56" t="n">
        <x:v>3</x:v>
      </x:c>
      <x:c r="S106" s="56" t="n">
        <x:v>2.4</x:v>
      </x:c>
      <x:c r="T106" s="56" t="n">
        <x:v>0</x:v>
      </x:c>
      <x:c r="U106" s="56" t="n">
        <x:f>MAX(0,5-F106/5)</x:f>
        <x:v>1.7200000000000002</x:v>
      </x:c>
      <x:c r="V106" s="56" t="n">
        <x:f>MAX(0,MIN(5,(5000-I106)/520))</x:f>
        <x:v>1.9615384615384615</x:v>
      </x:c>
      <x:c r="W106" s="56" t="n">
        <x:f>MIN(5,LOG(L106+1,2))</x:f>
        <x:v>3</x:v>
      </x:c>
      <x:c r="X106" s="56" t="n">
        <x:f>ROUND(U106*$AB$2+R106*$AB$3+V106*$AB$4+W106*$AB$5+S106*$AB$6,1)</x:f>
        <x:v>48.2</x:v>
      </x:c>
      <x:c r="Y106" s="48" t="str">
        <x:f>IF(AND(F106&lt;=8,I106&lt;=3800,R106&gt;=3.5,L106&gt;=6),"优先看房",IF(AND(F106&lt;=12,I106&lt;=4500,R106&gt;=3),"可进入备选","谨慎/低优先"))</x:f>
        <x:v>谨慎/低优先</x:v>
      </x:c>
      <x:c r="Z106" s="48"/>
      <x:c r="AA106" s="48"/>
      <x:c r="AB106" s="48"/>
    </x:row>
    <x:row r="107">
      <x:c r="A107" s="48" t="n">
        <x:v>103</x:v>
      </x:c>
      <x:c r="B107" s="48" t="str">
        <x:v>名阳阁</x:v>
      </x:c>
      <x:c r="C107" s="48" t="str">
        <x:v>住宅小区倾向</x:v>
      </x:c>
      <x:c r="D107" s="48" t="str">
        <x:v>晒布</x:v>
      </x:c>
      <x:c r="E107" s="55" t="n">
        <x:v>1158</x:v>
      </x:c>
      <x:c r="F107" s="56" t="n">
        <x:v>15.4</x:v>
      </x:c>
      <x:c r="G107" s="55" t="n">
        <x:v>700</x:v>
      </x:c>
      <x:c r="H107" s="57" t="n">
        <x:v>3500</x:v>
      </x:c>
      <x:c r="I107" s="57" t="n">
        <x:v>3500</x:v>
      </x:c>
      <x:c r="J107" s="57" t="n">
        <x:v>3500</x:v>
      </x:c>
      <x:c r="K107" s="57" t="n">
        <x:v>3500</x:v>
      </x:c>
      <x:c r="L107" s="48" t="n">
        <x:v>1</x:v>
      </x:c>
      <x:c r="M107" s="48" t="n">
        <x:v>1</x:v>
      </x:c>
      <x:c r="N107" s="48" t="n">
        <x:v>0</x:v>
      </x:c>
      <x:c r="O107" s="48" t="str">
        <x:v>低</x:v>
      </x:c>
      <x:c r="P107" s="48" t="str">
        <x:v>全开放式</x:v>
      </x:c>
      <x:c r="Q107" s="48" t="str">
        <x:v>住宅、商铺</x:v>
      </x:c>
      <x:c r="R107" s="56" t="n">
        <x:v>2.8</x:v>
      </x:c>
      <x:c r="S107" s="56" t="n">
        <x:v>3.4</x:v>
      </x:c>
      <x:c r="T107" s="56" t="n">
        <x:v>0</x:v>
      </x:c>
      <x:c r="U107" s="56" t="n">
        <x:f>MAX(0,5-F107/5)</x:f>
        <x:v>1.92</x:v>
      </x:c>
      <x:c r="V107" s="56" t="n">
        <x:f>MAX(0,MIN(5,(5000-I107)/520))</x:f>
        <x:v>2.8846153846153846</x:v>
      </x:c>
      <x:c r="W107" s="56" t="n">
        <x:f>MIN(5,LOG(L107+1,2))</x:f>
        <x:v>1</x:v>
      </x:c>
      <x:c r="X107" s="56" t="n">
        <x:f>ROUND(U107*$AB$2+R107*$AB$3+V107*$AB$4+W107*$AB$5+S107*$AB$6,1)</x:f>
        <x:v>48.3</x:v>
      </x:c>
      <x:c r="Y107" s="48" t="str">
        <x:f>IF(AND(F107&lt;=8,I107&lt;=3800,R107&gt;=3.5,L107&gt;=6),"优先看房",IF(AND(F107&lt;=12,I107&lt;=4500,R107&gt;=3),"可进入备选","谨慎/低优先"))</x:f>
        <x:v>谨慎/低优先</x:v>
      </x:c>
      <x:c r="Z107" s="48"/>
      <x:c r="AA107" s="48"/>
      <x:c r="AB107" s="48"/>
    </x:row>
    <x:row r="108">
      <x:c r="A108" s="48" t="n">
        <x:v>104</x:v>
      </x:c>
      <x:c r="B108" s="48" t="str">
        <x:v>森威大厦</x:v>
      </x:c>
      <x:c r="C108" s="48" t="str">
        <x:v>商住大厦倾向</x:v>
      </x:c>
      <x:c r="D108" s="48" t="str">
        <x:v>湖贝</x:v>
      </x:c>
      <x:c r="E108" s="55" t="n">
        <x:v>842</x:v>
      </x:c>
      <x:c r="F108" s="56" t="n">
        <x:v>11.2</x:v>
      </x:c>
      <x:c r="G108" s="55" t="n">
        <x:v>630</x:v>
      </x:c>
      <x:c r="H108" s="57" t="n">
        <x:v>3910</x:v>
      </x:c>
      <x:c r="I108" s="57" t="n">
        <x:v>3940</x:v>
      </x:c>
      <x:c r="J108" s="57" t="n">
        <x:v>3710</x:v>
      </x:c>
      <x:c r="K108" s="57" t="n">
        <x:v>4185</x:v>
      </x:c>
      <x:c r="L108" s="48" t="n">
        <x:v>12</x:v>
      </x:c>
      <x:c r="M108" s="48" t="n">
        <x:v>15</x:v>
      </x:c>
      <x:c r="N108" s="48" t="n">
        <x:v>3</x:v>
      </x:c>
      <x:c r="O108" s="48" t="str">
        <x:v>中</x:v>
      </x:c>
      <x:c r="P108" s="48" t="str">
        <x:v>全开放式</x:v>
      </x:c>
      <x:c r="Q108" s="48" t="str">
        <x:v>住宅、写字楼、商铺</x:v>
      </x:c>
      <x:c r="R108" s="56" t="n">
        <x:v>2.4</x:v>
      </x:c>
      <x:c r="S108" s="56" t="n">
        <x:v>3.4</x:v>
      </x:c>
      <x:c r="T108" s="56" t="n">
        <x:v>0</x:v>
      </x:c>
      <x:c r="U108" s="56" t="n">
        <x:f>MAX(0,5-F108/5)</x:f>
        <x:v>2.7600000000000002</x:v>
      </x:c>
      <x:c r="V108" s="56" t="n">
        <x:f>MAX(0,MIN(5,(5000-I108)/520))</x:f>
        <x:v>2.0384615384615383</x:v>
      </x:c>
      <x:c r="W108" s="56" t="n">
        <x:f>MIN(5,LOG(L108+1,2))</x:f>
        <x:v>3.700439718141092</x:v>
      </x:c>
      <x:c r="X108" s="56" t="n">
        <x:f>ROUND(U108*$AB$2+R108*$AB$3+V108*$AB$4+W108*$AB$5+S108*$AB$6,1)</x:f>
        <x:v>56</x:v>
      </x:c>
      <x:c r="Y108" s="48" t="str">
        <x:f>IF(AND(F108&lt;=8,I108&lt;=3800,R108&gt;=3.5,L108&gt;=6),"优先看房",IF(AND(F108&lt;=12,I108&lt;=4500,R108&gt;=3),"可进入备选","谨慎/低优先"))</x:f>
        <x:v>谨慎/低优先</x:v>
      </x:c>
      <x:c r="Z108" s="48"/>
      <x:c r="AA108" s="48"/>
      <x:c r="AB108" s="48"/>
    </x:row>
    <x:row r="109">
      <x:c r="A109" s="48" t="n">
        <x:v>105</x:v>
      </x:c>
      <x:c r="B109" s="48" t="str">
        <x:v>鸿基大厦</x:v>
      </x:c>
      <x:c r="C109" s="48" t="str">
        <x:v>商住大厦倾向</x:v>
      </x:c>
      <x:c r="D109" s="48" t="str">
        <x:v>晒布</x:v>
      </x:c>
      <x:c r="E109" s="55" t="n">
        <x:v>547</x:v>
      </x:c>
      <x:c r="F109" s="56" t="n">
        <x:v>7.3</x:v>
      </x:c>
      <x:c r="G109" s="55" t="n">
        <x:v>412</x:v>
      </x:c>
      <x:c r="H109" s="57" t="n">
        <x:v>4071</x:v>
      </x:c>
      <x:c r="I109" s="57" t="n">
        <x:v>4300</x:v>
      </x:c>
      <x:c r="J109" s="57" t="n">
        <x:v>3500</x:v>
      </x:c>
      <x:c r="K109" s="57" t="n">
        <x:v>4450</x:v>
      </x:c>
      <x:c r="L109" s="48" t="n">
        <x:v>7</x:v>
      </x:c>
      <x:c r="M109" s="48" t="n">
        <x:v>8</x:v>
      </x:c>
      <x:c r="N109" s="48" t="n">
        <x:v>1</x:v>
      </x:c>
      <x:c r="O109" s="48" t="str">
        <x:v>中</x:v>
      </x:c>
      <x:c r="P109" s="48" t="str">
        <x:v>全封闭式</x:v>
      </x:c>
      <x:c r="Q109" s="48" t="str">
        <x:v>住宅、商铺、教育、车位</x:v>
      </x:c>
      <x:c r="R109" s="56" t="n">
        <x:v>4.6</x:v>
      </x:c>
      <x:c r="S109" s="56" t="n">
        <x:v>4.3</x:v>
      </x:c>
      <x:c r="T109" s="56" t="n">
        <x:v>0</x:v>
      </x:c>
      <x:c r="U109" s="56" t="n">
        <x:f>MAX(0,5-F109/5)</x:f>
        <x:v>3.54</x:v>
      </x:c>
      <x:c r="V109" s="56" t="n">
        <x:f>MAX(0,MIN(5,(5000-I109)/520))</x:f>
        <x:v>1.3461538461538463</x:v>
      </x:c>
      <x:c r="W109" s="56" t="n">
        <x:f>MIN(5,LOG(L109+1,2))</x:f>
        <x:v>3</x:v>
      </x:c>
      <x:c r="X109" s="56" t="n">
        <x:f>ROUND(U109*$AB$2+R109*$AB$3+V109*$AB$4+W109*$AB$5+S109*$AB$6,1)</x:f>
        <x:v>67.8</x:v>
      </x:c>
      <x:c r="Y109" s="48" t="str">
        <x:f>IF(AND(F109&lt;=8,I109&lt;=3800,R109&gt;=3.5,L109&gt;=6),"优先看房",IF(AND(F109&lt;=12,I109&lt;=4500,R109&gt;=3),"可进入备选","谨慎/低优先"))</x:f>
        <x:v>可进入备选</x:v>
      </x:c>
      <x:c r="Z109" s="48"/>
      <x:c r="AA109" s="48"/>
      <x:c r="AB109" s="48"/>
    </x:row>
    <x:row r="110">
      <x:c r="A110" s="48" t="n">
        <x:v>106</x:v>
      </x:c>
      <x:c r="B110" s="48" t="str">
        <x:v>朗钜御风庭</x:v>
      </x:c>
      <x:c r="C110" s="48" t="str">
        <x:v>住宅小区倾向</x:v>
      </x:c>
      <x:c r="D110" s="48" t="str">
        <x:v>湖贝</x:v>
      </x:c>
      <x:c r="E110" s="55" t="n">
        <x:v>931</x:v>
      </x:c>
      <x:c r="F110" s="56" t="n">
        <x:v>12.4</x:v>
      </x:c>
      <x:c r="G110" s="55" t="n">
        <x:v>698</x:v>
      </x:c>
      <x:c r="H110" s="57" t="n">
        <x:v>4250</x:v>
      </x:c>
      <x:c r="I110" s="57" t="n">
        <x:v>4400</x:v>
      </x:c>
      <x:c r="J110" s="57" t="n">
        <x:v>4050</x:v>
      </x:c>
      <x:c r="K110" s="57" t="n">
        <x:v>4600</x:v>
      </x:c>
      <x:c r="L110" s="48" t="n">
        <x:v>4</x:v>
      </x:c>
      <x:c r="M110" s="48" t="n">
        <x:v>4</x:v>
      </x:c>
      <x:c r="N110" s="48" t="n">
        <x:v>0</x:v>
      </x:c>
      <x:c r="O110" s="48" t="str">
        <x:v>低</x:v>
      </x:c>
      <x:c r="P110" s="48" t="str">
        <x:v>半开放式</x:v>
      </x:c>
      <x:c r="Q110" s="48" t="str">
        <x:v>住宅、写字楼、商铺、工业、教育、医疗、车位</x:v>
      </x:c>
      <x:c r="R110" s="56" t="n">
        <x:v>3</x:v>
      </x:c>
      <x:c r="S110" s="56" t="n">
        <x:v>3.5</x:v>
      </x:c>
      <x:c r="T110" s="56" t="n">
        <x:v>0</x:v>
      </x:c>
      <x:c r="U110" s="56" t="n">
        <x:f>MAX(0,5-F110/5)</x:f>
        <x:v>2.52</x:v>
      </x:c>
      <x:c r="V110" s="56" t="n">
        <x:f>MAX(0,MIN(5,(5000-I110)/520))</x:f>
        <x:v>1.1538461538461537</x:v>
      </x:c>
      <x:c r="W110" s="56" t="n">
        <x:f>MIN(5,LOG(L110+1,2))</x:f>
        <x:v>2.321928094887362</x:v>
      </x:c>
      <x:c r="X110" s="56" t="n">
        <x:f>ROUND(U110*$AB$2+R110*$AB$3+V110*$AB$4+W110*$AB$5+S110*$AB$6,1)</x:f>
        <x:v>48.9</x:v>
      </x:c>
      <x:c r="Y110" s="48" t="str">
        <x:f>IF(AND(F110&lt;=8,I110&lt;=3800,R110&gt;=3.5,L110&gt;=6),"优先看房",IF(AND(F110&lt;=12,I110&lt;=4500,R110&gt;=3),"可进入备选","谨慎/低优先"))</x:f>
        <x:v>谨慎/低优先</x:v>
      </x:c>
      <x:c r="Z110" s="48"/>
      <x:c r="AA110" s="48"/>
      <x:c r="AB110" s="48"/>
    </x:row>
    <x:row r="111">
      <x:c r="A111" s="48" t="n">
        <x:v>107</x:v>
      </x:c>
      <x:c r="B111" s="48" t="str">
        <x:v>碧湖花园</x:v>
      </x:c>
      <x:c r="C111" s="48" t="str">
        <x:v>住宅小区倾向</x:v>
      </x:c>
      <x:c r="D111" s="48" t="str">
        <x:v>晒布</x:v>
      </x:c>
      <x:c r="E111" s="55" t="n">
        <x:v>1253</x:v>
      </x:c>
      <x:c r="F111" s="56" t="n">
        <x:v>16.7</x:v>
      </x:c>
      <x:c r="G111" s="55" t="n">
        <x:v>963</x:v>
      </x:c>
      <x:c r="H111" s="57" t="n">
        <x:v>3400</x:v>
      </x:c>
      <x:c r="I111" s="57" t="n">
        <x:v>3400</x:v>
      </x:c>
      <x:c r="J111" s="57" t="n">
        <x:v>3400</x:v>
      </x:c>
      <x:c r="K111" s="57" t="n">
        <x:v>3400</x:v>
      </x:c>
      <x:c r="L111" s="48" t="n">
        <x:v>1</x:v>
      </x:c>
      <x:c r="M111" s="48" t="n">
        <x:v>1</x:v>
      </x:c>
      <x:c r="N111" s="48" t="n">
        <x:v>0</x:v>
      </x:c>
      <x:c r="O111" s="48" t="str">
        <x:v>低</x:v>
      </x:c>
      <x:c r="P111" s="48" t="str">
        <x:v>全封闭式</x:v>
      </x:c>
      <x:c r="Q111" s="48" t="str">
        <x:v>住宅、商铺、教育、医疗</x:v>
      </x:c>
      <x:c r="R111" s="56" t="n">
        <x:v>4.6</x:v>
      </x:c>
      <x:c r="S111" s="56" t="n">
        <x:v>3.4</x:v>
      </x:c>
      <x:c r="T111" s="56" t="n">
        <x:v>0</x:v>
      </x:c>
      <x:c r="U111" s="56" t="n">
        <x:f>MAX(0,5-F111/5)</x:f>
        <x:v>1.6600000000000001</x:v>
      </x:c>
      <x:c r="V111" s="56" t="n">
        <x:f>MAX(0,MIN(5,(5000-I111)/520))</x:f>
        <x:v>3.076923076923077</x:v>
      </x:c>
      <x:c r="W111" s="56" t="n">
        <x:f>MIN(5,LOG(L111+1,2))</x:f>
        <x:v>1</x:v>
      </x:c>
      <x:c r="X111" s="56" t="n">
        <x:f>ROUND(U111*$AB$2+R111*$AB$3+V111*$AB$4+W111*$AB$5+S111*$AB$6,1)</x:f>
        <x:v>56.4</x:v>
      </x:c>
      <x:c r="Y111" s="48" t="str">
        <x:f>IF(AND(F111&lt;=8,I111&lt;=3800,R111&gt;=3.5,L111&gt;=6),"优先看房",IF(AND(F111&lt;=12,I111&lt;=4500,R111&gt;=3),"可进入备选","谨慎/低优先"))</x:f>
        <x:v>谨慎/低优先</x:v>
      </x:c>
      <x:c r="Z111" s="48"/>
      <x:c r="AA111" s="48"/>
      <x:c r="AB111" s="48"/>
    </x:row>
    <x:row r="112">
      <x:c r="A112" s="48" t="n">
        <x:v>108</x:v>
      </x:c>
      <x:c r="B112" s="48" t="str">
        <x:v>置地逸轩</x:v>
      </x:c>
      <x:c r="C112" s="48" t="str">
        <x:v>住宅小区倾向</x:v>
      </x:c>
      <x:c r="D112" s="48" t="str">
        <x:v>国贸</x:v>
      </x:c>
      <x:c r="E112" s="55" t="n">
        <x:v>551</x:v>
      </x:c>
      <x:c r="F112" s="56" t="n">
        <x:v>7.3</x:v>
      </x:c>
      <x:c r="G112" s="55" t="n">
        <x:v>356</x:v>
      </x:c>
      <x:c r="H112" s="57" t="n">
        <x:v>4800</x:v>
      </x:c>
      <x:c r="I112" s="57" t="n">
        <x:v>4800</x:v>
      </x:c>
      <x:c r="J112" s="57" t="n">
        <x:v>4800</x:v>
      </x:c>
      <x:c r="K112" s="57" t="n">
        <x:v>4800</x:v>
      </x:c>
      <x:c r="L112" s="48" t="n">
        <x:v>1</x:v>
      </x:c>
      <x:c r="M112" s="48" t="n">
        <x:v>1</x:v>
      </x:c>
      <x:c r="N112" s="48" t="n">
        <x:v>0</x:v>
      </x:c>
      <x:c r="O112" s="48" t="str">
        <x:v>低</x:v>
      </x:c>
      <x:c r="P112" s="48" t="str">
        <x:v>半开放式</x:v>
      </x:c>
      <x:c r="Q112" s="48" t="str">
        <x:v>住宅、商铺</x:v>
      </x:c>
      <x:c r="R112" s="56" t="n">
        <x:v>3.4</x:v>
      </x:c>
      <x:c r="S112" s="56" t="n">
        <x:v>4.2</x:v>
      </x:c>
      <x:c r="T112" s="56" t="n">
        <x:v>0</x:v>
      </x:c>
      <x:c r="U112" s="56" t="n">
        <x:f>MAX(0,5-F112/5)</x:f>
        <x:v>3.54</x:v>
      </x:c>
      <x:c r="V112" s="56" t="n">
        <x:f>MAX(0,MIN(5,(5000-I112)/520))</x:f>
        <x:v>0.38461538461538464</x:v>
      </x:c>
      <x:c r="W112" s="56" t="n">
        <x:f>MIN(5,LOG(L112+1,2))</x:f>
        <x:v>1</x:v>
      </x:c>
      <x:c r="X112" s="56" t="n">
        <x:f>ROUND(U112*$AB$2+R112*$AB$3+V112*$AB$4+W112*$AB$5+S112*$AB$6,1)</x:f>
        <x:v>50.9</x:v>
      </x:c>
      <x:c r="Y112" s="48" t="str">
        <x:f>IF(AND(F112&lt;=8,I112&lt;=3800,R112&gt;=3.5,L112&gt;=6),"优先看房",IF(AND(F112&lt;=12,I112&lt;=4500,R112&gt;=3),"可进入备选","谨慎/低优先"))</x:f>
        <x:v>谨慎/低优先</x:v>
      </x:c>
      <x:c r="Z112" s="48"/>
      <x:c r="AA112" s="48"/>
      <x:c r="AB112" s="48"/>
    </x:row>
    <x:row r="113">
      <x:c r="A113" s="48" t="n">
        <x:v>109</x:v>
      </x:c>
      <x:c r="B113" s="48" t="str">
        <x:v>盛夏公寓</x:v>
      </x:c>
      <x:c r="C113" s="48" t="str">
        <x:v>商住大厦倾向</x:v>
      </x:c>
      <x:c r="D113" s="48" t="str">
        <x:v>红岭</x:v>
      </x:c>
      <x:c r="E113" s="55" t="n">
        <x:v>1217</x:v>
      </x:c>
      <x:c r="F113" s="56" t="n">
        <x:v>16.2</x:v>
      </x:c>
      <x:c r="G113" s="55" t="n">
        <x:v>965</x:v>
      </x:c>
      <x:c r="H113" s="57" t="n">
        <x:v>3653</x:v>
      </x:c>
      <x:c r="I113" s="57" t="n">
        <x:v>3600</x:v>
      </x:c>
      <x:c r="J113" s="57" t="n">
        <x:v>3300</x:v>
      </x:c>
      <x:c r="K113" s="57" t="n">
        <x:v>4000</x:v>
      </x:c>
      <x:c r="L113" s="48" t="n">
        <x:v>21</x:v>
      </x:c>
      <x:c r="M113" s="48" t="n">
        <x:v>46</x:v>
      </x:c>
      <x:c r="N113" s="48" t="n">
        <x:v>25</x:v>
      </x:c>
      <x:c r="O113" s="48" t="str">
        <x:v>高</x:v>
      </x:c>
      <x:c r="P113" s="48" t="str">
        <x:v>全开放式</x:v>
      </x:c>
      <x:c r="Q113" s="48" t="str">
        <x:v>住宅</x:v>
      </x:c>
      <x:c r="R113" s="56" t="n">
        <x:v>3.2</x:v>
      </x:c>
      <x:c r="S113" s="56" t="n">
        <x:v>2.9</x:v>
      </x:c>
      <x:c r="T113" s="56" t="n">
        <x:v>0</x:v>
      </x:c>
      <x:c r="U113" s="56" t="n">
        <x:f>MAX(0,5-F113/5)</x:f>
        <x:v>1.7600000000000002</x:v>
      </x:c>
      <x:c r="V113" s="56" t="n">
        <x:f>MAX(0,MIN(5,(5000-I113)/520))</x:f>
        <x:v>2.6923076923076925</x:v>
      </x:c>
      <x:c r="W113" s="56" t="n">
        <x:f>MIN(5,LOG(L113+1,2))</x:f>
        <x:v>4.459431618637297</x:v>
      </x:c>
      <x:c r="X113" s="56" t="n">
        <x:f>ROUND(U113*$AB$2+R113*$AB$3+V113*$AB$4+W113*$AB$5+S113*$AB$6,1)</x:f>
        <x:v>58.1</x:v>
      </x:c>
      <x:c r="Y113" s="48" t="str">
        <x:f>IF(AND(F113&lt;=8,I113&lt;=3800,R113&gt;=3.5,L113&gt;=6),"优先看房",IF(AND(F113&lt;=12,I113&lt;=4500,R113&gt;=3),"可进入备选","谨慎/低优先"))</x:f>
        <x:v>谨慎/低优先</x:v>
      </x:c>
      <x:c r="Z113" s="48"/>
      <x:c r="AA113" s="48"/>
      <x:c r="AB113" s="48"/>
    </x:row>
    <x:row r="114">
      <x:c r="A114" s="48" t="n">
        <x:v>110</x:v>
      </x:c>
      <x:c r="B114" s="48" t="str">
        <x:v>骏庭名园</x:v>
      </x:c>
      <x:c r="C114" s="48" t="str">
        <x:v>住宅小区倾向</x:v>
      </x:c>
      <x:c r="D114" s="48" t="str">
        <x:v>大剧院</x:v>
      </x:c>
      <x:c r="E114" s="55" t="n">
        <x:v>892</x:v>
      </x:c>
      <x:c r="F114" s="56" t="n">
        <x:v>11.9</x:v>
      </x:c>
      <x:c r="G114" s="55" t="n">
        <x:v>556</x:v>
      </x:c>
      <x:c r="H114" s="57" t="n">
        <x:v>4400</x:v>
      </x:c>
      <x:c r="I114" s="57" t="n">
        <x:v>4400</x:v>
      </x:c>
      <x:c r="J114" s="57" t="n">
        <x:v>4200</x:v>
      </x:c>
      <x:c r="K114" s="57" t="n">
        <x:v>4600</x:v>
      </x:c>
      <x:c r="L114" s="48" t="n">
        <x:v>2</x:v>
      </x:c>
      <x:c r="M114" s="48" t="n">
        <x:v>2</x:v>
      </x:c>
      <x:c r="N114" s="48" t="n">
        <x:v>0</x:v>
      </x:c>
      <x:c r="O114" s="48" t="str">
        <x:v>低</x:v>
      </x:c>
      <x:c r="P114" s="48" t="str">
        <x:v>半开放式</x:v>
      </x:c>
      <x:c r="Q114" s="48" t="str">
        <x:v>住宅、写字楼、商铺</x:v>
      </x:c>
      <x:c r="R114" s="56" t="n">
        <x:v>3</x:v>
      </x:c>
      <x:c r="S114" s="56" t="n">
        <x:v>3.7</x:v>
      </x:c>
      <x:c r="T114" s="56" t="n">
        <x:v>0</x:v>
      </x:c>
      <x:c r="U114" s="56" t="n">
        <x:f>MAX(0,5-F114/5)</x:f>
        <x:v>2.62</x:v>
      </x:c>
      <x:c r="V114" s="56" t="n">
        <x:f>MAX(0,MIN(5,(5000-I114)/520))</x:f>
        <x:v>1.1538461538461537</x:v>
      </x:c>
      <x:c r="W114" s="56" t="n">
        <x:f>MIN(5,LOG(L114+1,2))</x:f>
        <x:v>1.584962500721156</x:v>
      </x:c>
      <x:c r="X114" s="56" t="n">
        <x:f>ROUND(U114*$AB$2+R114*$AB$3+V114*$AB$4+W114*$AB$5+S114*$AB$6,1)</x:f>
        <x:v>47.6</x:v>
      </x:c>
      <x:c r="Y114" s="48" t="str">
        <x:f>IF(AND(F114&lt;=8,I114&lt;=3800,R114&gt;=3.5,L114&gt;=6),"优先看房",IF(AND(F114&lt;=12,I114&lt;=4500,R114&gt;=3),"可进入备选","谨慎/低优先"))</x:f>
        <x:v>可进入备选</x:v>
      </x:c>
      <x:c r="Z114" s="48"/>
      <x:c r="AA114" s="48"/>
      <x:c r="AB114" s="48"/>
    </x:row>
    <x:row r="115">
      <x:c r="A115" s="48" t="n">
        <x:v>111</x:v>
      </x:c>
      <x:c r="B115" s="48" t="str">
        <x:v>怡正发大厦</x:v>
      </x:c>
      <x:c r="C115" s="48" t="str">
        <x:v>混合住宅/公寓</x:v>
      </x:c>
      <x:c r="D115" s="48" t="str">
        <x:v>红岭</x:v>
      </x:c>
      <x:c r="E115" s="55" t="n">
        <x:v>661</x:v>
      </x:c>
      <x:c r="F115" s="56" t="n">
        <x:v>8.8</x:v>
      </x:c>
      <x:c r="G115" s="55" t="n">
        <x:v>493</x:v>
      </x:c>
      <x:c r="H115" s="57" t="n">
        <x:v>4500</x:v>
      </x:c>
      <x:c r="I115" s="57" t="n">
        <x:v>4500</x:v>
      </x:c>
      <x:c r="J115" s="57" t="n">
        <x:v>4500</x:v>
      </x:c>
      <x:c r="K115" s="57" t="n">
        <x:v>4500</x:v>
      </x:c>
      <x:c r="L115" s="48" t="n">
        <x:v>2</x:v>
      </x:c>
      <x:c r="M115" s="48" t="n">
        <x:v>6</x:v>
      </x:c>
      <x:c r="N115" s="48" t="n">
        <x:v>4</x:v>
      </x:c>
      <x:c r="O115" s="48" t="str">
        <x:v>低</x:v>
      </x:c>
      <x:c r="P115" s="48" t="str">
        <x:v>半开放式</x:v>
      </x:c>
      <x:c r="Q115" s="48" t="str">
        <x:v>住宅</x:v>
      </x:c>
      <x:c r="R115" s="56" t="n">
        <x:v>3.8</x:v>
      </x:c>
      <x:c r="S115" s="56" t="n">
        <x:v>3.2</x:v>
      </x:c>
      <x:c r="T115" s="56" t="n">
        <x:v>0</x:v>
      </x:c>
      <x:c r="U115" s="56" t="n">
        <x:f>MAX(0,5-F115/5)</x:f>
        <x:v>3.2399999999999998</x:v>
      </x:c>
      <x:c r="V115" s="56" t="n">
        <x:f>MAX(0,MIN(5,(5000-I115)/520))</x:f>
        <x:v>0.9615384615384616</x:v>
      </x:c>
      <x:c r="W115" s="56" t="n">
        <x:f>MIN(5,LOG(L115+1,2))</x:f>
        <x:v>1.584962500721156</x:v>
      </x:c>
      <x:c r="X115" s="56" t="n">
        <x:f>ROUND(U115*$AB$2+R115*$AB$3+V115*$AB$4+W115*$AB$5+S115*$AB$6,1)</x:f>
        <x:v>54.4</x:v>
      </x:c>
      <x:c r="Y115" s="48" t="str">
        <x:f>IF(AND(F115&lt;=8,I115&lt;=3800,R115&gt;=3.5,L115&gt;=6),"优先看房",IF(AND(F115&lt;=12,I115&lt;=4500,R115&gt;=3),"可进入备选","谨慎/低优先"))</x:f>
        <x:v>可进入备选</x:v>
      </x:c>
      <x:c r="Z115" s="48"/>
      <x:c r="AA115" s="48"/>
      <x:c r="AB115" s="48"/>
    </x:row>
    <x:row r="116">
      <x:c r="A116" s="48" t="n">
        <x:v>112</x:v>
      </x:c>
      <x:c r="B116" s="48" t="str">
        <x:v>高嘉花园</x:v>
      </x:c>
      <x:c r="C116" s="48" t="str">
        <x:v>住宅小区倾向</x:v>
      </x:c>
      <x:c r="D116" s="48" t="str">
        <x:v>湖贝</x:v>
      </x:c>
      <x:c r="E116" s="55" t="n">
        <x:v>683</x:v>
      </x:c>
      <x:c r="F116" s="56" t="n">
        <x:v>9.1</x:v>
      </x:c>
      <x:c r="G116" s="55" t="n">
        <x:v>456</x:v>
      </x:c>
      <x:c r="H116" s="57" t="n">
        <x:v>4800</x:v>
      </x:c>
      <x:c r="I116" s="57" t="n">
        <x:v>4800</x:v>
      </x:c>
      <x:c r="J116" s="57" t="n">
        <x:v>4800</x:v>
      </x:c>
      <x:c r="K116" s="57" t="n">
        <x:v>4800</x:v>
      </x:c>
      <x:c r="L116" s="48" t="n">
        <x:v>1</x:v>
      </x:c>
      <x:c r="M116" s="48" t="n">
        <x:v>1</x:v>
      </x:c>
      <x:c r="N116" s="48" t="n">
        <x:v>0</x:v>
      </x:c>
      <x:c r="O116" s="48" t="str">
        <x:v>低</x:v>
      </x:c>
      <x:c r="P116" s="48" t="str">
        <x:v>半开放式</x:v>
      </x:c>
      <x:c r="Q116" s="48" t="str">
        <x:v>住宅、商铺</x:v>
      </x:c>
      <x:c r="R116" s="56" t="n">
        <x:v>3.4</x:v>
      </x:c>
      <x:c r="S116" s="56" t="n">
        <x:v>3.7</x:v>
      </x:c>
      <x:c r="T116" s="56" t="n">
        <x:v>0</x:v>
      </x:c>
      <x:c r="U116" s="56" t="n">
        <x:f>MAX(0,5-F116/5)</x:f>
        <x:v>3.18</x:v>
      </x:c>
      <x:c r="V116" s="56" t="n">
        <x:f>MAX(0,MIN(5,(5000-I116)/520))</x:f>
        <x:v>0.38461538461538464</x:v>
      </x:c>
      <x:c r="W116" s="56" t="n">
        <x:f>MIN(5,LOG(L116+1,2))</x:f>
        <x:v>1</x:v>
      </x:c>
      <x:c r="X116" s="56" t="n">
        <x:f>ROUND(U116*$AB$2+R116*$AB$3+V116*$AB$4+W116*$AB$5+S116*$AB$6,1)</x:f>
        <x:v>47.9</x:v>
      </x:c>
      <x:c r="Y116" s="48" t="str">
        <x:f>IF(AND(F116&lt;=8,I116&lt;=3800,R116&gt;=3.5,L116&gt;=6),"优先看房",IF(AND(F116&lt;=12,I116&lt;=4500,R116&gt;=3),"可进入备选","谨慎/低优先"))</x:f>
        <x:v>谨慎/低优先</x:v>
      </x:c>
      <x:c r="Z116" s="48"/>
      <x:c r="AA116" s="48"/>
      <x:c r="AB116" s="48"/>
    </x:row>
    <x:row r="117">
      <x:c r="A117" s="48" t="n">
        <x:v>113</x:v>
      </x:c>
      <x:c r="B117" s="48" t="str">
        <x:v>阳光新干线家园</x:v>
      </x:c>
      <x:c r="C117" s="48" t="str">
        <x:v>住宅小区倾向</x:v>
      </x:c>
      <x:c r="D117" s="48" t="str">
        <x:v>湖贝</x:v>
      </x:c>
      <x:c r="E117" s="55" t="n">
        <x:v>1117</x:v>
      </x:c>
      <x:c r="F117" s="56" t="n">
        <x:v>14.9</x:v>
      </x:c>
      <x:c r="G117" s="55" t="n">
        <x:v>760</x:v>
      </x:c>
      <x:c r="H117" s="57" t="n">
        <x:v>4380</x:v>
      </x:c>
      <x:c r="I117" s="57" t="n">
        <x:v>4500</x:v>
      </x:c>
      <x:c r="J117" s="57" t="n">
        <x:v>4200</x:v>
      </x:c>
      <x:c r="K117" s="57" t="n">
        <x:v>4600</x:v>
      </x:c>
      <x:c r="L117" s="48" t="n">
        <x:v>5</x:v>
      </x:c>
      <x:c r="M117" s="48" t="n">
        <x:v>5</x:v>
      </x:c>
      <x:c r="N117" s="48" t="n">
        <x:v>0</x:v>
      </x:c>
      <x:c r="O117" s="48" t="str">
        <x:v>低</x:v>
      </x:c>
      <x:c r="P117" s="48" t="str">
        <x:v>全封闭式</x:v>
      </x:c>
      <x:c r="Q117" s="48" t="str">
        <x:v>住宅、商铺</x:v>
      </x:c>
      <x:c r="R117" s="56" t="n">
        <x:v>4.6</x:v>
      </x:c>
      <x:c r="S117" s="56" t="n">
        <x:v>3.7</x:v>
      </x:c>
      <x:c r="T117" s="56" t="n">
        <x:v>0</x:v>
      </x:c>
      <x:c r="U117" s="56" t="n">
        <x:f>MAX(0,5-F117/5)</x:f>
        <x:v>2.02</x:v>
      </x:c>
      <x:c r="V117" s="56" t="n">
        <x:f>MAX(0,MIN(5,(5000-I117)/520))</x:f>
        <x:v>0.9615384615384616</x:v>
      </x:c>
      <x:c r="W117" s="56" t="n">
        <x:f>MIN(5,LOG(L117+1,2))</x:f>
        <x:v>2.584962500721156</x:v>
      </x:c>
      <x:c r="X117" s="56" t="n">
        <x:f>ROUND(U117*$AB$2+R117*$AB$3+V117*$AB$4+W117*$AB$5+S117*$AB$6,1)</x:f>
        <x:v>53.4</x:v>
      </x:c>
      <x:c r="Y117" s="48" t="str">
        <x:f>IF(AND(F117&lt;=8,I117&lt;=3800,R117&gt;=3.5,L117&gt;=6),"优先看房",IF(AND(F117&lt;=12,I117&lt;=4500,R117&gt;=3),"可进入备选","谨慎/低优先"))</x:f>
        <x:v>谨慎/低优先</x:v>
      </x:c>
      <x:c r="Z117" s="48"/>
      <x:c r="AA117" s="48"/>
      <x:c r="AB117" s="48"/>
    </x:row>
    <x:row r="118">
      <x:c r="A118" s="48" t="n">
        <x:v>114</x:v>
      </x:c>
      <x:c r="B118" s="48" t="str">
        <x:v>城市天地广场</x:v>
      </x:c>
      <x:c r="C118" s="48" t="str">
        <x:v>混合住宅/公寓</x:v>
      </x:c>
      <x:c r="D118" s="48" t="str">
        <x:v>国贸</x:v>
      </x:c>
      <x:c r="E118" s="55" t="n">
        <x:v>723</x:v>
      </x:c>
      <x:c r="F118" s="56" t="n">
        <x:v>9.6</x:v>
      </x:c>
      <x:c r="G118" s="55" t="n">
        <x:v>627</x:v>
      </x:c>
      <x:c r="H118" s="57" t="n">
        <x:v>4883</x:v>
      </x:c>
      <x:c r="I118" s="57" t="n">
        <x:v>4900</x:v>
      </x:c>
      <x:c r="J118" s="57" t="n">
        <x:v>4800</x:v>
      </x:c>
      <x:c r="K118" s="57" t="n">
        <x:v>5000</x:v>
      </x:c>
      <x:c r="L118" s="48" t="n">
        <x:v>6</x:v>
      </x:c>
      <x:c r="M118" s="48" t="n">
        <x:v>10</x:v>
      </x:c>
      <x:c r="N118" s="48" t="n">
        <x:v>4</x:v>
      </x:c>
      <x:c r="O118" s="48" t="str">
        <x:v>中</x:v>
      </x:c>
      <x:c r="P118" s="48" t="str">
        <x:v>半开放式</x:v>
      </x:c>
      <x:c r="Q118" s="48" t="str">
        <x:v>住宅、写字楼、商铺</x:v>
      </x:c>
      <x:c r="R118" s="56" t="n">
        <x:v>3</x:v>
      </x:c>
      <x:c r="S118" s="56" t="n">
        <x:v>4</x:v>
      </x:c>
      <x:c r="T118" s="56" t="n">
        <x:v>0</x:v>
      </x:c>
      <x:c r="U118" s="56" t="n">
        <x:f>MAX(0,5-F118/5)</x:f>
        <x:v>3.08</x:v>
      </x:c>
      <x:c r="V118" s="56" t="n">
        <x:f>MAX(0,MIN(5,(5000-I118)/520))</x:f>
        <x:v>0.19230769230769232</x:v>
      </x:c>
      <x:c r="W118" s="56" t="n">
        <x:f>MIN(5,LOG(L118+1,2))</x:f>
        <x:v>2.807354922057604</x:v>
      </x:c>
      <x:c r="X118" s="56" t="n">
        <x:f>ROUND(U118*$AB$2+R118*$AB$3+V118*$AB$4+W118*$AB$5+S118*$AB$6,1)</x:f>
        <x:v>49.9</x:v>
      </x:c>
      <x:c r="Y118" s="48" t="str">
        <x:f>IF(AND(F118&lt;=8,I118&lt;=3800,R118&gt;=3.5,L118&gt;=6),"优先看房",IF(AND(F118&lt;=12,I118&lt;=4500,R118&gt;=3),"可进入备选","谨慎/低优先"))</x:f>
        <x:v>谨慎/低优先</x:v>
      </x:c>
      <x:c r="Z118" s="48"/>
      <x:c r="AA118" s="48"/>
      <x:c r="AB118" s="48"/>
    </x:row>
    <x:row r="119">
      <x:c r="A119" s="48" t="n">
        <x:v>115</x:v>
      </x:c>
      <x:c r="B119" s="48" t="str">
        <x:v>港逸豪庭</x:v>
      </x:c>
      <x:c r="C119" s="48" t="str">
        <x:v>住宅小区倾向</x:v>
      </x:c>
      <x:c r="D119" s="48" t="str">
        <x:v>罗湖</x:v>
      </x:c>
      <x:c r="E119" s="55" t="n">
        <x:v>1013</x:v>
      </x:c>
      <x:c r="F119" s="56" t="n">
        <x:v>13.5</x:v>
      </x:c>
      <x:c r="G119" s="55" t="n">
        <x:v>662</x:v>
      </x:c>
      <x:c r="H119" s="57" t="n">
        <x:v>4500</x:v>
      </x:c>
      <x:c r="I119" s="57" t="n">
        <x:v>4500</x:v>
      </x:c>
      <x:c r="J119" s="57" t="n">
        <x:v>4500</x:v>
      </x:c>
      <x:c r="K119" s="57" t="n">
        <x:v>4500</x:v>
      </x:c>
      <x:c r="L119" s="48" t="n">
        <x:v>1</x:v>
      </x:c>
      <x:c r="M119" s="48" t="n">
        <x:v>1</x:v>
      </x:c>
      <x:c r="N119" s="48" t="n">
        <x:v>0</x:v>
      </x:c>
      <x:c r="O119" s="48" t="str">
        <x:v>低</x:v>
      </x:c>
      <x:c r="P119" s="48" t="str">
        <x:v>半开放式</x:v>
      </x:c>
      <x:c r="Q119" s="48" t="str">
        <x:v>住宅、商铺</x:v>
      </x:c>
      <x:c r="R119" s="56" t="n">
        <x:v>3.4</x:v>
      </x:c>
      <x:c r="S119" s="56" t="n">
        <x:v>3.4</x:v>
      </x:c>
      <x:c r="T119" s="56" t="n">
        <x:v>0</x:v>
      </x:c>
      <x:c r="U119" s="56" t="n">
        <x:f>MAX(0,5-F119/5)</x:f>
        <x:v>2.3</x:v>
      </x:c>
      <x:c r="V119" s="56" t="n">
        <x:f>MAX(0,MIN(5,(5000-I119)/520))</x:f>
        <x:v>0.9615384615384616</x:v>
      </x:c>
      <x:c r="W119" s="56" t="n">
        <x:f>MIN(5,LOG(L119+1,2))</x:f>
        <x:v>1</x:v>
      </x:c>
      <x:c r="X119" s="56" t="n">
        <x:f>ROUND(U119*$AB$2+R119*$AB$3+V119*$AB$4+W119*$AB$5+S119*$AB$6,1)</x:f>
        <x:v>44.3</x:v>
      </x:c>
      <x:c r="Y119" s="48" t="str">
        <x:f>IF(AND(F119&lt;=8,I119&lt;=3800,R119&gt;=3.5,L119&gt;=6),"优先看房",IF(AND(F119&lt;=12,I119&lt;=4500,R119&gt;=3),"可进入备选","谨慎/低优先"))</x:f>
        <x:v>谨慎/低优先</x:v>
      </x:c>
      <x:c r="Z119" s="48"/>
      <x:c r="AA119" s="48"/>
      <x:c r="AB119" s="48"/>
    </x:row>
    <x:row r="120">
      <x:c r="A120" s="48" t="n">
        <x:v>116</x:v>
      </x:c>
      <x:c r="B120" s="48" t="str">
        <x:v>新世界大厦</x:v>
      </x:c>
      <x:c r="C120" s="48" t="str">
        <x:v>商住大厦倾向</x:v>
      </x:c>
      <x:c r="D120" s="48" t="str">
        <x:v>晒布</x:v>
      </x:c>
      <x:c r="E120" s="55" t="n">
        <x:v>370</x:v>
      </x:c>
      <x:c r="F120" s="56" t="n">
        <x:v>4.9</x:v>
      </x:c>
      <x:c r="G120" s="55" t="n">
        <x:v>140</x:v>
      </x:c>
      <x:c r="H120" s="57" t="n">
        <x:v>4800</x:v>
      </x:c>
      <x:c r="I120" s="57" t="n">
        <x:v>4800</x:v>
      </x:c>
      <x:c r="J120" s="57" t="n">
        <x:v>4800</x:v>
      </x:c>
      <x:c r="K120" s="57" t="n">
        <x:v>4800</x:v>
      </x:c>
      <x:c r="L120" s="48" t="n">
        <x:v>1</x:v>
      </x:c>
      <x:c r="M120" s="48" t="n">
        <x:v>1</x:v>
      </x:c>
      <x:c r="N120" s="48" t="n">
        <x:v>0</x:v>
      </x:c>
      <x:c r="O120" s="48" t="str">
        <x:v>低</x:v>
      </x:c>
      <x:c r="P120" s="48" t="str">
        <x:v>半开放式</x:v>
      </x:c>
      <x:c r="Q120" s="48" t="str">
        <x:v>住宅、商铺</x:v>
      </x:c>
      <x:c r="R120" s="56" t="n">
        <x:v>3.4</x:v>
      </x:c>
      <x:c r="S120" s="56" t="n">
        <x:v>3.3</x:v>
      </x:c>
      <x:c r="T120" s="56" t="n">
        <x:v>0</x:v>
      </x:c>
      <x:c r="U120" s="56" t="n">
        <x:f>MAX(0,5-F120/5)</x:f>
        <x:v>4.02</x:v>
      </x:c>
      <x:c r="V120" s="56" t="n">
        <x:f>MAX(0,MIN(5,(5000-I120)/520))</x:f>
        <x:v>0.38461538461538464</x:v>
      </x:c>
      <x:c r="W120" s="56" t="n">
        <x:f>MIN(5,LOG(L120+1,2))</x:f>
        <x:v>1</x:v>
      </x:c>
      <x:c r="X120" s="56" t="n">
        <x:f>ROUND(U120*$AB$2+R120*$AB$3+V120*$AB$4+W120*$AB$5+S120*$AB$6,1)</x:f>
        <x:v>53.4</x:v>
      </x:c>
      <x:c r="Y120" s="48" t="str">
        <x:f>IF(AND(F120&lt;=8,I120&lt;=3800,R120&gt;=3.5,L120&gt;=6),"优先看房",IF(AND(F120&lt;=12,I120&lt;=4500,R120&gt;=3),"可进入备选","谨慎/低优先"))</x:f>
        <x:v>谨慎/低优先</x:v>
      </x:c>
      <x:c r="Z120" s="48"/>
      <x:c r="AA120" s="48"/>
      <x:c r="AB120" s="48"/>
    </x:row>
  </x:sheetData>
  <x:mergeCells>
    <x:mergeCell ref="A1:Y1"/>
    <x:mergeCell ref="A2:Y2"/>
  </x:mergeCells>
  <x:conditionalFormatting sqref="X5:X120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conditionalFormatting sqref="Y5:Y120">
    <x:cfRule type="containsText" dxfId="0" priority="2" operator="containsText" text="优先"/>
  </x:conditionalFormatting>
  <x:pageMargins left="0.7" right="0.7" top="0.75" bottom="0.75" header="0.3" footer="0.3"/>
  <x:tableParts count="1">
    <x:tablePart xmlns:r="http://schemas.openxmlformats.org/officeDocument/2006/relationships" r:id="R8eb2c3f234f94a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9" hidden="0" customWidth="1"/>
    <x:col min="7" max="7" width="10" hidden="0" customWidth="1"/>
    <x:col min="8" max="8" width="10" hidden="0" customWidth="1"/>
    <x:col min="9" max="9" width="9" hidden="0" customWidth="1"/>
    <x:col min="10" max="10" width="9" hidden="0" customWidth="1"/>
    <x:col min="11" max="11" width="14" hidden="0" customWidth="1"/>
    <x:col min="12" max="12" width="8" hidden="0" customWidth="1"/>
    <x:col min="13" max="13" width="18" hidden="0" customWidth="1"/>
    <x:col min="14" max="14" width="25" hidden="0" customWidth="1"/>
    <x:col min="15" max="15" width="9" hidden="0" customWidth="1"/>
    <x:col min="16" max="16" width="16" hidden="0" customWidth="1"/>
    <x:col min="17" max="17" width="48" hidden="0" customWidth="1"/>
    <x:col min="18" max="18" width="12" hidden="0" customWidth="1"/>
  </x:cols>
  <x:sheetData>
    <x:row r="1" ht="30" customHeight="1">
      <x:c r="A1" s="60" t="str">
        <x:v>乐有家原始房源与清洗结果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</x:row>
    <x:row r="2" ht="32" customHeight="1">
      <x:c r="A2" s="51" t="str">
        <x:v>每行保留原链接。有效=用于小区稳健统计；异常行仍保留，方便人工复核是否合租、引流或重复挂牌。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</x:row>
    <x:row r="4">
      <x:c r="A4" s="54" t="str">
        <x:v>小区</x:v>
      </x:c>
      <x:c r="B4" s="54" t="str">
        <x:v>挂牌名</x:v>
      </x:c>
      <x:c r="C4" s="54" t="str">
        <x:v>地铁站</x:v>
      </x:c>
      <x:c r="D4" s="54" t="str">
        <x:v>步行参考分钟</x:v>
      </x:c>
      <x:c r="E4" s="54" t="str">
        <x:v>租金</x:v>
      </x:c>
      <x:c r="F4" s="54" t="str">
        <x:v>面积㎡</x:v>
      </x:c>
      <x:c r="G4" s="54" t="str">
        <x:v>元/㎡</x:v>
      </x:c>
      <x:c r="H4" s="54" t="str">
        <x:v>户型</x:v>
      </x:c>
      <x:c r="I4" s="54" t="str">
        <x:v>朝向</x:v>
      </x:c>
      <x:c r="J4" s="54" t="str">
        <x:v>装修</x:v>
      </x:c>
      <x:c r="K4" s="54" t="str">
        <x:v>物业类型</x:v>
      </x:c>
      <x:c r="L4" s="54" t="str">
        <x:v>有效</x:v>
      </x:c>
      <x:c r="M4" s="54" t="str">
        <x:v>清洗原因</x:v>
      </x:c>
      <x:c r="N4" s="54" t="str">
        <x:v>疑似重复签名</x:v>
      </x:c>
      <x:c r="O4" s="54" t="str">
        <x:v>图片数</x:v>
      </x:c>
      <x:c r="P4" s="54" t="str">
        <x:v>有图判定</x:v>
      </x:c>
      <x:c r="Q4" s="54" t="str">
        <x:v>房源链接</x:v>
      </x:c>
      <x:c r="R4" s="54" t="str">
        <x:v>抓取批次</x:v>
      </x:c>
    </x:row>
    <x:row r="5">
      <x:c r="A5" s="48" t="str">
        <x:v>名仕阁</x:v>
      </x:c>
      <x:c r="B5" s="48" t="str">
        <x:v>名仕阁</x:v>
      </x:c>
      <x:c r="C5" s="48" t="str">
        <x:v>大剧院</x:v>
      </x:c>
      <x:c r="D5" s="56" t="n">
        <x:v>1.8</x:v>
      </x:c>
      <x:c r="E5" s="61" t="n">
        <x:v>3800</x:v>
      </x:c>
      <x:c r="F5" s="61" t="n">
        <x:v>40</x:v>
      </x:c>
      <x:c r="G5" s="61" t="n">
        <x:v>95</x:v>
      </x:c>
      <x:c r="H5" s="48" t="str">
        <x:v>1室0厅1</x:v>
      </x:c>
      <x:c r="I5" s="48" t="str">
        <x:v>南</x:v>
      </x:c>
      <x:c r="J5" s="48" t="str">
        <x:v>精装</x:v>
      </x:c>
      <x:c r="K5" s="48" t="str">
        <x:v>普通住宅</x:v>
      </x:c>
      <x:c r="L5" s="48" t="str">
        <x:v>是</x:v>
      </x:c>
      <x:c r="M5" s="48" t="str">
        <x:v>保留</x:v>
      </x:c>
      <x:c r="N5" s="48" t="str">
        <x:v>名仕阁|1室0厅1|40|3800|南</x:v>
      </x:c>
      <x:c r="O5" s="48"/>
      <x:c r="P5" s="48" t="str">
        <x:v>未知（未逐条补齐）</x:v>
      </x:c>
      <x:c r="Q5" s="48" t="str">
        <x:v>https://shenzhen.leyoujia.com/zf/detail/FBECnGLpLbjqQNqtKJUzM5.html</x:v>
      </x:c>
      <x:c r="R5" s="48" t="str">
        <x:v>2026-08-13</x:v>
      </x:c>
    </x:row>
    <x:row r="6">
      <x:c r="A6" s="48" t="str">
        <x:v>名仕阁</x:v>
      </x:c>
      <x:c r="B6" s="48" t="str">
        <x:v>名仕阁</x:v>
      </x:c>
      <x:c r="C6" s="48" t="str">
        <x:v>大剧院</x:v>
      </x:c>
      <x:c r="D6" s="56" t="n">
        <x:v>1.8</x:v>
      </x:c>
      <x:c r="E6" s="61" t="n">
        <x:v>4200</x:v>
      </x:c>
      <x:c r="F6" s="61" t="n">
        <x:v>40</x:v>
      </x:c>
      <x:c r="G6" s="61" t="n">
        <x:v>105</x:v>
      </x:c>
      <x:c r="H6" s="48" t="str">
        <x:v>1室0厅1</x:v>
      </x:c>
      <x:c r="I6" s="48" t="str">
        <x:v>南</x:v>
      </x:c>
      <x:c r="J6" s="48" t="str">
        <x:v>精装</x:v>
      </x:c>
      <x:c r="K6" s="48" t="str">
        <x:v>普通住宅</x:v>
      </x:c>
      <x:c r="L6" s="48" t="str">
        <x:v>是</x:v>
      </x:c>
      <x:c r="M6" s="48" t="str">
        <x:v>保留</x:v>
      </x:c>
      <x:c r="N6" s="48" t="str">
        <x:v>名仕阁|1室0厅1|40|4200|南</x:v>
      </x:c>
      <x:c r="O6" s="48"/>
      <x:c r="P6" s="48" t="str">
        <x:v>未知（未逐条补齐）</x:v>
      </x:c>
      <x:c r="Q6" s="48" t="str">
        <x:v>https://shenzhen.leyoujia.com/zf/detail/MEtofpjoAZKDRnCHhnpdej.html</x:v>
      </x:c>
      <x:c r="R6" s="48" t="str">
        <x:v>2026-08-13</x:v>
      </x:c>
    </x:row>
    <x:row r="7">
      <x:c r="A7" s="48" t="str">
        <x:v>名仕阁</x:v>
      </x:c>
      <x:c r="B7" s="48" t="str">
        <x:v>名仕阁</x:v>
      </x:c>
      <x:c r="C7" s="48" t="str">
        <x:v>大剧院</x:v>
      </x:c>
      <x:c r="D7" s="56" t="n">
        <x:v>1.8</x:v>
      </x:c>
      <x:c r="E7" s="61" t="n">
        <x:v>4800</x:v>
      </x:c>
      <x:c r="F7" s="61" t="n">
        <x:v>53.64</x:v>
      </x:c>
      <x:c r="G7" s="61" t="n">
        <x:v>89.5</x:v>
      </x:c>
      <x:c r="H7" s="48" t="str">
        <x:v>1室0厅1</x:v>
      </x:c>
      <x:c r="I7" s="48" t="str">
        <x:v>西</x:v>
      </x:c>
      <x:c r="J7" s="48" t="str">
        <x:v>精装</x:v>
      </x:c>
      <x:c r="K7" s="48" t="str">
        <x:v>普通住宅</x:v>
      </x:c>
      <x:c r="L7" s="48" t="str">
        <x:v>是</x:v>
      </x:c>
      <x:c r="M7" s="48" t="str">
        <x:v>保留</x:v>
      </x:c>
      <x:c r="N7" s="48" t="str">
        <x:v>名仕阁|1室0厅1|54|4800|西</x:v>
      </x:c>
      <x:c r="O7" s="48"/>
      <x:c r="P7" s="48" t="str">
        <x:v>未知（未逐条补齐）</x:v>
      </x:c>
      <x:c r="Q7" s="48" t="str">
        <x:v>https://shenzhen.leyoujia.com/zf/detail/TAKrm5pUr1ubmt9jFhQB15.html</x:v>
      </x:c>
      <x:c r="R7" s="48" t="str">
        <x:v>2026-08-13</x:v>
      </x:c>
    </x:row>
    <x:row r="8">
      <x:c r="A8" s="48" t="str">
        <x:v>名仕阁</x:v>
      </x:c>
      <x:c r="B8" s="48" t="str">
        <x:v>名仕阁</x:v>
      </x:c>
      <x:c r="C8" s="48" t="str">
        <x:v>大剧院</x:v>
      </x:c>
      <x:c r="D8" s="56" t="n">
        <x:v>1.8</x:v>
      </x:c>
      <x:c r="E8" s="61" t="n">
        <x:v>5000</x:v>
      </x:c>
      <x:c r="F8" s="61" t="n">
        <x:v>53.64</x:v>
      </x:c>
      <x:c r="G8" s="61" t="n">
        <x:v>93.2</x:v>
      </x:c>
      <x:c r="H8" s="48" t="str">
        <x:v>1室1厅1</x:v>
      </x:c>
      <x:c r="I8" s="48" t="str">
        <x:v>北</x:v>
      </x:c>
      <x:c r="J8" s="48" t="str">
        <x:v>精装</x:v>
      </x:c>
      <x:c r="K8" s="48" t="str">
        <x:v>普通住宅</x:v>
      </x:c>
      <x:c r="L8" s="48" t="str">
        <x:v>是</x:v>
      </x:c>
      <x:c r="M8" s="48" t="str">
        <x:v>保留</x:v>
      </x:c>
      <x:c r="N8" s="48" t="str">
        <x:v>名仕阁|1室1厅1|54|5000|北</x:v>
      </x:c>
      <x:c r="O8" s="48"/>
      <x:c r="P8" s="48" t="str">
        <x:v>未知（未逐条补齐）</x:v>
      </x:c>
      <x:c r="Q8" s="48" t="str">
        <x:v>https://shenzhen.leyoujia.com/zf/detail/L1WzsmsHnXVWJAGvRY5Lpv.html</x:v>
      </x:c>
      <x:c r="R8" s="48" t="str">
        <x:v>2026-08-13</x:v>
      </x:c>
    </x:row>
    <x:row r="9">
      <x:c r="A9" s="48" t="str">
        <x:v>名仕阁</x:v>
      </x:c>
      <x:c r="B9" s="48" t="str">
        <x:v>名仕阁</x:v>
      </x:c>
      <x:c r="C9" s="48" t="str">
        <x:v>大剧院</x:v>
      </x:c>
      <x:c r="D9" s="56" t="n">
        <x:v>1.8</x:v>
      </x:c>
      <x:c r="E9" s="61" t="n">
        <x:v>5000</x:v>
      </x:c>
      <x:c r="F9" s="61" t="n">
        <x:v>45.62</x:v>
      </x:c>
      <x:c r="G9" s="61" t="n">
        <x:v>109.6</x:v>
      </x:c>
      <x:c r="H9" s="48" t="str">
        <x:v>1室0厅1</x:v>
      </x:c>
      <x:c r="I9" s="48" t="str">
        <x:v>南</x:v>
      </x:c>
      <x:c r="J9" s="48" t="str">
        <x:v>精装</x:v>
      </x:c>
      <x:c r="K9" s="48" t="str">
        <x:v>普通住宅</x:v>
      </x:c>
      <x:c r="L9" s="48" t="str">
        <x:v>是</x:v>
      </x:c>
      <x:c r="M9" s="48" t="str">
        <x:v>保留</x:v>
      </x:c>
      <x:c r="N9" s="48" t="str">
        <x:v>名仕阁|1室0厅1|46|5000|南</x:v>
      </x:c>
      <x:c r="O9" s="48"/>
      <x:c r="P9" s="48" t="str">
        <x:v>未知（未逐条补齐）</x:v>
      </x:c>
      <x:c r="Q9" s="48" t="str">
        <x:v>https://shenzhen.leyoujia.com/zf/detail/SnEJEaLVULCpSRGmFEGoo4.html</x:v>
      </x:c>
      <x:c r="R9" s="48" t="str">
        <x:v>2026-08-13</x:v>
      </x:c>
    </x:row>
    <x:row r="10">
      <x:c r="A10" s="48" t="str">
        <x:v>京基100大厦</x:v>
      </x:c>
      <x:c r="B10" s="48" t="str">
        <x:v>京基一百大厦</x:v>
      </x:c>
      <x:c r="C10" s="48" t="str">
        <x:v>大剧院</x:v>
      </x:c>
      <x:c r="D10" s="56" t="n">
        <x:v>3.9</x:v>
      </x:c>
      <x:c r="E10" s="61" t="n">
        <x:v>4300</x:v>
      </x:c>
      <x:c r="F10" s="61" t="n">
        <x:v>31.16</x:v>
      </x:c>
      <x:c r="G10" s="61" t="n">
        <x:v>138</x:v>
      </x:c>
      <x:c r="H10" s="48" t="str">
        <x:v>1室0厅1</x:v>
      </x:c>
      <x:c r="I10" s="48" t="str">
        <x:v>南</x:v>
      </x:c>
      <x:c r="J10" s="48" t="str">
        <x:v>精装</x:v>
      </x:c>
      <x:c r="K10" s="48" t="str">
        <x:v>普通住宅</x:v>
      </x:c>
      <x:c r="L10" s="48" t="str">
        <x:v>否</x:v>
      </x:c>
      <x:c r="M10" s="48" t="str">
        <x:v>异常低价待核</x:v>
      </x:c>
      <x:c r="N10" s="48" t="str">
        <x:v>京基一百大厦|1室0厅1|31|4300|南</x:v>
      </x:c>
      <x:c r="O10" s="48"/>
      <x:c r="P10" s="48" t="str">
        <x:v>未知（未逐条补齐）</x:v>
      </x:c>
      <x:c r="Q10" s="48" t="str">
        <x:v>https://shenzhen.leyoujia.com/zf/detail/XPvVN6Do8dmWHmw7un4mgM.html</x:v>
      </x:c>
      <x:c r="R10" s="48" t="str">
        <x:v>2026-08-13</x:v>
      </x:c>
    </x:row>
    <x:row r="11">
      <x:c r="A11" s="48" t="str">
        <x:v>京基100大厦</x:v>
      </x:c>
      <x:c r="B11" s="48" t="str">
        <x:v>京基一百大厦</x:v>
      </x:c>
      <x:c r="C11" s="48" t="str">
        <x:v>大剧院</x:v>
      </x:c>
      <x:c r="D11" s="56" t="n">
        <x:v>3.9</x:v>
      </x:c>
      <x:c r="E11" s="61" t="n">
        <x:v>4800</x:v>
      </x:c>
      <x:c r="F11" s="61" t="n">
        <x:v>32.12</x:v>
      </x:c>
      <x:c r="G11" s="61" t="n">
        <x:v>149.4</x:v>
      </x:c>
      <x:c r="H11" s="48" t="str">
        <x:v>1室0厅1</x:v>
      </x:c>
      <x:c r="I11" s="48" t="str">
        <x:v>西</x:v>
      </x:c>
      <x:c r="J11" s="48" t="str">
        <x:v>精装</x:v>
      </x:c>
      <x:c r="K11" s="48" t="str">
        <x:v>普通住宅</x:v>
      </x:c>
      <x:c r="L11" s="48" t="str">
        <x:v>是</x:v>
      </x:c>
      <x:c r="M11" s="48" t="str">
        <x:v>保留</x:v>
      </x:c>
      <x:c r="N11" s="48" t="str">
        <x:v>京基一百大厦|1室0厅1|32|4800|西</x:v>
      </x:c>
      <x:c r="O11" s="48"/>
      <x:c r="P11" s="48" t="str">
        <x:v>未知（未逐条补齐）</x:v>
      </x:c>
      <x:c r="Q11" s="48" t="str">
        <x:v>https://shenzhen.leyoujia.com/zf/detail/LYqWFMhaJturzAjKQCqKCc.html</x:v>
      </x:c>
      <x:c r="R11" s="48" t="str">
        <x:v>2026-08-13</x:v>
      </x:c>
    </x:row>
    <x:row r="12">
      <x:c r="A12" s="48" t="str">
        <x:v>京基100大厦</x:v>
      </x:c>
      <x:c r="B12" s="48" t="str">
        <x:v>京基一百大厦</x:v>
      </x:c>
      <x:c r="C12" s="48" t="str">
        <x:v>大剧院</x:v>
      </x:c>
      <x:c r="D12" s="56" t="n">
        <x:v>3.9</x:v>
      </x:c>
      <x:c r="E12" s="61" t="n">
        <x:v>4800</x:v>
      </x:c>
      <x:c r="F12" s="61" t="n">
        <x:v>32.12</x:v>
      </x:c>
      <x:c r="G12" s="61" t="n">
        <x:v>149.4</x:v>
      </x:c>
      <x:c r="H12" s="48" t="str">
        <x:v>1室0厅1</x:v>
      </x:c>
      <x:c r="I12" s="48" t="str">
        <x:v>西</x:v>
      </x:c>
      <x:c r="J12" s="48" t="str">
        <x:v>精装</x:v>
      </x:c>
      <x:c r="K12" s="48" t="str">
        <x:v>普通住宅</x:v>
      </x:c>
      <x:c r="L12" s="48" t="str">
        <x:v>否</x:v>
      </x:c>
      <x:c r="M12" s="48" t="str">
        <x:v>疑似重复挂牌</x:v>
      </x:c>
      <x:c r="N12" s="48" t="str">
        <x:v>京基一百大厦|1室0厅1|32|4800|西</x:v>
      </x:c>
      <x:c r="O12" s="48"/>
      <x:c r="P12" s="48" t="str">
        <x:v>未知（未逐条补齐）</x:v>
      </x:c>
      <x:c r="Q12" s="48" t="str">
        <x:v>https://shenzhen.leyoujia.com/zf/detail/KNGCwryW41Ed4aBZyoiSwr.html</x:v>
      </x:c>
      <x:c r="R12" s="48" t="str">
        <x:v>2026-08-13</x:v>
      </x:c>
    </x:row>
    <x:row r="13">
      <x:c r="A13" s="48" t="str">
        <x:v>京基100大厦</x:v>
      </x:c>
      <x:c r="B13" s="48" t="str">
        <x:v>京基一百大厦</x:v>
      </x:c>
      <x:c r="C13" s="48" t="str">
        <x:v>大剧院</x:v>
      </x:c>
      <x:c r="D13" s="56" t="n">
        <x:v>3.9</x:v>
      </x:c>
      <x:c r="E13" s="61" t="n">
        <x:v>5000</x:v>
      </x:c>
      <x:c r="F13" s="61" t="n">
        <x:v>31.16</x:v>
      </x:c>
      <x:c r="G13" s="61" t="n">
        <x:v>160.5</x:v>
      </x:c>
      <x:c r="H13" s="48" t="str">
        <x:v>1室0厅1</x:v>
      </x:c>
      <x:c r="I13" s="48" t="str">
        <x:v>南</x:v>
      </x:c>
      <x:c r="J13" s="48" t="str">
        <x:v>精装</x:v>
      </x:c>
      <x:c r="K13" s="48" t="str">
        <x:v>普通住宅</x:v>
      </x:c>
      <x:c r="L13" s="48" t="str">
        <x:v>是</x:v>
      </x:c>
      <x:c r="M13" s="48" t="str">
        <x:v>保留</x:v>
      </x:c>
      <x:c r="N13" s="48" t="str">
        <x:v>京基一百大厦|1室0厅1|31|5000|南</x:v>
      </x:c>
      <x:c r="O13" s="48"/>
      <x:c r="P13" s="48" t="str">
        <x:v>未知（未逐条补齐）</x:v>
      </x:c>
      <x:c r="Q13" s="48" t="str">
        <x:v>https://shenzhen.leyoujia.com/zf/detail/D8fpD3myfiKmc9Xb6CiKqD.html</x:v>
      </x:c>
      <x:c r="R13" s="48" t="str">
        <x:v>2026-08-13</x:v>
      </x:c>
    </x:row>
    <x:row r="14">
      <x:c r="A14" s="48" t="str">
        <x:v>都市名园</x:v>
      </x:c>
      <x:c r="B14" s="48" t="str">
        <x:v>都市名园</x:v>
      </x:c>
      <x:c r="C14" s="48" t="str">
        <x:v>大剧院</x:v>
      </x:c>
      <x:c r="D14" s="56" t="n">
        <x:v>12.9</x:v>
      </x:c>
      <x:c r="E14" s="61" t="n">
        <x:v>2450</x:v>
      </x:c>
      <x:c r="F14" s="61" t="n">
        <x:v>20</x:v>
      </x:c>
      <x:c r="G14" s="61" t="n">
        <x:v>122.5</x:v>
      </x:c>
      <x:c r="H14" s="48" t="str">
        <x:v>1室0厅1</x:v>
      </x:c>
      <x:c r="I14" s="48" t="str">
        <x:v>西</x:v>
      </x:c>
      <x:c r="J14" s="48" t="str">
        <x:v>普装</x:v>
      </x:c>
      <x:c r="K14" s="48" t="str">
        <x:v>普通住宅</x:v>
      </x:c>
      <x:c r="L14" s="48" t="str">
        <x:v>是</x:v>
      </x:c>
      <x:c r="M14" s="48" t="str">
        <x:v>保留</x:v>
      </x:c>
      <x:c r="N14" s="48" t="str">
        <x:v>都市名园|1室0厅1|20|2450|西</x:v>
      </x:c>
      <x:c r="O14" s="48"/>
      <x:c r="P14" s="48" t="str">
        <x:v>未知（未逐条补齐）</x:v>
      </x:c>
      <x:c r="Q14" s="48" t="str">
        <x:v>https://shenzhen.leyoujia.com/zf/detail/8TCTDHPJvucqsoyMDBFLXi.html</x:v>
      </x:c>
      <x:c r="R14" s="48" t="str">
        <x:v>2026-08-13</x:v>
      </x:c>
    </x:row>
    <x:row r="15">
      <x:c r="A15" s="48" t="str">
        <x:v>都市名园</x:v>
      </x:c>
      <x:c r="B15" s="48" t="str">
        <x:v>都市名园</x:v>
      </x:c>
      <x:c r="C15" s="48" t="str">
        <x:v>大剧院</x:v>
      </x:c>
      <x:c r="D15" s="56" t="n">
        <x:v>12.9</x:v>
      </x:c>
      <x:c r="E15" s="61" t="n">
        <x:v>2450</x:v>
      </x:c>
      <x:c r="F15" s="61" t="n">
        <x:v>20</x:v>
      </x:c>
      <x:c r="G15" s="61" t="n">
        <x:v>122.5</x:v>
      </x:c>
      <x:c r="H15" s="48" t="str">
        <x:v>1室0厅1</x:v>
      </x:c>
      <x:c r="I15" s="48" t="str">
        <x:v>西</x:v>
      </x:c>
      <x:c r="J15" s="48" t="str">
        <x:v>待核</x:v>
      </x:c>
      <x:c r="K15" s="48" t="str">
        <x:v>住宅</x:v>
      </x:c>
      <x:c r="L15" s="48" t="str">
        <x:v>否</x:v>
      </x:c>
      <x:c r="M15" s="48" t="str">
        <x:v>疑似重复挂牌</x:v>
      </x:c>
      <x:c r="N15" s="48" t="str">
        <x:v>都市名园|1室0厅1|20|2450|西</x:v>
      </x:c>
      <x:c r="O15" s="48"/>
      <x:c r="P15" s="48" t="str">
        <x:v>未知（未逐条补齐）</x:v>
      </x:c>
      <x:c r="Q15" s="48" t="str">
        <x:v>https://shenzhen.leyoujia.com/zf/detail/XCpuQWA89pwWPiF9pEfFnD.html</x:v>
      </x:c>
      <x:c r="R15" s="48" t="str">
        <x:v>2026-08-13</x:v>
      </x:c>
    </x:row>
    <x:row r="16">
      <x:c r="A16" s="48" t="str">
        <x:v>都市名园</x:v>
      </x:c>
      <x:c r="B16" s="48" t="str">
        <x:v>都市名园</x:v>
      </x:c>
      <x:c r="C16" s="48" t="str">
        <x:v>大剧院</x:v>
      </x:c>
      <x:c r="D16" s="56" t="n">
        <x:v>12.9</x:v>
      </x:c>
      <x:c r="E16" s="61" t="n">
        <x:v>2450</x:v>
      </x:c>
      <x:c r="F16" s="61" t="n">
        <x:v>20</x:v>
      </x:c>
      <x:c r="G16" s="61" t="n">
        <x:v>122.5</x:v>
      </x:c>
      <x:c r="H16" s="48" t="str">
        <x:v>1室0厅1</x:v>
      </x:c>
      <x:c r="I16" s="48" t="str">
        <x:v>西</x:v>
      </x:c>
      <x:c r="J16" s="48" t="str">
        <x:v>待核</x:v>
      </x:c>
      <x:c r="K16" s="48" t="str">
        <x:v>住宅</x:v>
      </x:c>
      <x:c r="L16" s="48" t="str">
        <x:v>否</x:v>
      </x:c>
      <x:c r="M16" s="48" t="str">
        <x:v>疑似重复挂牌</x:v>
      </x:c>
      <x:c r="N16" s="48" t="str">
        <x:v>都市名园|1室0厅1|20|2450|西</x:v>
      </x:c>
      <x:c r="O16" s="48"/>
      <x:c r="P16" s="48" t="str">
        <x:v>未知（未逐条补齐）</x:v>
      </x:c>
      <x:c r="Q16" s="48" t="str">
        <x:v>https://shenzhen.leyoujia.com/zf/detail/UzEfdRGBDQB27fwqK3BnJ2.html</x:v>
      </x:c>
      <x:c r="R16" s="48" t="str">
        <x:v>2026-08-13</x:v>
      </x:c>
    </x:row>
    <x:row r="17">
      <x:c r="A17" s="48" t="str">
        <x:v>都市名园</x:v>
      </x:c>
      <x:c r="B17" s="48" t="str">
        <x:v>都市名园</x:v>
      </x:c>
      <x:c r="C17" s="48" t="str">
        <x:v>大剧院</x:v>
      </x:c>
      <x:c r="D17" s="56" t="n">
        <x:v>12.9</x:v>
      </x:c>
      <x:c r="E17" s="61" t="n">
        <x:v>2480</x:v>
      </x:c>
      <x:c r="F17" s="61" t="n">
        <x:v>30</x:v>
      </x:c>
      <x:c r="G17" s="61" t="n">
        <x:v>82.7</x:v>
      </x:c>
      <x:c r="H17" s="48" t="str">
        <x:v>1室0厅1</x:v>
      </x:c>
      <x:c r="I17" s="48" t="str">
        <x:v>西</x:v>
      </x:c>
      <x:c r="J17" s="48" t="str">
        <x:v>待核</x:v>
      </x:c>
      <x:c r="K17" s="48" t="str">
        <x:v>普通住宅</x:v>
      </x:c>
      <x:c r="L17" s="48" t="str">
        <x:v>是</x:v>
      </x:c>
      <x:c r="M17" s="48" t="str">
        <x:v>保留</x:v>
      </x:c>
      <x:c r="N17" s="48" t="str">
        <x:v>都市名园|1室0厅1|30|2480|西</x:v>
      </x:c>
      <x:c r="O17" s="48"/>
      <x:c r="P17" s="48" t="str">
        <x:v>未知（未逐条补齐）</x:v>
      </x:c>
      <x:c r="Q17" s="48" t="str">
        <x:v>https://shenzhen.leyoujia.com/zf/detail/3evrojXvRpuJPD9vuDBbBr.html</x:v>
      </x:c>
      <x:c r="R17" s="48" t="str">
        <x:v>2026-08-13</x:v>
      </x:c>
    </x:row>
    <x:row r="18">
      <x:c r="A18" s="48" t="str">
        <x:v>都市名园</x:v>
      </x:c>
      <x:c r="B18" s="48" t="str">
        <x:v>都市名园</x:v>
      </x:c>
      <x:c r="C18" s="48" t="str">
        <x:v>大剧院</x:v>
      </x:c>
      <x:c r="D18" s="56" t="n">
        <x:v>12.9</x:v>
      </x:c>
      <x:c r="E18" s="61" t="n">
        <x:v>2500</x:v>
      </x:c>
      <x:c r="F18" s="61" t="n">
        <x:v>35</x:v>
      </x:c>
      <x:c r="G18" s="61" t="n">
        <x:v>71.4</x:v>
      </x:c>
      <x:c r="H18" s="48" t="str">
        <x:v>1室0厅1</x:v>
      </x:c>
      <x:c r="I18" s="48" t="str">
        <x:v>东</x:v>
      </x:c>
      <x:c r="J18" s="48" t="str">
        <x:v>普装</x:v>
      </x:c>
      <x:c r="K18" s="48" t="str">
        <x:v>普通住宅</x:v>
      </x:c>
      <x:c r="L18" s="48" t="str">
        <x:v>是</x:v>
      </x:c>
      <x:c r="M18" s="48" t="str">
        <x:v>保留</x:v>
      </x:c>
      <x:c r="N18" s="48" t="str">
        <x:v>都市名园|1室0厅1|35|2500|东</x:v>
      </x:c>
      <x:c r="O18" s="48"/>
      <x:c r="P18" s="48" t="str">
        <x:v>未知（未逐条补齐）</x:v>
      </x:c>
      <x:c r="Q18" s="48" t="str">
        <x:v>https://shenzhen.leyoujia.com/zf/detail/B3V18NwxbhhMpx1RyFwhCj.html</x:v>
      </x:c>
      <x:c r="R18" s="48" t="str">
        <x:v>2026-08-13</x:v>
      </x:c>
    </x:row>
    <x:row r="19">
      <x:c r="A19" s="48" t="str">
        <x:v>都市名园</x:v>
      </x:c>
      <x:c r="B19" s="48" t="str">
        <x:v>都市名园</x:v>
      </x:c>
      <x:c r="C19" s="48" t="str">
        <x:v>大剧院</x:v>
      </x:c>
      <x:c r="D19" s="56" t="n">
        <x:v>12.9</x:v>
      </x:c>
      <x:c r="E19" s="61" t="n">
        <x:v>2750</x:v>
      </x:c>
      <x:c r="F19" s="61" t="n">
        <x:v>30</x:v>
      </x:c>
      <x:c r="G19" s="61" t="n">
        <x:v>91.7</x:v>
      </x:c>
      <x:c r="H19" s="48" t="str">
        <x:v>1室0厅1</x:v>
      </x:c>
      <x:c r="I19" s="48" t="str">
        <x:v>东</x:v>
      </x:c>
      <x:c r="J19" s="48" t="str">
        <x:v>普装</x:v>
      </x:c>
      <x:c r="K19" s="48" t="str">
        <x:v>普通住宅</x:v>
      </x:c>
      <x:c r="L19" s="48" t="str">
        <x:v>是</x:v>
      </x:c>
      <x:c r="M19" s="48" t="str">
        <x:v>保留</x:v>
      </x:c>
      <x:c r="N19" s="48" t="str">
        <x:v>都市名园|1室0厅1|30|2750|东</x:v>
      </x:c>
      <x:c r="O19" s="48"/>
      <x:c r="P19" s="48" t="str">
        <x:v>未知（未逐条补齐）</x:v>
      </x:c>
      <x:c r="Q19" s="48" t="str">
        <x:v>https://shenzhen.leyoujia.com/zf/detail/KAnwaFiTKXsmr19DgapgAE.html</x:v>
      </x:c>
      <x:c r="R19" s="48" t="str">
        <x:v>2026-08-13</x:v>
      </x:c>
    </x:row>
    <x:row r="20">
      <x:c r="A20" s="48" t="str">
        <x:v>都市名园</x:v>
      </x:c>
      <x:c r="B20" s="48" t="str">
        <x:v>都市名园</x:v>
      </x:c>
      <x:c r="C20" s="48" t="str">
        <x:v>大剧院</x:v>
      </x:c>
      <x:c r="D20" s="56" t="n">
        <x:v>12.9</x:v>
      </x:c>
      <x:c r="E20" s="61" t="n">
        <x:v>2850</x:v>
      </x:c>
      <x:c r="F20" s="61" t="n">
        <x:v>35</x:v>
      </x:c>
      <x:c r="G20" s="61" t="n">
        <x:v>81.4</x:v>
      </x:c>
      <x:c r="H20" s="48" t="str">
        <x:v>1室0厅1</x:v>
      </x:c>
      <x:c r="I20" s="48" t="str">
        <x:v>东</x:v>
      </x:c>
      <x:c r="J20" s="48" t="str">
        <x:v>普装</x:v>
      </x:c>
      <x:c r="K20" s="48" t="str">
        <x:v>普通住宅</x:v>
      </x:c>
      <x:c r="L20" s="48" t="str">
        <x:v>是</x:v>
      </x:c>
      <x:c r="M20" s="48" t="str">
        <x:v>保留</x:v>
      </x:c>
      <x:c r="N20" s="48" t="str">
        <x:v>都市名园|1室0厅1|35|2850|东</x:v>
      </x:c>
      <x:c r="O20" s="48"/>
      <x:c r="P20" s="48" t="str">
        <x:v>未知（未逐条补齐）</x:v>
      </x:c>
      <x:c r="Q20" s="48" t="str">
        <x:v>https://shenzhen.leyoujia.com/zf/detail/A8e8GseYhohFRxo1TRC3gw.html</x:v>
      </x:c>
      <x:c r="R20" s="48" t="str">
        <x:v>2026-08-13</x:v>
      </x:c>
    </x:row>
    <x:row r="21">
      <x:c r="A21" s="48" t="str">
        <x:v>都市名园</x:v>
      </x:c>
      <x:c r="B21" s="48" t="str">
        <x:v>都市名园</x:v>
      </x:c>
      <x:c r="C21" s="48" t="str">
        <x:v>大剧院</x:v>
      </x:c>
      <x:c r="D21" s="56" t="n">
        <x:v>12.9</x:v>
      </x:c>
      <x:c r="E21" s="61" t="n">
        <x:v>2850</x:v>
      </x:c>
      <x:c r="F21" s="61" t="n">
        <x:v>18</x:v>
      </x:c>
      <x:c r="G21" s="61" t="n">
        <x:v>158.3</x:v>
      </x:c>
      <x:c r="H21" s="48" t="str">
        <x:v>1室0厅1</x:v>
      </x:c>
      <x:c r="I21" s="48" t="str">
        <x:v>南</x:v>
      </x:c>
      <x:c r="J21" s="48" t="str">
        <x:v>待核</x:v>
      </x:c>
      <x:c r="K21" s="48" t="str">
        <x:v>住宅</x:v>
      </x:c>
      <x:c r="L21" s="48" t="str">
        <x:v>是</x:v>
      </x:c>
      <x:c r="M21" s="48" t="str">
        <x:v>保留</x:v>
      </x:c>
      <x:c r="N21" s="48" t="str">
        <x:v>都市名园|1室0厅1|18|2850|南</x:v>
      </x:c>
      <x:c r="O21" s="48"/>
      <x:c r="P21" s="48" t="str">
        <x:v>未知（未逐条补齐）</x:v>
      </x:c>
      <x:c r="Q21" s="48" t="str">
        <x:v>https://shenzhen.leyoujia.com/zf/detail/6VKZTSsKqkGjzU54cUGMen.html</x:v>
      </x:c>
      <x:c r="R21" s="48" t="str">
        <x:v>2026-08-13</x:v>
      </x:c>
    </x:row>
    <x:row r="22">
      <x:c r="A22" s="48" t="str">
        <x:v>都市名园</x:v>
      </x:c>
      <x:c r="B22" s="48" t="str">
        <x:v>都市名园</x:v>
      </x:c>
      <x:c r="C22" s="48" t="str">
        <x:v>大剧院</x:v>
      </x:c>
      <x:c r="D22" s="56" t="n">
        <x:v>12.9</x:v>
      </x:c>
      <x:c r="E22" s="61" t="n">
        <x:v>2850</x:v>
      </x:c>
      <x:c r="F22" s="61" t="n">
        <x:v>35</x:v>
      </x:c>
      <x:c r="G22" s="61" t="n">
        <x:v>81.4</x:v>
      </x:c>
      <x:c r="H22" s="48" t="str">
        <x:v>1室0厅1</x:v>
      </x:c>
      <x:c r="I22" s="48" t="str">
        <x:v>东</x:v>
      </x:c>
      <x:c r="J22" s="48" t="str">
        <x:v>精装</x:v>
      </x:c>
      <x:c r="K22" s="48" t="str">
        <x:v>普通住宅</x:v>
      </x:c>
      <x:c r="L22" s="48" t="str">
        <x:v>否</x:v>
      </x:c>
      <x:c r="M22" s="48" t="str">
        <x:v>疑似重复挂牌</x:v>
      </x:c>
      <x:c r="N22" s="48" t="str">
        <x:v>都市名园|1室0厅1|35|2850|东</x:v>
      </x:c>
      <x:c r="O22" s="48"/>
      <x:c r="P22" s="48" t="str">
        <x:v>未知（未逐条补齐）</x:v>
      </x:c>
      <x:c r="Q22" s="48" t="str">
        <x:v>https://shenzhen.leyoujia.com/zf/detail/U2mw4CkkyjcbzrZwpRCZPi.html</x:v>
      </x:c>
      <x:c r="R22" s="48" t="str">
        <x:v>2026-08-13</x:v>
      </x:c>
    </x:row>
    <x:row r="23">
      <x:c r="A23" s="48" t="str">
        <x:v>都市名园</x:v>
      </x:c>
      <x:c r="B23" s="48" t="str">
        <x:v>都市名园</x:v>
      </x:c>
      <x:c r="C23" s="48" t="str">
        <x:v>大剧院</x:v>
      </x:c>
      <x:c r="D23" s="56" t="n">
        <x:v>12.9</x:v>
      </x:c>
      <x:c r="E23" s="61" t="n">
        <x:v>2850</x:v>
      </x:c>
      <x:c r="F23" s="61" t="n">
        <x:v>20</x:v>
      </x:c>
      <x:c r="G23" s="61" t="n">
        <x:v>142.5</x:v>
      </x:c>
      <x:c r="H23" s="48" t="str">
        <x:v>1室0厅1</x:v>
      </x:c>
      <x:c r="I23" s="48" t="str">
        <x:v>西</x:v>
      </x:c>
      <x:c r="J23" s="48" t="str">
        <x:v>待核</x:v>
      </x:c>
      <x:c r="K23" s="48" t="str">
        <x:v>住宅</x:v>
      </x:c>
      <x:c r="L23" s="48" t="str">
        <x:v>是</x:v>
      </x:c>
      <x:c r="M23" s="48" t="str">
        <x:v>保留</x:v>
      </x:c>
      <x:c r="N23" s="48" t="str">
        <x:v>都市名园|1室0厅1|20|2850|西</x:v>
      </x:c>
      <x:c r="O23" s="48"/>
      <x:c r="P23" s="48" t="str">
        <x:v>未知（未逐条补齐）</x:v>
      </x:c>
      <x:c r="Q23" s="48" t="str">
        <x:v>https://shenzhen.leyoujia.com/zf/detail/NLATsicowoeJSfg9rCjj1R.html</x:v>
      </x:c>
      <x:c r="R23" s="48" t="str">
        <x:v>2026-08-13</x:v>
      </x:c>
    </x:row>
    <x:row r="24">
      <x:c r="A24" s="48" t="str">
        <x:v>都市名园</x:v>
      </x:c>
      <x:c r="B24" s="48" t="str">
        <x:v>都市名园</x:v>
      </x:c>
      <x:c r="C24" s="48" t="str">
        <x:v>大剧院</x:v>
      </x:c>
      <x:c r="D24" s="56" t="n">
        <x:v>12.9</x:v>
      </x:c>
      <x:c r="E24" s="61" t="n">
        <x:v>2850</x:v>
      </x:c>
      <x:c r="F24" s="61" t="n">
        <x:v>23</x:v>
      </x:c>
      <x:c r="G24" s="61" t="n">
        <x:v>123.9</x:v>
      </x:c>
      <x:c r="H24" s="48" t="str">
        <x:v>1室0厅1</x:v>
      </x:c>
      <x:c r="I24" s="48" t="str">
        <x:v>东</x:v>
      </x:c>
      <x:c r="J24" s="48" t="str">
        <x:v>精装</x:v>
      </x:c>
      <x:c r="K24" s="48" t="str">
        <x:v>普通住宅</x:v>
      </x:c>
      <x:c r="L24" s="48" t="str">
        <x:v>是</x:v>
      </x:c>
      <x:c r="M24" s="48" t="str">
        <x:v>保留</x:v>
      </x:c>
      <x:c r="N24" s="48" t="str">
        <x:v>都市名园|1室0厅1|23|2850|东</x:v>
      </x:c>
      <x:c r="O24" s="48"/>
      <x:c r="P24" s="48" t="str">
        <x:v>未知（未逐条补齐）</x:v>
      </x:c>
      <x:c r="Q24" s="48" t="str">
        <x:v>https://shenzhen.leyoujia.com/zf/detail/Tp9K9uVyhxAjXRz1wjW7bW.html</x:v>
      </x:c>
      <x:c r="R24" s="48" t="str">
        <x:v>2026-08-13</x:v>
      </x:c>
    </x:row>
    <x:row r="25">
      <x:c r="A25" s="48" t="str">
        <x:v>都市名园</x:v>
      </x:c>
      <x:c r="B25" s="48" t="str">
        <x:v>都市名园</x:v>
      </x:c>
      <x:c r="C25" s="48" t="str">
        <x:v>大剧院</x:v>
      </x:c>
      <x:c r="D25" s="56" t="n">
        <x:v>12.9</x:v>
      </x:c>
      <x:c r="E25" s="61" t="n">
        <x:v>2850</x:v>
      </x:c>
      <x:c r="F25" s="61" t="n">
        <x:v>20</x:v>
      </x:c>
      <x:c r="G25" s="61" t="n">
        <x:v>142.5</x:v>
      </x:c>
      <x:c r="H25" s="48" t="str">
        <x:v>1室0厅1</x:v>
      </x:c>
      <x:c r="I25" s="48" t="str">
        <x:v>东</x:v>
      </x:c>
      <x:c r="J25" s="48" t="str">
        <x:v>普装</x:v>
      </x:c>
      <x:c r="K25" s="48" t="str">
        <x:v>普通住宅</x:v>
      </x:c>
      <x:c r="L25" s="48" t="str">
        <x:v>是</x:v>
      </x:c>
      <x:c r="M25" s="48" t="str">
        <x:v>保留</x:v>
      </x:c>
      <x:c r="N25" s="48" t="str">
        <x:v>都市名园|1室0厅1|20|2850|东</x:v>
      </x:c>
      <x:c r="O25" s="48"/>
      <x:c r="P25" s="48" t="str">
        <x:v>未知（未逐条补齐）</x:v>
      </x:c>
      <x:c r="Q25" s="48" t="str">
        <x:v>https://shenzhen.leyoujia.com/zf/detail/PM7WspE5rZUo72nNUzCqe5.html</x:v>
      </x:c>
      <x:c r="R25" s="48" t="str">
        <x:v>2026-08-13</x:v>
      </x:c>
    </x:row>
    <x:row r="26">
      <x:c r="A26" s="48" t="str">
        <x:v>都市名园</x:v>
      </x:c>
      <x:c r="B26" s="48" t="str">
        <x:v>都市名园</x:v>
      </x:c>
      <x:c r="C26" s="48" t="str">
        <x:v>大剧院</x:v>
      </x:c>
      <x:c r="D26" s="56" t="n">
        <x:v>12.9</x:v>
      </x:c>
      <x:c r="E26" s="61" t="n">
        <x:v>2850</x:v>
      </x:c>
      <x:c r="F26" s="61" t="n">
        <x:v>20</x:v>
      </x:c>
      <x:c r="G26" s="61" t="n">
        <x:v>142.5</x:v>
      </x:c>
      <x:c r="H26" s="48" t="str">
        <x:v>1室0厅1</x:v>
      </x:c>
      <x:c r="I26" s="48" t="str">
        <x:v>西</x:v>
      </x:c>
      <x:c r="J26" s="48" t="str">
        <x:v>待核</x:v>
      </x:c>
      <x:c r="K26" s="48" t="str">
        <x:v>住宅</x:v>
      </x:c>
      <x:c r="L26" s="48" t="str">
        <x:v>否</x:v>
      </x:c>
      <x:c r="M26" s="48" t="str">
        <x:v>疑似重复挂牌</x:v>
      </x:c>
      <x:c r="N26" s="48" t="str">
        <x:v>都市名园|1室0厅1|20|2850|西</x:v>
      </x:c>
      <x:c r="O26" s="48"/>
      <x:c r="P26" s="48" t="str">
        <x:v>未知（未逐条补齐）</x:v>
      </x:c>
      <x:c r="Q26" s="48" t="str">
        <x:v>https://shenzhen.leyoujia.com/zf/detail/Kg2Jhd8Fbuhn9CPCE63yRX.html</x:v>
      </x:c>
      <x:c r="R26" s="48" t="str">
        <x:v>2026-08-13</x:v>
      </x:c>
    </x:row>
    <x:row r="27">
      <x:c r="A27" s="48" t="str">
        <x:v>都市名园</x:v>
      </x:c>
      <x:c r="B27" s="48" t="str">
        <x:v>都市名园</x:v>
      </x:c>
      <x:c r="C27" s="48" t="str">
        <x:v>大剧院</x:v>
      </x:c>
      <x:c r="D27" s="56" t="n">
        <x:v>12.9</x:v>
      </x:c>
      <x:c r="E27" s="61" t="n">
        <x:v>2950</x:v>
      </x:c>
      <x:c r="F27" s="61" t="n">
        <x:v>54</x:v>
      </x:c>
      <x:c r="G27" s="61" t="n">
        <x:v>54.6</x:v>
      </x:c>
      <x:c r="H27" s="48" t="str">
        <x:v>1室1厅1</x:v>
      </x:c>
      <x:c r="I27" s="48" t="str">
        <x:v>东</x:v>
      </x:c>
      <x:c r="J27" s="48" t="str">
        <x:v>普装</x:v>
      </x:c>
      <x:c r="K27" s="48" t="str">
        <x:v>普通住宅</x:v>
      </x:c>
      <x:c r="L27" s="48" t="str">
        <x:v>否</x:v>
      </x:c>
      <x:c r="M27" s="48" t="str">
        <x:v>异常低价待核</x:v>
      </x:c>
      <x:c r="N27" s="48" t="str">
        <x:v>都市名园|1室1厅1|54|2950|东</x:v>
      </x:c>
      <x:c r="O27" s="48"/>
      <x:c r="P27" s="48" t="str">
        <x:v>未知（未逐条补齐）</x:v>
      </x:c>
      <x:c r="Q27" s="48" t="str">
        <x:v>https://shenzhen.leyoujia.com/zf/detail/YQGRGJNqHiHytB4Kvjmt2W.html</x:v>
      </x:c>
      <x:c r="R27" s="48" t="str">
        <x:v>2026-08-13</x:v>
      </x:c>
    </x:row>
    <x:row r="28">
      <x:c r="A28" s="48" t="str">
        <x:v>都市名园</x:v>
      </x:c>
      <x:c r="B28" s="48" t="str">
        <x:v>都市名园</x:v>
      </x:c>
      <x:c r="C28" s="48" t="str">
        <x:v>大剧院</x:v>
      </x:c>
      <x:c r="D28" s="56" t="n">
        <x:v>12.9</x:v>
      </x:c>
      <x:c r="E28" s="61" t="n">
        <x:v>2950</x:v>
      </x:c>
      <x:c r="F28" s="61" t="n">
        <x:v>20</x:v>
      </x:c>
      <x:c r="G28" s="61" t="n">
        <x:v>147.5</x:v>
      </x:c>
      <x:c r="H28" s="48" t="str">
        <x:v>1室0厅1</x:v>
      </x:c>
      <x:c r="I28" s="48" t="str">
        <x:v>西</x:v>
      </x:c>
      <x:c r="J28" s="48" t="str">
        <x:v>待核</x:v>
      </x:c>
      <x:c r="K28" s="48" t="str">
        <x:v>住宅</x:v>
      </x:c>
      <x:c r="L28" s="48" t="str">
        <x:v>是</x:v>
      </x:c>
      <x:c r="M28" s="48" t="str">
        <x:v>保留</x:v>
      </x:c>
      <x:c r="N28" s="48" t="str">
        <x:v>都市名园|1室0厅1|20|2950|西</x:v>
      </x:c>
      <x:c r="O28" s="48"/>
      <x:c r="P28" s="48" t="str">
        <x:v>未知（未逐条补齐）</x:v>
      </x:c>
      <x:c r="Q28" s="48" t="str">
        <x:v>https://shenzhen.leyoujia.com/zf/detail/CZwG2uzP856dndvxMoHWd8.html</x:v>
      </x:c>
      <x:c r="R28" s="48" t="str">
        <x:v>2026-08-13</x:v>
      </x:c>
    </x:row>
    <x:row r="29">
      <x:c r="A29" s="48" t="str">
        <x:v>都市名园</x:v>
      </x:c>
      <x:c r="B29" s="48" t="str">
        <x:v>都市名园</x:v>
      </x:c>
      <x:c r="C29" s="48" t="str">
        <x:v>大剧院</x:v>
      </x:c>
      <x:c r="D29" s="56" t="n">
        <x:v>12.9</x:v>
      </x:c>
      <x:c r="E29" s="61" t="n">
        <x:v>2980</x:v>
      </x:c>
      <x:c r="F29" s="61" t="n">
        <x:v>18</x:v>
      </x:c>
      <x:c r="G29" s="61" t="n">
        <x:v>165.6</x:v>
      </x:c>
      <x:c r="H29" s="48" t="str">
        <x:v>1室0厅1</x:v>
      </x:c>
      <x:c r="I29" s="48" t="str">
        <x:v>南</x:v>
      </x:c>
      <x:c r="J29" s="48" t="str">
        <x:v>待核</x:v>
      </x:c>
      <x:c r="K29" s="48" t="str">
        <x:v>住宅</x:v>
      </x:c>
      <x:c r="L29" s="48" t="str">
        <x:v>是</x:v>
      </x:c>
      <x:c r="M29" s="48" t="str">
        <x:v>保留</x:v>
      </x:c>
      <x:c r="N29" s="48" t="str">
        <x:v>都市名园|1室0厅1|18|2980|南</x:v>
      </x:c>
      <x:c r="O29" s="48"/>
      <x:c r="P29" s="48" t="str">
        <x:v>未知（未逐条补齐）</x:v>
      </x:c>
      <x:c r="Q29" s="48" t="str">
        <x:v>https://shenzhen.leyoujia.com/zf/detail/9EM8bX1DLciSRteTNyEjUp.html</x:v>
      </x:c>
      <x:c r="R29" s="48" t="str">
        <x:v>2026-08-13</x:v>
      </x:c>
    </x:row>
    <x:row r="30">
      <x:c r="A30" s="48" t="str">
        <x:v>都市名园</x:v>
      </x:c>
      <x:c r="B30" s="48" t="str">
        <x:v>都市名园</x:v>
      </x:c>
      <x:c r="C30" s="48" t="str">
        <x:v>大剧院</x:v>
      </x:c>
      <x:c r="D30" s="56" t="n">
        <x:v>12.9</x:v>
      </x:c>
      <x:c r="E30" s="61" t="n">
        <x:v>3050</x:v>
      </x:c>
      <x:c r="F30" s="61" t="n">
        <x:v>40</x:v>
      </x:c>
      <x:c r="G30" s="61" t="n">
        <x:v>76.3</x:v>
      </x:c>
      <x:c r="H30" s="48" t="str">
        <x:v>1室1厅1</x:v>
      </x:c>
      <x:c r="I30" s="48" t="str">
        <x:v>西北</x:v>
      </x:c>
      <x:c r="J30" s="48" t="str">
        <x:v>普装</x:v>
      </x:c>
      <x:c r="K30" s="48" t="str">
        <x:v>普通住宅</x:v>
      </x:c>
      <x:c r="L30" s="48" t="str">
        <x:v>是</x:v>
      </x:c>
      <x:c r="M30" s="48" t="str">
        <x:v>保留</x:v>
      </x:c>
      <x:c r="N30" s="48" t="str">
        <x:v>都市名园|1室1厅1|40|3050|西北</x:v>
      </x:c>
      <x:c r="O30" s="48"/>
      <x:c r="P30" s="48" t="str">
        <x:v>未知（未逐条补齐）</x:v>
      </x:c>
      <x:c r="Q30" s="48" t="str">
        <x:v>https://shenzhen.leyoujia.com/zf/detail/CjGrmtEqFaujTMiNv3JYou.html</x:v>
      </x:c>
      <x:c r="R30" s="48" t="str">
        <x:v>2026-08-13</x:v>
      </x:c>
    </x:row>
    <x:row r="31">
      <x:c r="A31" s="48" t="str">
        <x:v>都市名园</x:v>
      </x:c>
      <x:c r="B31" s="48" t="str">
        <x:v>都市名园</x:v>
      </x:c>
      <x:c r="C31" s="48" t="str">
        <x:v>大剧院</x:v>
      </x:c>
      <x:c r="D31" s="56" t="n">
        <x:v>12.9</x:v>
      </x:c>
      <x:c r="E31" s="61" t="n">
        <x:v>3150</x:v>
      </x:c>
      <x:c r="F31" s="61" t="n">
        <x:v>28</x:v>
      </x:c>
      <x:c r="G31" s="61" t="n">
        <x:v>112.5</x:v>
      </x:c>
      <x:c r="H31" s="48" t="str">
        <x:v>1室0厅1</x:v>
      </x:c>
      <x:c r="I31" s="48" t="str">
        <x:v>西</x:v>
      </x:c>
      <x:c r="J31" s="48" t="str">
        <x:v>普装</x:v>
      </x:c>
      <x:c r="K31" s="48" t="str">
        <x:v>普通住宅</x:v>
      </x:c>
      <x:c r="L31" s="48" t="str">
        <x:v>是</x:v>
      </x:c>
      <x:c r="M31" s="48" t="str">
        <x:v>保留</x:v>
      </x:c>
      <x:c r="N31" s="48" t="str">
        <x:v>都市名园|1室0厅1|28|3150|西</x:v>
      </x:c>
      <x:c r="O31" s="48"/>
      <x:c r="P31" s="48" t="str">
        <x:v>未知（未逐条补齐）</x:v>
      </x:c>
      <x:c r="Q31" s="48" t="str">
        <x:v>https://shenzhen.leyoujia.com/zf/detail/BHH9XQPQ6ALHeXyTe2ST3K.html</x:v>
      </x:c>
      <x:c r="R31" s="48" t="str">
        <x:v>2026-08-13</x:v>
      </x:c>
    </x:row>
    <x:row r="32">
      <x:c r="A32" s="48" t="str">
        <x:v>都市名园</x:v>
      </x:c>
      <x:c r="B32" s="48" t="str">
        <x:v>都市名园</x:v>
      </x:c>
      <x:c r="C32" s="48" t="str">
        <x:v>大剧院</x:v>
      </x:c>
      <x:c r="D32" s="56" t="n">
        <x:v>12.9</x:v>
      </x:c>
      <x:c r="E32" s="61" t="n">
        <x:v>3800</x:v>
      </x:c>
      <x:c r="F32" s="61" t="n">
        <x:v>42.38</x:v>
      </x:c>
      <x:c r="G32" s="61" t="n">
        <x:v>89.7</x:v>
      </x:c>
      <x:c r="H32" s="48" t="str">
        <x:v>1室1厅1</x:v>
      </x:c>
      <x:c r="I32" s="48" t="str">
        <x:v>西</x:v>
      </x:c>
      <x:c r="J32" s="48" t="str">
        <x:v>精装</x:v>
      </x:c>
      <x:c r="K32" s="48" t="str">
        <x:v>普通住宅</x:v>
      </x:c>
      <x:c r="L32" s="48" t="str">
        <x:v>否</x:v>
      </x:c>
      <x:c r="M32" s="48" t="str">
        <x:v>异常高价</x:v>
      </x:c>
      <x:c r="N32" s="48" t="str">
        <x:v>都市名园|1室1厅1|42|3800|西</x:v>
      </x:c>
      <x:c r="O32" s="48"/>
      <x:c r="P32" s="48" t="str">
        <x:v>未知（未逐条补齐）</x:v>
      </x:c>
      <x:c r="Q32" s="48" t="str">
        <x:v>https://shenzhen.leyoujia.com/zf/detail/KvM6ebr6oifrY6zuLAhKZB.html</x:v>
      </x:c>
      <x:c r="R32" s="48" t="str">
        <x:v>2026-08-13</x:v>
      </x:c>
    </x:row>
    <x:row r="33">
      <x:c r="A33" s="48" t="str">
        <x:v>都市名园</x:v>
      </x:c>
      <x:c r="B33" s="48" t="str">
        <x:v>都市名园</x:v>
      </x:c>
      <x:c r="C33" s="48" t="str">
        <x:v>大剧院</x:v>
      </x:c>
      <x:c r="D33" s="56" t="n">
        <x:v>12.9</x:v>
      </x:c>
      <x:c r="E33" s="61" t="n">
        <x:v>4500</x:v>
      </x:c>
      <x:c r="F33" s="61" t="n">
        <x:v>49.19</x:v>
      </x:c>
      <x:c r="G33" s="61" t="n">
        <x:v>91.5</x:v>
      </x:c>
      <x:c r="H33" s="48" t="str">
        <x:v>1室1厅1</x:v>
      </x:c>
      <x:c r="I33" s="48" t="str">
        <x:v>西南</x:v>
      </x:c>
      <x:c r="J33" s="48" t="str">
        <x:v>普装</x:v>
      </x:c>
      <x:c r="K33" s="48" t="str">
        <x:v>普通住宅</x:v>
      </x:c>
      <x:c r="L33" s="48" t="str">
        <x:v>否</x:v>
      </x:c>
      <x:c r="M33" s="48" t="str">
        <x:v>异常高价</x:v>
      </x:c>
      <x:c r="N33" s="48" t="str">
        <x:v>都市名园|1室1厅1|49|4500|西南</x:v>
      </x:c>
      <x:c r="O33" s="48"/>
      <x:c r="P33" s="48" t="str">
        <x:v>未知（未逐条补齐）</x:v>
      </x:c>
      <x:c r="Q33" s="48" t="str">
        <x:v>https://shenzhen.leyoujia.com/zf/detail/YNEF2ygtKeRQCsuRL5WWM2.html</x:v>
      </x:c>
      <x:c r="R33" s="48" t="str">
        <x:v>2026-08-13</x:v>
      </x:c>
    </x:row>
    <x:row r="34">
      <x:c r="A34" s="48" t="str">
        <x:v>红岭大厦</x:v>
      </x:c>
      <x:c r="B34" s="48" t="str">
        <x:v>红岭大厦</x:v>
      </x:c>
      <x:c r="C34" s="48" t="str">
        <x:v>大剧院</x:v>
      </x:c>
      <x:c r="D34" s="56" t="n">
        <x:v>9</x:v>
      </x:c>
      <x:c r="E34" s="61" t="n">
        <x:v>3200</x:v>
      </x:c>
      <x:c r="F34" s="61" t="n">
        <x:v>45</x:v>
      </x:c>
      <x:c r="G34" s="61" t="n">
        <x:v>71.1</x:v>
      </x:c>
      <x:c r="H34" s="48" t="str">
        <x:v>1室0厅1</x:v>
      </x:c>
      <x:c r="I34" s="48" t="str">
        <x:v>南</x:v>
      </x:c>
      <x:c r="J34" s="48" t="str">
        <x:v>普装</x:v>
      </x:c>
      <x:c r="K34" s="48" t="str">
        <x:v>普通住宅</x:v>
      </x:c>
      <x:c r="L34" s="48" t="str">
        <x:v>是</x:v>
      </x:c>
      <x:c r="M34" s="48" t="str">
        <x:v>保留</x:v>
      </x:c>
      <x:c r="N34" s="48" t="str">
        <x:v>红岭大厦|1室0厅1|45|3200|南</x:v>
      </x:c>
      <x:c r="O34" s="48"/>
      <x:c r="P34" s="48" t="str">
        <x:v>未知（未逐条补齐）</x:v>
      </x:c>
      <x:c r="Q34" s="48" t="str">
        <x:v>https://shenzhen.leyoujia.com/zf/detail/UPmknuejn8K7Q5eodSFD6J.html</x:v>
      </x:c>
      <x:c r="R34" s="48" t="str">
        <x:v>2026-08-13</x:v>
      </x:c>
    </x:row>
    <x:row r="35">
      <x:c r="A35" s="48" t="str">
        <x:v>红岭大厦</x:v>
      </x:c>
      <x:c r="B35" s="48" t="str">
        <x:v>红岭大厦</x:v>
      </x:c>
      <x:c r="C35" s="48" t="str">
        <x:v>大剧院</x:v>
      </x:c>
      <x:c r="D35" s="56" t="n">
        <x:v>9</x:v>
      </x:c>
      <x:c r="E35" s="61" t="n">
        <x:v>3200</x:v>
      </x:c>
      <x:c r="F35" s="61" t="n">
        <x:v>45</x:v>
      </x:c>
      <x:c r="G35" s="61" t="n">
        <x:v>71.1</x:v>
      </x:c>
      <x:c r="H35" s="48" t="str">
        <x:v>1室0厅1</x:v>
      </x:c>
      <x:c r="I35" s="48" t="str">
        <x:v>西</x:v>
      </x:c>
      <x:c r="J35" s="48" t="str">
        <x:v>普装</x:v>
      </x:c>
      <x:c r="K35" s="48" t="str">
        <x:v>普通住宅</x:v>
      </x:c>
      <x:c r="L35" s="48" t="str">
        <x:v>是</x:v>
      </x:c>
      <x:c r="M35" s="48" t="str">
        <x:v>保留</x:v>
      </x:c>
      <x:c r="N35" s="48" t="str">
        <x:v>红岭大厦|1室0厅1|45|3200|西</x:v>
      </x:c>
      <x:c r="O35" s="48"/>
      <x:c r="P35" s="48" t="str">
        <x:v>未知（未逐条补齐）</x:v>
      </x:c>
      <x:c r="Q35" s="48" t="str">
        <x:v>https://shenzhen.leyoujia.com/zf/detail/NjzL5dwcbMk4qtLZyhsdwq.html</x:v>
      </x:c>
      <x:c r="R35" s="48" t="str">
        <x:v>2026-08-13</x:v>
      </x:c>
    </x:row>
    <x:row r="36">
      <x:c r="A36" s="48" t="str">
        <x:v>红岭大厦</x:v>
      </x:c>
      <x:c r="B36" s="48" t="str">
        <x:v>红岭大厦</x:v>
      </x:c>
      <x:c r="C36" s="48" t="str">
        <x:v>大剧院</x:v>
      </x:c>
      <x:c r="D36" s="56" t="n">
        <x:v>9</x:v>
      </x:c>
      <x:c r="E36" s="61" t="n">
        <x:v>3200</x:v>
      </x:c>
      <x:c r="F36" s="61" t="n">
        <x:v>45</x:v>
      </x:c>
      <x:c r="G36" s="61" t="n">
        <x:v>71.1</x:v>
      </x:c>
      <x:c r="H36" s="48" t="str">
        <x:v>1室0厅1</x:v>
      </x:c>
      <x:c r="I36" s="48" t="str">
        <x:v>北</x:v>
      </x:c>
      <x:c r="J36" s="48" t="str">
        <x:v>精装</x:v>
      </x:c>
      <x:c r="K36" s="48" t="str">
        <x:v>公寓</x:v>
      </x:c>
      <x:c r="L36" s="48" t="str">
        <x:v>是</x:v>
      </x:c>
      <x:c r="M36" s="48" t="str">
        <x:v>保留</x:v>
      </x:c>
      <x:c r="N36" s="48" t="str">
        <x:v>红岭大厦|1室0厅1|45|3200|北</x:v>
      </x:c>
      <x:c r="O36" s="48"/>
      <x:c r="P36" s="48" t="str">
        <x:v>未知（未逐条补齐）</x:v>
      </x:c>
      <x:c r="Q36" s="48" t="str">
        <x:v>https://shenzhen.leyoujia.com/zf/detail/NMFRGWmf6Pv6S26eGyG4di.html</x:v>
      </x:c>
      <x:c r="R36" s="48" t="str">
        <x:v>2026-08-13</x:v>
      </x:c>
    </x:row>
    <x:row r="37">
      <x:c r="A37" s="48" t="str">
        <x:v>红岭大厦</x:v>
      </x:c>
      <x:c r="B37" s="48" t="str">
        <x:v>红岭大厦</x:v>
      </x:c>
      <x:c r="C37" s="48" t="str">
        <x:v>大剧院</x:v>
      </x:c>
      <x:c r="D37" s="56" t="n">
        <x:v>9</x:v>
      </x:c>
      <x:c r="E37" s="61" t="n">
        <x:v>3200</x:v>
      </x:c>
      <x:c r="F37" s="61" t="n">
        <x:v>41</x:v>
      </x:c>
      <x:c r="G37" s="61" t="n">
        <x:v>78</x:v>
      </x:c>
      <x:c r="H37" s="48" t="str">
        <x:v>1室0厅0</x:v>
      </x:c>
      <x:c r="I37" s="48" t="str">
        <x:v>北</x:v>
      </x:c>
      <x:c r="J37" s="48" t="str">
        <x:v>精装</x:v>
      </x:c>
      <x:c r="K37" s="48" t="str">
        <x:v>酒店式公寓</x:v>
      </x:c>
      <x:c r="L37" s="48" t="str">
        <x:v>是</x:v>
      </x:c>
      <x:c r="M37" s="48" t="str">
        <x:v>保留</x:v>
      </x:c>
      <x:c r="N37" s="48" t="str">
        <x:v>红岭大厦|1室0厅0|41|3200|北</x:v>
      </x:c>
      <x:c r="O37" s="48"/>
      <x:c r="P37" s="48" t="str">
        <x:v>未知（未逐条补齐）</x:v>
      </x:c>
      <x:c r="Q37" s="48" t="str">
        <x:v>https://shenzhen.leyoujia.com/zf/detail/KVbGBVcq6mC2mdQ7RaLwGG.html</x:v>
      </x:c>
      <x:c r="R37" s="48" t="str">
        <x:v>2026-08-13</x:v>
      </x:c>
    </x:row>
    <x:row r="38">
      <x:c r="A38" s="48" t="str">
        <x:v>红岭大厦</x:v>
      </x:c>
      <x:c r="B38" s="48" t="str">
        <x:v>红岭大厦</x:v>
      </x:c>
      <x:c r="C38" s="48" t="str">
        <x:v>大剧院</x:v>
      </x:c>
      <x:c r="D38" s="56" t="n">
        <x:v>9</x:v>
      </x:c>
      <x:c r="E38" s="61" t="n">
        <x:v>3200</x:v>
      </x:c>
      <x:c r="F38" s="61" t="n">
        <x:v>41</x:v>
      </x:c>
      <x:c r="G38" s="61" t="n">
        <x:v>78</x:v>
      </x:c>
      <x:c r="H38" s="48" t="str">
        <x:v>1室0厅1</x:v>
      </x:c>
      <x:c r="I38" s="48" t="str">
        <x:v>北</x:v>
      </x:c>
      <x:c r="J38" s="48" t="str">
        <x:v>待核</x:v>
      </x:c>
      <x:c r="K38" s="48" t="str">
        <x:v>酒店式公寓</x:v>
      </x:c>
      <x:c r="L38" s="48" t="str">
        <x:v>是</x:v>
      </x:c>
      <x:c r="M38" s="48" t="str">
        <x:v>保留</x:v>
      </x:c>
      <x:c r="N38" s="48" t="str">
        <x:v>红岭大厦|1室0厅1|41|3200|北</x:v>
      </x:c>
      <x:c r="O38" s="48"/>
      <x:c r="P38" s="48" t="str">
        <x:v>未知（未逐条补齐）</x:v>
      </x:c>
      <x:c r="Q38" s="48" t="str">
        <x:v>https://shenzhen.leyoujia.com/zf/detail/Hd5VZGEqQ3AVLhqhkvmnP1.html</x:v>
      </x:c>
      <x:c r="R38" s="48" t="str">
        <x:v>2026-08-13</x:v>
      </x:c>
    </x:row>
    <x:row r="39">
      <x:c r="A39" s="48" t="str">
        <x:v>红岭大厦</x:v>
      </x:c>
      <x:c r="B39" s="48" t="str">
        <x:v>红岭大厦</x:v>
      </x:c>
      <x:c r="C39" s="48" t="str">
        <x:v>大剧院</x:v>
      </x:c>
      <x:c r="D39" s="56" t="n">
        <x:v>9</x:v>
      </x:c>
      <x:c r="E39" s="61" t="n">
        <x:v>3200</x:v>
      </x:c>
      <x:c r="F39" s="61" t="n">
        <x:v>45</x:v>
      </x:c>
      <x:c r="G39" s="61" t="n">
        <x:v>71.1</x:v>
      </x:c>
      <x:c r="H39" s="48" t="str">
        <x:v>1室0厅1</x:v>
      </x:c>
      <x:c r="I39" s="48" t="str">
        <x:v>西</x:v>
      </x:c>
      <x:c r="J39" s="48" t="str">
        <x:v>普装</x:v>
      </x:c>
      <x:c r="K39" s="48" t="str">
        <x:v>普通住宅</x:v>
      </x:c>
      <x:c r="L39" s="48" t="str">
        <x:v>否</x:v>
      </x:c>
      <x:c r="M39" s="48" t="str">
        <x:v>疑似重复挂牌</x:v>
      </x:c>
      <x:c r="N39" s="48" t="str">
        <x:v>红岭大厦|1室0厅1|45|3200|西</x:v>
      </x:c>
      <x:c r="O39" s="48"/>
      <x:c r="P39" s="48" t="str">
        <x:v>未知（未逐条补齐）</x:v>
      </x:c>
      <x:c r="Q39" s="48" t="str">
        <x:v>https://shenzhen.leyoujia.com/zf/detail/CjXxw27skGUTehuyhCBLN.html</x:v>
      </x:c>
      <x:c r="R39" s="48" t="str">
        <x:v>2026-08-13</x:v>
      </x:c>
    </x:row>
    <x:row r="40">
      <x:c r="A40" s="48" t="str">
        <x:v>红岭大厦</x:v>
      </x:c>
      <x:c r="B40" s="48" t="str">
        <x:v>红岭大厦</x:v>
      </x:c>
      <x:c r="C40" s="48" t="str">
        <x:v>大剧院</x:v>
      </x:c>
      <x:c r="D40" s="56" t="n">
        <x:v>9</x:v>
      </x:c>
      <x:c r="E40" s="61" t="n">
        <x:v>3200</x:v>
      </x:c>
      <x:c r="F40" s="61" t="n">
        <x:v>45</x:v>
      </x:c>
      <x:c r="G40" s="61" t="n">
        <x:v>71.1</x:v>
      </x:c>
      <x:c r="H40" s="48" t="str">
        <x:v>1室0厅1</x:v>
      </x:c>
      <x:c r="I40" s="48" t="str">
        <x:v>北</x:v>
      </x:c>
      <x:c r="J40" s="48" t="str">
        <x:v>普装</x:v>
      </x:c>
      <x:c r="K40" s="48" t="str">
        <x:v>普通住宅</x:v>
      </x:c>
      <x:c r="L40" s="48" t="str">
        <x:v>否</x:v>
      </x:c>
      <x:c r="M40" s="48" t="str">
        <x:v>疑似重复挂牌</x:v>
      </x:c>
      <x:c r="N40" s="48" t="str">
        <x:v>红岭大厦|1室0厅1|45|3200|北</x:v>
      </x:c>
      <x:c r="O40" s="48"/>
      <x:c r="P40" s="48" t="str">
        <x:v>未知（未逐条补齐）</x:v>
      </x:c>
      <x:c r="Q40" s="48" t="str">
        <x:v>https://shenzhen.leyoujia.com/zf/detail/X8HSC2cQHCe3KFsejcaGSh.html</x:v>
      </x:c>
      <x:c r="R40" s="48" t="str">
        <x:v>2026-08-13</x:v>
      </x:c>
    </x:row>
    <x:row r="41">
      <x:c r="A41" s="48" t="str">
        <x:v>红岭大厦</x:v>
      </x:c>
      <x:c r="B41" s="48" t="str">
        <x:v>红岭大厦</x:v>
      </x:c>
      <x:c r="C41" s="48" t="str">
        <x:v>大剧院</x:v>
      </x:c>
      <x:c r="D41" s="56" t="n">
        <x:v>9</x:v>
      </x:c>
      <x:c r="E41" s="61" t="n">
        <x:v>3200</x:v>
      </x:c>
      <x:c r="F41" s="61" t="n">
        <x:v>49.54</x:v>
      </x:c>
      <x:c r="G41" s="61" t="n">
        <x:v>64.6</x:v>
      </x:c>
      <x:c r="H41" s="48" t="str">
        <x:v>1室0厅1</x:v>
      </x:c>
      <x:c r="I41" s="48" t="str">
        <x:v>北</x:v>
      </x:c>
      <x:c r="J41" s="48" t="str">
        <x:v>精装</x:v>
      </x:c>
      <x:c r="K41" s="48" t="str">
        <x:v>公寓</x:v>
      </x:c>
      <x:c r="L41" s="48" t="str">
        <x:v>是</x:v>
      </x:c>
      <x:c r="M41" s="48" t="str">
        <x:v>保留</x:v>
      </x:c>
      <x:c r="N41" s="48" t="str">
        <x:v>红岭大厦|1室0厅1|50|3200|北</x:v>
      </x:c>
      <x:c r="O41" s="48"/>
      <x:c r="P41" s="48" t="str">
        <x:v>未知（未逐条补齐）</x:v>
      </x:c>
      <x:c r="Q41" s="48" t="str">
        <x:v>https://shenzhen.leyoujia.com/zf/detail/VRz4Dnm8XKA7Eew1kPCj7F.html</x:v>
      </x:c>
      <x:c r="R41" s="48" t="str">
        <x:v>2026-08-13</x:v>
      </x:c>
    </x:row>
    <x:row r="42">
      <x:c r="A42" s="48" t="str">
        <x:v>红岭大厦</x:v>
      </x:c>
      <x:c r="B42" s="48" t="str">
        <x:v>红岭大厦</x:v>
      </x:c>
      <x:c r="C42" s="48" t="str">
        <x:v>大剧院</x:v>
      </x:c>
      <x:c r="D42" s="56" t="n">
        <x:v>9</x:v>
      </x:c>
      <x:c r="E42" s="61" t="n">
        <x:v>3300</x:v>
      </x:c>
      <x:c r="F42" s="61" t="n">
        <x:v>45</x:v>
      </x:c>
      <x:c r="G42" s="61" t="n">
        <x:v>73.3</x:v>
      </x:c>
      <x:c r="H42" s="48" t="str">
        <x:v>1室0厅1</x:v>
      </x:c>
      <x:c r="I42" s="48" t="str">
        <x:v>南</x:v>
      </x:c>
      <x:c r="J42" s="48" t="str">
        <x:v>精装</x:v>
      </x:c>
      <x:c r="K42" s="48" t="str">
        <x:v>普通住宅</x:v>
      </x:c>
      <x:c r="L42" s="48" t="str">
        <x:v>是</x:v>
      </x:c>
      <x:c r="M42" s="48" t="str">
        <x:v>保留</x:v>
      </x:c>
      <x:c r="N42" s="48" t="str">
        <x:v>红岭大厦|1室0厅1|45|3300|南</x:v>
      </x:c>
      <x:c r="O42" s="48"/>
      <x:c r="P42" s="48" t="str">
        <x:v>未知（未逐条补齐）</x:v>
      </x:c>
      <x:c r="Q42" s="48" t="str">
        <x:v>https://shenzhen.leyoujia.com/zf/detail/FcaCYgNrdnbDA2J9hGeYqG.html</x:v>
      </x:c>
      <x:c r="R42" s="48" t="str">
        <x:v>2026-08-13</x:v>
      </x:c>
    </x:row>
    <x:row r="43">
      <x:c r="A43" s="48" t="str">
        <x:v>红岭大厦</x:v>
      </x:c>
      <x:c r="B43" s="48" t="str">
        <x:v>红岭大厦</x:v>
      </x:c>
      <x:c r="C43" s="48" t="str">
        <x:v>大剧院</x:v>
      </x:c>
      <x:c r="D43" s="56" t="n">
        <x:v>9</x:v>
      </x:c>
      <x:c r="E43" s="61" t="n">
        <x:v>3300</x:v>
      </x:c>
      <x:c r="F43" s="61" t="n">
        <x:v>31</x:v>
      </x:c>
      <x:c r="G43" s="61" t="n">
        <x:v>106.5</x:v>
      </x:c>
      <x:c r="H43" s="48" t="str">
        <x:v>1室0厅1</x:v>
      </x:c>
      <x:c r="I43" s="48" t="str">
        <x:v>北</x:v>
      </x:c>
      <x:c r="J43" s="48" t="str">
        <x:v>普装</x:v>
      </x:c>
      <x:c r="K43" s="48" t="str">
        <x:v>酒店式公寓</x:v>
      </x:c>
      <x:c r="L43" s="48" t="str">
        <x:v>是</x:v>
      </x:c>
      <x:c r="M43" s="48" t="str">
        <x:v>保留</x:v>
      </x:c>
      <x:c r="N43" s="48" t="str">
        <x:v>红岭大厦|1室0厅1|31|3300|北</x:v>
      </x:c>
      <x:c r="O43" s="48"/>
      <x:c r="P43" s="48" t="str">
        <x:v>未知（未逐条补齐）</x:v>
      </x:c>
      <x:c r="Q43" s="48" t="str">
        <x:v>https://shenzhen.leyoujia.com/zf/detail/3cXdnnn1k6M7ML6RXA5cvU.html</x:v>
      </x:c>
      <x:c r="R43" s="48" t="str">
        <x:v>2026-08-13</x:v>
      </x:c>
    </x:row>
    <x:row r="44">
      <x:c r="A44" s="48" t="str">
        <x:v>红岭大厦</x:v>
      </x:c>
      <x:c r="B44" s="48" t="str">
        <x:v>红岭大厦</x:v>
      </x:c>
      <x:c r="C44" s="48" t="str">
        <x:v>大剧院</x:v>
      </x:c>
      <x:c r="D44" s="56" t="n">
        <x:v>9</x:v>
      </x:c>
      <x:c r="E44" s="61" t="n">
        <x:v>3400</x:v>
      </x:c>
      <x:c r="F44" s="61" t="n">
        <x:v>45</x:v>
      </x:c>
      <x:c r="G44" s="61" t="n">
        <x:v>75.6</x:v>
      </x:c>
      <x:c r="H44" s="48" t="str">
        <x:v>1室0厅1</x:v>
      </x:c>
      <x:c r="I44" s="48" t="str">
        <x:v>东</x:v>
      </x:c>
      <x:c r="J44" s="48" t="str">
        <x:v>精装</x:v>
      </x:c>
      <x:c r="K44" s="48" t="str">
        <x:v>普通住宅</x:v>
      </x:c>
      <x:c r="L44" s="48" t="str">
        <x:v>是</x:v>
      </x:c>
      <x:c r="M44" s="48" t="str">
        <x:v>保留</x:v>
      </x:c>
      <x:c r="N44" s="48" t="str">
        <x:v>红岭大厦|1室0厅1|45|3400|东</x:v>
      </x:c>
      <x:c r="O44" s="48"/>
      <x:c r="P44" s="48" t="str">
        <x:v>未知（未逐条补齐）</x:v>
      </x:c>
      <x:c r="Q44" s="48" t="str">
        <x:v>https://shenzhen.leyoujia.com/zf/detail/NjGiNx1fTHzcdtarcqtsDJ.html</x:v>
      </x:c>
      <x:c r="R44" s="48" t="str">
        <x:v>2026-08-13</x:v>
      </x:c>
    </x:row>
    <x:row r="45">
      <x:c r="A45" s="48" t="str">
        <x:v>红岭大厦</x:v>
      </x:c>
      <x:c r="B45" s="48" t="str">
        <x:v>红岭大厦</x:v>
      </x:c>
      <x:c r="C45" s="48" t="str">
        <x:v>大剧院</x:v>
      </x:c>
      <x:c r="D45" s="56" t="n">
        <x:v>9</x:v>
      </x:c>
      <x:c r="E45" s="61" t="n">
        <x:v>3500</x:v>
      </x:c>
      <x:c r="F45" s="61" t="n">
        <x:v>45</x:v>
      </x:c>
      <x:c r="G45" s="61" t="n">
        <x:v>77.8</x:v>
      </x:c>
      <x:c r="H45" s="48" t="str">
        <x:v>1室0厅1</x:v>
      </x:c>
      <x:c r="I45" s="48" t="str">
        <x:v>东</x:v>
      </x:c>
      <x:c r="J45" s="48" t="str">
        <x:v>精装</x:v>
      </x:c>
      <x:c r="K45" s="48" t="str">
        <x:v>公寓</x:v>
      </x:c>
      <x:c r="L45" s="48" t="str">
        <x:v>是</x:v>
      </x:c>
      <x:c r="M45" s="48" t="str">
        <x:v>保留</x:v>
      </x:c>
      <x:c r="N45" s="48" t="str">
        <x:v>红岭大厦|1室0厅1|45|3500|东</x:v>
      </x:c>
      <x:c r="O45" s="48"/>
      <x:c r="P45" s="48" t="str">
        <x:v>未知（未逐条补齐）</x:v>
      </x:c>
      <x:c r="Q45" s="48" t="str">
        <x:v>https://shenzhen.leyoujia.com/zf/detail/VfMQbQdf14z1PLcfnjkbps.html</x:v>
      </x:c>
      <x:c r="R45" s="48" t="str">
        <x:v>2026-08-13</x:v>
      </x:c>
    </x:row>
    <x:row r="46">
      <x:c r="A46" s="48" t="str">
        <x:v>红岭大厦</x:v>
      </x:c>
      <x:c r="B46" s="48" t="str">
        <x:v>红岭大厦</x:v>
      </x:c>
      <x:c r="C46" s="48" t="str">
        <x:v>大剧院</x:v>
      </x:c>
      <x:c r="D46" s="56" t="n">
        <x:v>9</x:v>
      </x:c>
      <x:c r="E46" s="61" t="n">
        <x:v>3500</x:v>
      </x:c>
      <x:c r="F46" s="61" t="n">
        <x:v>45</x:v>
      </x:c>
      <x:c r="G46" s="61" t="n">
        <x:v>77.8</x:v>
      </x:c>
      <x:c r="H46" s="48" t="str">
        <x:v>1室0厅1</x:v>
      </x:c>
      <x:c r="I46" s="48" t="str">
        <x:v>南</x:v>
      </x:c>
      <x:c r="J46" s="48" t="str">
        <x:v>精装</x:v>
      </x:c>
      <x:c r="K46" s="48" t="str">
        <x:v>公寓</x:v>
      </x:c>
      <x:c r="L46" s="48" t="str">
        <x:v>是</x:v>
      </x:c>
      <x:c r="M46" s="48" t="str">
        <x:v>保留</x:v>
      </x:c>
      <x:c r="N46" s="48" t="str">
        <x:v>红岭大厦|1室0厅1|45|3500|南</x:v>
      </x:c>
      <x:c r="O46" s="48"/>
      <x:c r="P46" s="48" t="str">
        <x:v>未知（未逐条补齐）</x:v>
      </x:c>
      <x:c r="Q46" s="48" t="str">
        <x:v>https://shenzhen.leyoujia.com/zf/detail/8LDY9sK7PNo2nrDxF7LJVg.html</x:v>
      </x:c>
      <x:c r="R46" s="48" t="str">
        <x:v>2026-08-13</x:v>
      </x:c>
    </x:row>
    <x:row r="47">
      <x:c r="A47" s="48" t="str">
        <x:v>红岭大厦</x:v>
      </x:c>
      <x:c r="B47" s="48" t="str">
        <x:v>红岭大厦</x:v>
      </x:c>
      <x:c r="C47" s="48" t="str">
        <x:v>大剧院</x:v>
      </x:c>
      <x:c r="D47" s="56" t="n">
        <x:v>9</x:v>
      </x:c>
      <x:c r="E47" s="61" t="n">
        <x:v>3500</x:v>
      </x:c>
      <x:c r="F47" s="61" t="n">
        <x:v>41</x:v>
      </x:c>
      <x:c r="G47" s="61" t="n">
        <x:v>85.4</x:v>
      </x:c>
      <x:c r="H47" s="48" t="str">
        <x:v>1室0厅1</x:v>
      </x:c>
      <x:c r="I47" s="48" t="str">
        <x:v>南</x:v>
      </x:c>
      <x:c r="J47" s="48" t="str">
        <x:v>精装</x:v>
      </x:c>
      <x:c r="K47" s="48" t="str">
        <x:v>酒店式公寓</x:v>
      </x:c>
      <x:c r="L47" s="48" t="str">
        <x:v>是</x:v>
      </x:c>
      <x:c r="M47" s="48" t="str">
        <x:v>保留</x:v>
      </x:c>
      <x:c r="N47" s="48" t="str">
        <x:v>红岭大厦|1室0厅1|41|3500|南</x:v>
      </x:c>
      <x:c r="O47" s="48"/>
      <x:c r="P47" s="48" t="str">
        <x:v>未知（未逐条补齐）</x:v>
      </x:c>
      <x:c r="Q47" s="48" t="str">
        <x:v>https://shenzhen.leyoujia.com/zf/detail/QJGukEsKtq266YUGyJav8M.html</x:v>
      </x:c>
      <x:c r="R47" s="48" t="str">
        <x:v>2026-08-13</x:v>
      </x:c>
    </x:row>
    <x:row r="48">
      <x:c r="A48" s="48" t="str">
        <x:v>红岭大厦</x:v>
      </x:c>
      <x:c r="B48" s="48" t="str">
        <x:v>红岭大厦</x:v>
      </x:c>
      <x:c r="C48" s="48" t="str">
        <x:v>大剧院</x:v>
      </x:c>
      <x:c r="D48" s="56" t="n">
        <x:v>9</x:v>
      </x:c>
      <x:c r="E48" s="61" t="n">
        <x:v>3500</x:v>
      </x:c>
      <x:c r="F48" s="61" t="n">
        <x:v>38</x:v>
      </x:c>
      <x:c r="G48" s="61" t="n">
        <x:v>92.1</x:v>
      </x:c>
      <x:c r="H48" s="48" t="str">
        <x:v>1室0厅1</x:v>
      </x:c>
      <x:c r="I48" s="48" t="str">
        <x:v>南</x:v>
      </x:c>
      <x:c r="J48" s="48" t="str">
        <x:v>待核</x:v>
      </x:c>
      <x:c r="K48" s="48" t="str">
        <x:v>酒店式公寓</x:v>
      </x:c>
      <x:c r="L48" s="48" t="str">
        <x:v>是</x:v>
      </x:c>
      <x:c r="M48" s="48" t="str">
        <x:v>保留</x:v>
      </x:c>
      <x:c r="N48" s="48" t="str">
        <x:v>红岭大厦|1室0厅1|38|3500|南</x:v>
      </x:c>
      <x:c r="O48" s="48"/>
      <x:c r="P48" s="48" t="str">
        <x:v>未知（未逐条补齐）</x:v>
      </x:c>
      <x:c r="Q48" s="48" t="str">
        <x:v>https://shenzhen.leyoujia.com/zf/detail/BPTeXXWpbNU7HfVsorsBsp.html</x:v>
      </x:c>
      <x:c r="R48" s="48" t="str">
        <x:v>2026-08-13</x:v>
      </x:c>
    </x:row>
    <x:row r="49">
      <x:c r="A49" s="48" t="str">
        <x:v>红岭大厦</x:v>
      </x:c>
      <x:c r="B49" s="48" t="str">
        <x:v>红岭大厦</x:v>
      </x:c>
      <x:c r="C49" s="48" t="str">
        <x:v>大剧院</x:v>
      </x:c>
      <x:c r="D49" s="56" t="n">
        <x:v>9</x:v>
      </x:c>
      <x:c r="E49" s="61" t="n">
        <x:v>3500</x:v>
      </x:c>
      <x:c r="F49" s="61" t="n">
        <x:v>45</x:v>
      </x:c>
      <x:c r="G49" s="61" t="n">
        <x:v>77.8</x:v>
      </x:c>
      <x:c r="H49" s="48" t="str">
        <x:v>1室0厅1</x:v>
      </x:c>
      <x:c r="I49" s="48" t="str">
        <x:v>南</x:v>
      </x:c>
      <x:c r="J49" s="48" t="str">
        <x:v>精装</x:v>
      </x:c>
      <x:c r="K49" s="48" t="str">
        <x:v>公寓</x:v>
      </x:c>
      <x:c r="L49" s="48" t="str">
        <x:v>否</x:v>
      </x:c>
      <x:c r="M49" s="48" t="str">
        <x:v>疑似重复挂牌</x:v>
      </x:c>
      <x:c r="N49" s="48" t="str">
        <x:v>红岭大厦|1室0厅1|45|3500|南</x:v>
      </x:c>
      <x:c r="O49" s="48"/>
      <x:c r="P49" s="48" t="str">
        <x:v>未知（未逐条补齐）</x:v>
      </x:c>
      <x:c r="Q49" s="48" t="str">
        <x:v>https://shenzhen.leyoujia.com/zf/detail/7GGhGBYjGvma6xfMG8gkiN.html</x:v>
      </x:c>
      <x:c r="R49" s="48" t="str">
        <x:v>2026-08-13</x:v>
      </x:c>
    </x:row>
    <x:row r="50">
      <x:c r="A50" s="48" t="str">
        <x:v>红岭大厦</x:v>
      </x:c>
      <x:c r="B50" s="48" t="str">
        <x:v>红岭大厦</x:v>
      </x:c>
      <x:c r="C50" s="48" t="str">
        <x:v>大剧院</x:v>
      </x:c>
      <x:c r="D50" s="56" t="n">
        <x:v>9</x:v>
      </x:c>
      <x:c r="E50" s="61" t="n">
        <x:v>3500</x:v>
      </x:c>
      <x:c r="F50" s="61" t="n">
        <x:v>33</x:v>
      </x:c>
      <x:c r="G50" s="61" t="n">
        <x:v>106.1</x:v>
      </x:c>
      <x:c r="H50" s="48" t="str">
        <x:v>1室0厅1</x:v>
      </x:c>
      <x:c r="I50" s="48" t="str">
        <x:v>南</x:v>
      </x:c>
      <x:c r="J50" s="48" t="str">
        <x:v>精装</x:v>
      </x:c>
      <x:c r="K50" s="48" t="str">
        <x:v>酒店式公寓</x:v>
      </x:c>
      <x:c r="L50" s="48" t="str">
        <x:v>是</x:v>
      </x:c>
      <x:c r="M50" s="48" t="str">
        <x:v>保留</x:v>
      </x:c>
      <x:c r="N50" s="48" t="str">
        <x:v>红岭大厦|1室0厅1|33|3500|南</x:v>
      </x:c>
      <x:c r="O50" s="48"/>
      <x:c r="P50" s="48" t="str">
        <x:v>未知（未逐条补齐）</x:v>
      </x:c>
      <x:c r="Q50" s="48" t="str">
        <x:v>https://shenzhen.leyoujia.com/zf/detail/HjspPr9qeQFSK7HTWUW7Tq.html</x:v>
      </x:c>
      <x:c r="R50" s="48" t="str">
        <x:v>2026-08-13</x:v>
      </x:c>
    </x:row>
    <x:row r="51">
      <x:c r="A51" s="48" t="str">
        <x:v>红岭大厦</x:v>
      </x:c>
      <x:c r="B51" s="48" t="str">
        <x:v>红岭大厦</x:v>
      </x:c>
      <x:c r="C51" s="48" t="str">
        <x:v>大剧院</x:v>
      </x:c>
      <x:c r="D51" s="56" t="n">
        <x:v>9</x:v>
      </x:c>
      <x:c r="E51" s="61" t="n">
        <x:v>3500</x:v>
      </x:c>
      <x:c r="F51" s="61" t="n">
        <x:v>33</x:v>
      </x:c>
      <x:c r="G51" s="61" t="n">
        <x:v>106.1</x:v>
      </x:c>
      <x:c r="H51" s="48" t="str">
        <x:v>1室0厅1</x:v>
      </x:c>
      <x:c r="I51" s="48" t="str">
        <x:v>南</x:v>
      </x:c>
      <x:c r="J51" s="48" t="str">
        <x:v>精装</x:v>
      </x:c>
      <x:c r="K51" s="48" t="str">
        <x:v>酒店式公寓</x:v>
      </x:c>
      <x:c r="L51" s="48" t="str">
        <x:v>否</x:v>
      </x:c>
      <x:c r="M51" s="48" t="str">
        <x:v>疑似重复挂牌</x:v>
      </x:c>
      <x:c r="N51" s="48" t="str">
        <x:v>红岭大厦|1室0厅1|33|3500|南</x:v>
      </x:c>
      <x:c r="O51" s="48"/>
      <x:c r="P51" s="48" t="str">
        <x:v>未知（未逐条补齐）</x:v>
      </x:c>
      <x:c r="Q51" s="48" t="str">
        <x:v>https://shenzhen.leyoujia.com/zf/detail/WQGt5WKGFVTnGqVde98t9H.html</x:v>
      </x:c>
      <x:c r="R51" s="48" t="str">
        <x:v>2026-08-13</x:v>
      </x:c>
    </x:row>
    <x:row r="52">
      <x:c r="A52" s="48" t="str">
        <x:v>红岭大厦</x:v>
      </x:c>
      <x:c r="B52" s="48" t="str">
        <x:v>红岭大厦</x:v>
      </x:c>
      <x:c r="C52" s="48" t="str">
        <x:v>大剧院</x:v>
      </x:c>
      <x:c r="D52" s="56" t="n">
        <x:v>9</x:v>
      </x:c>
      <x:c r="E52" s="61" t="n">
        <x:v>3500</x:v>
      </x:c>
      <x:c r="F52" s="61" t="n">
        <x:v>45</x:v>
      </x:c>
      <x:c r="G52" s="61" t="n">
        <x:v>77.8</x:v>
      </x:c>
      <x:c r="H52" s="48" t="str">
        <x:v>1室0厅1</x:v>
      </x:c>
      <x:c r="I52" s="48" t="str">
        <x:v>东</x:v>
      </x:c>
      <x:c r="J52" s="48" t="str">
        <x:v>普装</x:v>
      </x:c>
      <x:c r="K52" s="48" t="str">
        <x:v>普通住宅</x:v>
      </x:c>
      <x:c r="L52" s="48" t="str">
        <x:v>否</x:v>
      </x:c>
      <x:c r="M52" s="48" t="str">
        <x:v>疑似重复挂牌</x:v>
      </x:c>
      <x:c r="N52" s="48" t="str">
        <x:v>红岭大厦|1室0厅1|45|3500|东</x:v>
      </x:c>
      <x:c r="O52" s="48"/>
      <x:c r="P52" s="48" t="str">
        <x:v>未知（未逐条补齐）</x:v>
      </x:c>
      <x:c r="Q52" s="48" t="str">
        <x:v>https://shenzhen.leyoujia.com/zf/detail/MR2zMFxwSPL4UcAAai2uBh.html</x:v>
      </x:c>
      <x:c r="R52" s="48" t="str">
        <x:v>2026-08-13</x:v>
      </x:c>
    </x:row>
    <x:row r="53">
      <x:c r="A53" s="48" t="str">
        <x:v>红岭大厦</x:v>
      </x:c>
      <x:c r="B53" s="48" t="str">
        <x:v>红岭大厦</x:v>
      </x:c>
      <x:c r="C53" s="48" t="str">
        <x:v>大剧院</x:v>
      </x:c>
      <x:c r="D53" s="56" t="n">
        <x:v>9</x:v>
      </x:c>
      <x:c r="E53" s="61" t="n">
        <x:v>3500</x:v>
      </x:c>
      <x:c r="F53" s="61" t="n">
        <x:v>49.54</x:v>
      </x:c>
      <x:c r="G53" s="61" t="n">
        <x:v>70.6</x:v>
      </x:c>
      <x:c r="H53" s="48" t="str">
        <x:v>1室0厅1</x:v>
      </x:c>
      <x:c r="I53" s="48" t="str">
        <x:v>南</x:v>
      </x:c>
      <x:c r="J53" s="48" t="str">
        <x:v>普装</x:v>
      </x:c>
      <x:c r="K53" s="48" t="str">
        <x:v>普通住宅</x:v>
      </x:c>
      <x:c r="L53" s="48" t="str">
        <x:v>是</x:v>
      </x:c>
      <x:c r="M53" s="48" t="str">
        <x:v>保留</x:v>
      </x:c>
      <x:c r="N53" s="48" t="str">
        <x:v>红岭大厦|1室0厅1|50|3500|南</x:v>
      </x:c>
      <x:c r="O53" s="48"/>
      <x:c r="P53" s="48" t="str">
        <x:v>未知（未逐条补齐）</x:v>
      </x:c>
      <x:c r="Q53" s="48" t="str">
        <x:v>https://shenzhen.leyoujia.com/zf/detail/NqVXJSFZVKgyooagvDn6zq.html</x:v>
      </x:c>
      <x:c r="R53" s="48" t="str">
        <x:v>2026-08-13</x:v>
      </x:c>
    </x:row>
    <x:row r="54">
      <x:c r="A54" s="48" t="str">
        <x:v>红岭大厦</x:v>
      </x:c>
      <x:c r="B54" s="48" t="str">
        <x:v>红岭大厦</x:v>
      </x:c>
      <x:c r="C54" s="48" t="str">
        <x:v>大剧院</x:v>
      </x:c>
      <x:c r="D54" s="56" t="n">
        <x:v>9</x:v>
      </x:c>
      <x:c r="E54" s="61" t="n">
        <x:v>3500</x:v>
      </x:c>
      <x:c r="F54" s="61" t="n">
        <x:v>45</x:v>
      </x:c>
      <x:c r="G54" s="61" t="n">
        <x:v>77.8</x:v>
      </x:c>
      <x:c r="H54" s="48" t="str">
        <x:v>1室0厅1</x:v>
      </x:c>
      <x:c r="I54" s="48" t="str">
        <x:v>南</x:v>
      </x:c>
      <x:c r="J54" s="48" t="str">
        <x:v>精装</x:v>
      </x:c>
      <x:c r="K54" s="48" t="str">
        <x:v>公寓</x:v>
      </x:c>
      <x:c r="L54" s="48" t="str">
        <x:v>否</x:v>
      </x:c>
      <x:c r="M54" s="48" t="str">
        <x:v>疑似重复挂牌</x:v>
      </x:c>
      <x:c r="N54" s="48" t="str">
        <x:v>红岭大厦|1室0厅1|45|3500|南</x:v>
      </x:c>
      <x:c r="O54" s="48"/>
      <x:c r="P54" s="48" t="str">
        <x:v>未知（未逐条补齐）</x:v>
      </x:c>
      <x:c r="Q54" s="48" t="str">
        <x:v>https://shenzhen.leyoujia.com/zf/detail/MSqqshmL2vjKGxboh1E9ML.html</x:v>
      </x:c>
      <x:c r="R54" s="48" t="str">
        <x:v>2026-08-13</x:v>
      </x:c>
    </x:row>
    <x:row r="55">
      <x:c r="A55" s="48" t="str">
        <x:v>红岭大厦</x:v>
      </x:c>
      <x:c r="B55" s="48" t="str">
        <x:v>红岭大厦</x:v>
      </x:c>
      <x:c r="C55" s="48" t="str">
        <x:v>大剧院</x:v>
      </x:c>
      <x:c r="D55" s="56" t="n">
        <x:v>9</x:v>
      </x:c>
      <x:c r="E55" s="61" t="n">
        <x:v>3500</x:v>
      </x:c>
      <x:c r="F55" s="61" t="n">
        <x:v>31</x:v>
      </x:c>
      <x:c r="G55" s="61" t="n">
        <x:v>112.9</x:v>
      </x:c>
      <x:c r="H55" s="48" t="str">
        <x:v>1室0厅1</x:v>
      </x:c>
      <x:c r="I55" s="48" t="str">
        <x:v>北</x:v>
      </x:c>
      <x:c r="J55" s="48" t="str">
        <x:v>精装</x:v>
      </x:c>
      <x:c r="K55" s="48" t="str">
        <x:v>酒店式公寓</x:v>
      </x:c>
      <x:c r="L55" s="48" t="str">
        <x:v>是</x:v>
      </x:c>
      <x:c r="M55" s="48" t="str">
        <x:v>保留</x:v>
      </x:c>
      <x:c r="N55" s="48" t="str">
        <x:v>红岭大厦|1室0厅1|31|3500|北</x:v>
      </x:c>
      <x:c r="O55" s="48"/>
      <x:c r="P55" s="48" t="str">
        <x:v>未知（未逐条补齐）</x:v>
      </x:c>
      <x:c r="Q55" s="48" t="str">
        <x:v>https://shenzhen.leyoujia.com/zf/detail/GghPFnAffnz2tCpUqNjdg.html</x:v>
      </x:c>
      <x:c r="R55" s="48" t="str">
        <x:v>2026-08-13</x:v>
      </x:c>
    </x:row>
    <x:row r="56">
      <x:c r="A56" s="48" t="str">
        <x:v>红岭大厦</x:v>
      </x:c>
      <x:c r="B56" s="48" t="str">
        <x:v>红岭大厦</x:v>
      </x:c>
      <x:c r="C56" s="48" t="str">
        <x:v>大剧院</x:v>
      </x:c>
      <x:c r="D56" s="56" t="n">
        <x:v>9</x:v>
      </x:c>
      <x:c r="E56" s="61" t="n">
        <x:v>3500</x:v>
      </x:c>
      <x:c r="F56" s="61" t="n">
        <x:v>38</x:v>
      </x:c>
      <x:c r="G56" s="61" t="n">
        <x:v>92.1</x:v>
      </x:c>
      <x:c r="H56" s="48" t="str">
        <x:v>1室0厅0</x:v>
      </x:c>
      <x:c r="I56" s="48" t="str">
        <x:v>北</x:v>
      </x:c>
      <x:c r="J56" s="48" t="str">
        <x:v>待核</x:v>
      </x:c>
      <x:c r="K56" s="48" t="str">
        <x:v>酒店式公寓</x:v>
      </x:c>
      <x:c r="L56" s="48" t="str">
        <x:v>是</x:v>
      </x:c>
      <x:c r="M56" s="48" t="str">
        <x:v>保留</x:v>
      </x:c>
      <x:c r="N56" s="48" t="str">
        <x:v>红岭大厦|1室0厅0|38|3500|北</x:v>
      </x:c>
      <x:c r="O56" s="48"/>
      <x:c r="P56" s="48" t="str">
        <x:v>未知（未逐条补齐）</x:v>
      </x:c>
      <x:c r="Q56" s="48" t="str">
        <x:v>https://shenzhen.leyoujia.com/zf/detail/SdduJopBbCFmRsvKbEPFiX.html</x:v>
      </x:c>
      <x:c r="R56" s="48" t="str">
        <x:v>2026-08-13</x:v>
      </x:c>
    </x:row>
    <x:row r="57">
      <x:c r="A57" s="48" t="str">
        <x:v>红岭大厦</x:v>
      </x:c>
      <x:c r="B57" s="48" t="str">
        <x:v>红岭大厦</x:v>
      </x:c>
      <x:c r="C57" s="48" t="str">
        <x:v>大剧院</x:v>
      </x:c>
      <x:c r="D57" s="56" t="n">
        <x:v>9</x:v>
      </x:c>
      <x:c r="E57" s="61" t="n">
        <x:v>3500</x:v>
      </x:c>
      <x:c r="F57" s="61" t="n">
        <x:v>45</x:v>
      </x:c>
      <x:c r="G57" s="61" t="n">
        <x:v>77.8</x:v>
      </x:c>
      <x:c r="H57" s="48" t="str">
        <x:v>1室0厅1</x:v>
      </x:c>
      <x:c r="I57" s="48" t="str">
        <x:v>北</x:v>
      </x:c>
      <x:c r="J57" s="48" t="str">
        <x:v>待核</x:v>
      </x:c>
      <x:c r="K57" s="48" t="str">
        <x:v>酒店式公寓</x:v>
      </x:c>
      <x:c r="L57" s="48" t="str">
        <x:v>是</x:v>
      </x:c>
      <x:c r="M57" s="48" t="str">
        <x:v>保留</x:v>
      </x:c>
      <x:c r="N57" s="48" t="str">
        <x:v>红岭大厦|1室0厅1|45|3500|北</x:v>
      </x:c>
      <x:c r="O57" s="48"/>
      <x:c r="P57" s="48" t="str">
        <x:v>未知（未逐条补齐）</x:v>
      </x:c>
      <x:c r="Q57" s="48" t="str">
        <x:v>https://shenzhen.leyoujia.com/zf/detail/Ua2yJ8soCoDzHspjKWeWTB.html</x:v>
      </x:c>
      <x:c r="R57" s="48" t="str">
        <x:v>2026-08-13</x:v>
      </x:c>
    </x:row>
    <x:row r="58">
      <x:c r="A58" s="48" t="str">
        <x:v>红岭大厦</x:v>
      </x:c>
      <x:c r="B58" s="48" t="str">
        <x:v>红岭大厦</x:v>
      </x:c>
      <x:c r="C58" s="48" t="str">
        <x:v>大剧院</x:v>
      </x:c>
      <x:c r="D58" s="56" t="n">
        <x:v>9</x:v>
      </x:c>
      <x:c r="E58" s="61" t="n">
        <x:v>3500</x:v>
      </x:c>
      <x:c r="F58" s="61" t="n">
        <x:v>38</x:v>
      </x:c>
      <x:c r="G58" s="61" t="n">
        <x:v>92.1</x:v>
      </x:c>
      <x:c r="H58" s="48" t="str">
        <x:v>1室0厅1</x:v>
      </x:c>
      <x:c r="I58" s="48" t="str">
        <x:v>南</x:v>
      </x:c>
      <x:c r="J58" s="48" t="str">
        <x:v>待核</x:v>
      </x:c>
      <x:c r="K58" s="48" t="str">
        <x:v>酒店式公寓</x:v>
      </x:c>
      <x:c r="L58" s="48" t="str">
        <x:v>否</x:v>
      </x:c>
      <x:c r="M58" s="48" t="str">
        <x:v>疑似重复挂牌</x:v>
      </x:c>
      <x:c r="N58" s="48" t="str">
        <x:v>红岭大厦|1室0厅1|38|3500|南</x:v>
      </x:c>
      <x:c r="O58" s="48"/>
      <x:c r="P58" s="48" t="str">
        <x:v>未知（未逐条补齐）</x:v>
      </x:c>
      <x:c r="Q58" s="48" t="str">
        <x:v>https://shenzhen.leyoujia.com/zf/detail/4FhKN7Uo512pxjC6oTQz6b.html</x:v>
      </x:c>
      <x:c r="R58" s="48" t="str">
        <x:v>2026-08-13</x:v>
      </x:c>
    </x:row>
    <x:row r="59">
      <x:c r="A59" s="48" t="str">
        <x:v>红岭大厦</x:v>
      </x:c>
      <x:c r="B59" s="48" t="str">
        <x:v>红岭大厦</x:v>
      </x:c>
      <x:c r="C59" s="48" t="str">
        <x:v>大剧院</x:v>
      </x:c>
      <x:c r="D59" s="56" t="n">
        <x:v>9</x:v>
      </x:c>
      <x:c r="E59" s="61" t="n">
        <x:v>3500</x:v>
      </x:c>
      <x:c r="F59" s="61" t="n">
        <x:v>45</x:v>
      </x:c>
      <x:c r="G59" s="61" t="n">
        <x:v>77.8</x:v>
      </x:c>
      <x:c r="H59" s="48" t="str">
        <x:v>1室0厅1</x:v>
      </x:c>
      <x:c r="I59" s="48" t="str">
        <x:v>北</x:v>
      </x:c>
      <x:c r="J59" s="48" t="str">
        <x:v>精装</x:v>
      </x:c>
      <x:c r="K59" s="48" t="str">
        <x:v>普通住宅</x:v>
      </x:c>
      <x:c r="L59" s="48" t="str">
        <x:v>否</x:v>
      </x:c>
      <x:c r="M59" s="48" t="str">
        <x:v>疑似重复挂牌</x:v>
      </x:c>
      <x:c r="N59" s="48" t="str">
        <x:v>红岭大厦|1室0厅1|45|3500|北</x:v>
      </x:c>
      <x:c r="O59" s="48"/>
      <x:c r="P59" s="48" t="str">
        <x:v>未知（未逐条补齐）</x:v>
      </x:c>
      <x:c r="Q59" s="48" t="str">
        <x:v>https://shenzhen.leyoujia.com/zf/detail/DDXCvbaEofDNSphnvMWYmV.html</x:v>
      </x:c>
      <x:c r="R59" s="48" t="str">
        <x:v>2026-08-13</x:v>
      </x:c>
    </x:row>
    <x:row r="60">
      <x:c r="A60" s="48" t="str">
        <x:v>红岭大厦</x:v>
      </x:c>
      <x:c r="B60" s="48" t="str">
        <x:v>红岭大厦</x:v>
      </x:c>
      <x:c r="C60" s="48" t="str">
        <x:v>大剧院</x:v>
      </x:c>
      <x:c r="D60" s="56" t="n">
        <x:v>9</x:v>
      </x:c>
      <x:c r="E60" s="61" t="n">
        <x:v>3500</x:v>
      </x:c>
      <x:c r="F60" s="61" t="n">
        <x:v>40</x:v>
      </x:c>
      <x:c r="G60" s="61" t="n">
        <x:v>87.5</x:v>
      </x:c>
      <x:c r="H60" s="48" t="str">
        <x:v>1室0厅1</x:v>
      </x:c>
      <x:c r="I60" s="48" t="str">
        <x:v>东</x:v>
      </x:c>
      <x:c r="J60" s="48" t="str">
        <x:v>普装</x:v>
      </x:c>
      <x:c r="K60" s="48" t="str">
        <x:v>酒店式公寓</x:v>
      </x:c>
      <x:c r="L60" s="48" t="str">
        <x:v>是</x:v>
      </x:c>
      <x:c r="M60" s="48" t="str">
        <x:v>保留</x:v>
      </x:c>
      <x:c r="N60" s="48" t="str">
        <x:v>红岭大厦|1室0厅1|40|3500|东</x:v>
      </x:c>
      <x:c r="O60" s="48"/>
      <x:c r="P60" s="48" t="str">
        <x:v>未知（未逐条补齐）</x:v>
      </x:c>
      <x:c r="Q60" s="48" t="str">
        <x:v>https://shenzhen.leyoujia.com/zf/detail/DjGepeakYFH1FJ7FZaygTF.html</x:v>
      </x:c>
      <x:c r="R60" s="48" t="str">
        <x:v>2026-08-13</x:v>
      </x:c>
    </x:row>
    <x:row r="61">
      <x:c r="A61" s="48" t="str">
        <x:v>红岭大厦</x:v>
      </x:c>
      <x:c r="B61" s="48" t="str">
        <x:v>红岭大厦</x:v>
      </x:c>
      <x:c r="C61" s="48" t="str">
        <x:v>大剧院</x:v>
      </x:c>
      <x:c r="D61" s="56" t="n">
        <x:v>9</x:v>
      </x:c>
      <x:c r="E61" s="61" t="n">
        <x:v>3500</x:v>
      </x:c>
      <x:c r="F61" s="61" t="n">
        <x:v>45</x:v>
      </x:c>
      <x:c r="G61" s="61" t="n">
        <x:v>77.8</x:v>
      </x:c>
      <x:c r="H61" s="48" t="str">
        <x:v>1室0厅1</x:v>
      </x:c>
      <x:c r="I61" s="48" t="str">
        <x:v>北</x:v>
      </x:c>
      <x:c r="J61" s="48" t="str">
        <x:v>精装</x:v>
      </x:c>
      <x:c r="K61" s="48" t="str">
        <x:v>普通住宅</x:v>
      </x:c>
      <x:c r="L61" s="48" t="str">
        <x:v>否</x:v>
      </x:c>
      <x:c r="M61" s="48" t="str">
        <x:v>疑似重复挂牌</x:v>
      </x:c>
      <x:c r="N61" s="48" t="str">
        <x:v>红岭大厦|1室0厅1|45|3500|北</x:v>
      </x:c>
      <x:c r="O61" s="48"/>
      <x:c r="P61" s="48" t="str">
        <x:v>未知（未逐条补齐）</x:v>
      </x:c>
      <x:c r="Q61" s="48" t="str">
        <x:v>https://shenzhen.leyoujia.com/zf/detail/7LihXMLuj6ktazjb88bYrA.html</x:v>
      </x:c>
      <x:c r="R61" s="48" t="str">
        <x:v>2026-08-13</x:v>
      </x:c>
    </x:row>
    <x:row r="62">
      <x:c r="A62" s="48" t="str">
        <x:v>红岭大厦</x:v>
      </x:c>
      <x:c r="B62" s="48" t="str">
        <x:v>红岭大厦</x:v>
      </x:c>
      <x:c r="C62" s="48" t="str">
        <x:v>大剧院</x:v>
      </x:c>
      <x:c r="D62" s="56" t="n">
        <x:v>9</x:v>
      </x:c>
      <x:c r="E62" s="61" t="n">
        <x:v>3500</x:v>
      </x:c>
      <x:c r="F62" s="61" t="n">
        <x:v>41</x:v>
      </x:c>
      <x:c r="G62" s="61" t="n">
        <x:v>85.4</x:v>
      </x:c>
      <x:c r="H62" s="48" t="str">
        <x:v>1室0厅1</x:v>
      </x:c>
      <x:c r="I62" s="48" t="str">
        <x:v>南</x:v>
      </x:c>
      <x:c r="J62" s="48" t="str">
        <x:v>精装</x:v>
      </x:c>
      <x:c r="K62" s="48" t="str">
        <x:v>公寓</x:v>
      </x:c>
      <x:c r="L62" s="48" t="str">
        <x:v>否</x:v>
      </x:c>
      <x:c r="M62" s="48" t="str">
        <x:v>疑似重复挂牌</x:v>
      </x:c>
      <x:c r="N62" s="48" t="str">
        <x:v>红岭大厦|1室0厅1|41|3500|南</x:v>
      </x:c>
      <x:c r="O62" s="48"/>
      <x:c r="P62" s="48" t="str">
        <x:v>未知（未逐条补齐）</x:v>
      </x:c>
      <x:c r="Q62" s="48" t="str">
        <x:v>https://shenzhen.leyoujia.com/zf/detail/oTogFZJZfu4KwNRQ4a3pE.html</x:v>
      </x:c>
      <x:c r="R62" s="48" t="str">
        <x:v>2026-08-13</x:v>
      </x:c>
    </x:row>
    <x:row r="63">
      <x:c r="A63" s="48" t="str">
        <x:v>红岭大厦</x:v>
      </x:c>
      <x:c r="B63" s="48" t="str">
        <x:v>红岭大厦</x:v>
      </x:c>
      <x:c r="C63" s="48" t="str">
        <x:v>大剧院</x:v>
      </x:c>
      <x:c r="D63" s="56" t="n">
        <x:v>9</x:v>
      </x:c>
      <x:c r="E63" s="61" t="n">
        <x:v>3500</x:v>
      </x:c>
      <x:c r="F63" s="61" t="n">
        <x:v>41</x:v>
      </x:c>
      <x:c r="G63" s="61" t="n">
        <x:v>85.4</x:v>
      </x:c>
      <x:c r="H63" s="48" t="str">
        <x:v>1室0厅1</x:v>
      </x:c>
      <x:c r="I63" s="48" t="str">
        <x:v>北</x:v>
      </x:c>
      <x:c r="J63" s="48" t="str">
        <x:v>精装</x:v>
      </x:c>
      <x:c r="K63" s="48" t="str">
        <x:v>酒店式公寓</x:v>
      </x:c>
      <x:c r="L63" s="48" t="str">
        <x:v>是</x:v>
      </x:c>
      <x:c r="M63" s="48" t="str">
        <x:v>保留</x:v>
      </x:c>
      <x:c r="N63" s="48" t="str">
        <x:v>红岭大厦|1室0厅1|41|3500|北</x:v>
      </x:c>
      <x:c r="O63" s="48"/>
      <x:c r="P63" s="48" t="str">
        <x:v>未知（未逐条补齐）</x:v>
      </x:c>
      <x:c r="Q63" s="48" t="str">
        <x:v>https://shenzhen.leyoujia.com/zf/detail/GhMCtRqwDGFMKapx4rr3af.html</x:v>
      </x:c>
      <x:c r="R63" s="48" t="str">
        <x:v>2026-08-13</x:v>
      </x:c>
    </x:row>
    <x:row r="64">
      <x:c r="A64" s="48" t="str">
        <x:v>红岭大厦</x:v>
      </x:c>
      <x:c r="B64" s="48" t="str">
        <x:v>红岭大厦</x:v>
      </x:c>
      <x:c r="C64" s="48" t="str">
        <x:v>大剧院</x:v>
      </x:c>
      <x:c r="D64" s="56" t="n">
        <x:v>9</x:v>
      </x:c>
      <x:c r="E64" s="61" t="n">
        <x:v>3500</x:v>
      </x:c>
      <x:c r="F64" s="61" t="n">
        <x:v>38</x:v>
      </x:c>
      <x:c r="G64" s="61" t="n">
        <x:v>92.1</x:v>
      </x:c>
      <x:c r="H64" s="48" t="str">
        <x:v>1室0厅1</x:v>
      </x:c>
      <x:c r="I64" s="48" t="str">
        <x:v>南</x:v>
      </x:c>
      <x:c r="J64" s="48" t="str">
        <x:v>精装</x:v>
      </x:c>
      <x:c r="K64" s="48" t="str">
        <x:v>普通住宅</x:v>
      </x:c>
      <x:c r="L64" s="48" t="str">
        <x:v>否</x:v>
      </x:c>
      <x:c r="M64" s="48" t="str">
        <x:v>疑似重复挂牌</x:v>
      </x:c>
      <x:c r="N64" s="48" t="str">
        <x:v>红岭大厦|1室0厅1|38|3500|南</x:v>
      </x:c>
      <x:c r="O64" s="48"/>
      <x:c r="P64" s="48" t="str">
        <x:v>未知（未逐条补齐）</x:v>
      </x:c>
      <x:c r="Q64" s="48" t="str">
        <x:v>https://shenzhen.leyoujia.com/zf/detail/2LNFXDZayvD2PwMgZ996RP.html</x:v>
      </x:c>
      <x:c r="R64" s="48" t="str">
        <x:v>2026-08-13</x:v>
      </x:c>
    </x:row>
    <x:row r="65">
      <x:c r="A65" s="48" t="str">
        <x:v>红岭大厦</x:v>
      </x:c>
      <x:c r="B65" s="48" t="str">
        <x:v>红岭大厦</x:v>
      </x:c>
      <x:c r="C65" s="48" t="str">
        <x:v>大剧院</x:v>
      </x:c>
      <x:c r="D65" s="56" t="n">
        <x:v>9</x:v>
      </x:c>
      <x:c r="E65" s="61" t="n">
        <x:v>3500</x:v>
      </x:c>
      <x:c r="F65" s="61" t="n">
        <x:v>38</x:v>
      </x:c>
      <x:c r="G65" s="61" t="n">
        <x:v>92.1</x:v>
      </x:c>
      <x:c r="H65" s="48" t="str">
        <x:v>1室0厅1</x:v>
      </x:c>
      <x:c r="I65" s="48" t="str">
        <x:v>南</x:v>
      </x:c>
      <x:c r="J65" s="48" t="str">
        <x:v>精装</x:v>
      </x:c>
      <x:c r="K65" s="48" t="str">
        <x:v>公寓</x:v>
      </x:c>
      <x:c r="L65" s="48" t="str">
        <x:v>否</x:v>
      </x:c>
      <x:c r="M65" s="48" t="str">
        <x:v>疑似重复挂牌</x:v>
      </x:c>
      <x:c r="N65" s="48" t="str">
        <x:v>红岭大厦|1室0厅1|38|3500|南</x:v>
      </x:c>
      <x:c r="O65" s="48"/>
      <x:c r="P65" s="48" t="str">
        <x:v>未知（未逐条补齐）</x:v>
      </x:c>
      <x:c r="Q65" s="48" t="str">
        <x:v>https://shenzhen.leyoujia.com/zf/detail/BNzXTXwja4iR6buxjLET2T.html</x:v>
      </x:c>
      <x:c r="R65" s="48" t="str">
        <x:v>2026-08-13</x:v>
      </x:c>
    </x:row>
    <x:row r="66">
      <x:c r="A66" s="48" t="str">
        <x:v>红岭大厦</x:v>
      </x:c>
      <x:c r="B66" s="48" t="str">
        <x:v>红岭大厦</x:v>
      </x:c>
      <x:c r="C66" s="48" t="str">
        <x:v>大剧院</x:v>
      </x:c>
      <x:c r="D66" s="56" t="n">
        <x:v>9</x:v>
      </x:c>
      <x:c r="E66" s="61" t="n">
        <x:v>3500</x:v>
      </x:c>
      <x:c r="F66" s="61" t="n">
        <x:v>45</x:v>
      </x:c>
      <x:c r="G66" s="61" t="n">
        <x:v>77.8</x:v>
      </x:c>
      <x:c r="H66" s="48" t="str">
        <x:v>1室0厅1</x:v>
      </x:c>
      <x:c r="I66" s="48" t="str">
        <x:v>南</x:v>
      </x:c>
      <x:c r="J66" s="48" t="str">
        <x:v>精装</x:v>
      </x:c>
      <x:c r="K66" s="48" t="str">
        <x:v>普通住宅</x:v>
      </x:c>
      <x:c r="L66" s="48" t="str">
        <x:v>否</x:v>
      </x:c>
      <x:c r="M66" s="48" t="str">
        <x:v>疑似重复挂牌</x:v>
      </x:c>
      <x:c r="N66" s="48" t="str">
        <x:v>红岭大厦|1室0厅1|45|3500|南</x:v>
      </x:c>
      <x:c r="O66" s="48"/>
      <x:c r="P66" s="48" t="str">
        <x:v>未知（未逐条补齐）</x:v>
      </x:c>
      <x:c r="Q66" s="48" t="str">
        <x:v>https://shenzhen.leyoujia.com/zf/detail/3mPbYKMmzyukMHCbqU4cr9.html</x:v>
      </x:c>
      <x:c r="R66" s="48" t="str">
        <x:v>2026-08-13</x:v>
      </x:c>
    </x:row>
    <x:row r="67">
      <x:c r="A67" s="48" t="str">
        <x:v>红岭大厦</x:v>
      </x:c>
      <x:c r="B67" s="48" t="str">
        <x:v>红岭大厦</x:v>
      </x:c>
      <x:c r="C67" s="48" t="str">
        <x:v>大剧院</x:v>
      </x:c>
      <x:c r="D67" s="56" t="n">
        <x:v>9</x:v>
      </x:c>
      <x:c r="E67" s="61" t="n">
        <x:v>3500</x:v>
      </x:c>
      <x:c r="F67" s="61" t="n">
        <x:v>45</x:v>
      </x:c>
      <x:c r="G67" s="61" t="n">
        <x:v>77.8</x:v>
      </x:c>
      <x:c r="H67" s="48" t="str">
        <x:v>1室0厅1</x:v>
      </x:c>
      <x:c r="I67" s="48" t="str">
        <x:v>东北</x:v>
      </x:c>
      <x:c r="J67" s="48" t="str">
        <x:v>普装</x:v>
      </x:c>
      <x:c r="K67" s="48" t="str">
        <x:v>普通住宅</x:v>
      </x:c>
      <x:c r="L67" s="48" t="str">
        <x:v>是</x:v>
      </x:c>
      <x:c r="M67" s="48" t="str">
        <x:v>保留</x:v>
      </x:c>
      <x:c r="N67" s="48" t="str">
        <x:v>红岭大厦|1室0厅1|45|3500|东北</x:v>
      </x:c>
      <x:c r="O67" s="48"/>
      <x:c r="P67" s="48" t="str">
        <x:v>未知（未逐条补齐）</x:v>
      </x:c>
      <x:c r="Q67" s="48" t="str">
        <x:v>https://shenzhen.leyoujia.com/zf/detail/R9TtASswQNk9gB9ZZtUQ9N.html</x:v>
      </x:c>
      <x:c r="R67" s="48" t="str">
        <x:v>2026-08-13</x:v>
      </x:c>
    </x:row>
    <x:row r="68">
      <x:c r="A68" s="48" t="str">
        <x:v>红岭大厦</x:v>
      </x:c>
      <x:c r="B68" s="48" t="str">
        <x:v>红岭大厦</x:v>
      </x:c>
      <x:c r="C68" s="48" t="str">
        <x:v>大剧院</x:v>
      </x:c>
      <x:c r="D68" s="56" t="n">
        <x:v>9</x:v>
      </x:c>
      <x:c r="E68" s="61" t="n">
        <x:v>3500</x:v>
      </x:c>
      <x:c r="F68" s="61" t="n">
        <x:v>45</x:v>
      </x:c>
      <x:c r="G68" s="61" t="n">
        <x:v>77.8</x:v>
      </x:c>
      <x:c r="H68" s="48" t="str">
        <x:v>1室0厅1</x:v>
      </x:c>
      <x:c r="I68" s="48" t="str">
        <x:v>北</x:v>
      </x:c>
      <x:c r="J68" s="48" t="str">
        <x:v>精装</x:v>
      </x:c>
      <x:c r="K68" s="48" t="str">
        <x:v>公寓</x:v>
      </x:c>
      <x:c r="L68" s="48" t="str">
        <x:v>否</x:v>
      </x:c>
      <x:c r="M68" s="48" t="str">
        <x:v>疑似重复挂牌</x:v>
      </x:c>
      <x:c r="N68" s="48" t="str">
        <x:v>红岭大厦|1室0厅1|45|3500|北</x:v>
      </x:c>
      <x:c r="O68" s="48"/>
      <x:c r="P68" s="48" t="str">
        <x:v>未知（未逐条补齐）</x:v>
      </x:c>
      <x:c r="Q68" s="48" t="str">
        <x:v>https://shenzhen.leyoujia.com/zf/detail/RNU1Q8p6CMHXGenUcvvaFz.html</x:v>
      </x:c>
      <x:c r="R68" s="48" t="str">
        <x:v>2026-08-13</x:v>
      </x:c>
    </x:row>
    <x:row r="69">
      <x:c r="A69" s="48" t="str">
        <x:v>红岭大厦</x:v>
      </x:c>
      <x:c r="B69" s="48" t="str">
        <x:v>红岭大厦</x:v>
      </x:c>
      <x:c r="C69" s="48" t="str">
        <x:v>大剧院</x:v>
      </x:c>
      <x:c r="D69" s="56" t="n">
        <x:v>9</x:v>
      </x:c>
      <x:c r="E69" s="61" t="n">
        <x:v>3500</x:v>
      </x:c>
      <x:c r="F69" s="61" t="n">
        <x:v>40</x:v>
      </x:c>
      <x:c r="G69" s="61" t="n">
        <x:v>87.5</x:v>
      </x:c>
      <x:c r="H69" s="48" t="str">
        <x:v>1室0厅1</x:v>
      </x:c>
      <x:c r="I69" s="48" t="str">
        <x:v>南</x:v>
      </x:c>
      <x:c r="J69" s="48" t="str">
        <x:v>精装</x:v>
      </x:c>
      <x:c r="K69" s="48" t="str">
        <x:v>普通住宅</x:v>
      </x:c>
      <x:c r="L69" s="48" t="str">
        <x:v>是</x:v>
      </x:c>
      <x:c r="M69" s="48" t="str">
        <x:v>保留</x:v>
      </x:c>
      <x:c r="N69" s="48" t="str">
        <x:v>红岭大厦|1室0厅1|40|3500|南</x:v>
      </x:c>
      <x:c r="O69" s="48"/>
      <x:c r="P69" s="48" t="str">
        <x:v>未知（未逐条补齐）</x:v>
      </x:c>
      <x:c r="Q69" s="48" t="str">
        <x:v>https://shenzhen.leyoujia.com/zf/detail/NgVCfoYgS3AV7vqnV6YxAP.html</x:v>
      </x:c>
      <x:c r="R69" s="48" t="str">
        <x:v>2026-08-13</x:v>
      </x:c>
    </x:row>
    <x:row r="70">
      <x:c r="A70" s="48" t="str">
        <x:v>红岭大厦</x:v>
      </x:c>
      <x:c r="B70" s="48" t="str">
        <x:v>红岭大厦</x:v>
      </x:c>
      <x:c r="C70" s="48" t="str">
        <x:v>大剧院</x:v>
      </x:c>
      <x:c r="D70" s="56" t="n">
        <x:v>9</x:v>
      </x:c>
      <x:c r="E70" s="61" t="n">
        <x:v>3500</x:v>
      </x:c>
      <x:c r="F70" s="61" t="n">
        <x:v>45</x:v>
      </x:c>
      <x:c r="G70" s="61" t="n">
        <x:v>77.8</x:v>
      </x:c>
      <x:c r="H70" s="48" t="str">
        <x:v>1室0厅1</x:v>
      </x:c>
      <x:c r="I70" s="48" t="str">
        <x:v>南</x:v>
      </x:c>
      <x:c r="J70" s="48" t="str">
        <x:v>精装</x:v>
      </x:c>
      <x:c r="K70" s="48" t="str">
        <x:v>公寓</x:v>
      </x:c>
      <x:c r="L70" s="48" t="str">
        <x:v>否</x:v>
      </x:c>
      <x:c r="M70" s="48" t="str">
        <x:v>疑似重复挂牌</x:v>
      </x:c>
      <x:c r="N70" s="48" t="str">
        <x:v>红岭大厦|1室0厅1|45|3500|南</x:v>
      </x:c>
      <x:c r="O70" s="48"/>
      <x:c r="P70" s="48" t="str">
        <x:v>未知（未逐条补齐）</x:v>
      </x:c>
      <x:c r="Q70" s="48" t="str">
        <x:v>https://shenzhen.leyoujia.com/zf/detail/JzdLZ3ppFufKt8yAfKEseb.html</x:v>
      </x:c>
      <x:c r="R70" s="48" t="str">
        <x:v>2026-08-13</x:v>
      </x:c>
    </x:row>
    <x:row r="71">
      <x:c r="A71" s="48" t="str">
        <x:v>红岭大厦</x:v>
      </x:c>
      <x:c r="B71" s="48" t="str">
        <x:v>红岭大厦</x:v>
      </x:c>
      <x:c r="C71" s="48" t="str">
        <x:v>大剧院</x:v>
      </x:c>
      <x:c r="D71" s="56" t="n">
        <x:v>9</x:v>
      </x:c>
      <x:c r="E71" s="61" t="n">
        <x:v>3500</x:v>
      </x:c>
      <x:c r="F71" s="61" t="n">
        <x:v>45</x:v>
      </x:c>
      <x:c r="G71" s="61" t="n">
        <x:v>77.8</x:v>
      </x:c>
      <x:c r="H71" s="48" t="str">
        <x:v>1室0厅1</x:v>
      </x:c>
      <x:c r="I71" s="48" t="str">
        <x:v>西</x:v>
      </x:c>
      <x:c r="J71" s="48" t="str">
        <x:v>精装</x:v>
      </x:c>
      <x:c r="K71" s="48" t="str">
        <x:v>公寓</x:v>
      </x:c>
      <x:c r="L71" s="48" t="str">
        <x:v>是</x:v>
      </x:c>
      <x:c r="M71" s="48" t="str">
        <x:v>保留</x:v>
      </x:c>
      <x:c r="N71" s="48" t="str">
        <x:v>红岭大厦|1室0厅1|45|3500|西</x:v>
      </x:c>
      <x:c r="O71" s="48"/>
      <x:c r="P71" s="48" t="str">
        <x:v>未知（未逐条补齐）</x:v>
      </x:c>
      <x:c r="Q71" s="48" t="str">
        <x:v>https://shenzhen.leyoujia.com/zf/detail/4HkqD69kVC3GoUCoqdAGmY.html</x:v>
      </x:c>
      <x:c r="R71" s="48" t="str">
        <x:v>2026-08-13</x:v>
      </x:c>
    </x:row>
    <x:row r="72">
      <x:c r="A72" s="48" t="str">
        <x:v>红岭大厦</x:v>
      </x:c>
      <x:c r="B72" s="48" t="str">
        <x:v>红岭大厦</x:v>
      </x:c>
      <x:c r="C72" s="48" t="str">
        <x:v>大剧院</x:v>
      </x:c>
      <x:c r="D72" s="56" t="n">
        <x:v>9</x:v>
      </x:c>
      <x:c r="E72" s="61" t="n">
        <x:v>3500</x:v>
      </x:c>
      <x:c r="F72" s="61" t="n">
        <x:v>45</x:v>
      </x:c>
      <x:c r="G72" s="61" t="n">
        <x:v>77.8</x:v>
      </x:c>
      <x:c r="H72" s="48" t="str">
        <x:v>1室0厅1</x:v>
      </x:c>
      <x:c r="I72" s="48" t="str">
        <x:v>南</x:v>
      </x:c>
      <x:c r="J72" s="48" t="str">
        <x:v>精装</x:v>
      </x:c>
      <x:c r="K72" s="48" t="str">
        <x:v>普通住宅</x:v>
      </x:c>
      <x:c r="L72" s="48" t="str">
        <x:v>否</x:v>
      </x:c>
      <x:c r="M72" s="48" t="str">
        <x:v>疑似重复挂牌</x:v>
      </x:c>
      <x:c r="N72" s="48" t="str">
        <x:v>红岭大厦|1室0厅1|45|3500|南</x:v>
      </x:c>
      <x:c r="O72" s="48"/>
      <x:c r="P72" s="48" t="str">
        <x:v>未知（未逐条补齐）</x:v>
      </x:c>
      <x:c r="Q72" s="48" t="str">
        <x:v>https://shenzhen.leyoujia.com/zf/detail/QuoXbPWZCYhGFiBDPYZWfo.html</x:v>
      </x:c>
      <x:c r="R72" s="48" t="str">
        <x:v>2026-08-13</x:v>
      </x:c>
    </x:row>
    <x:row r="73">
      <x:c r="A73" s="48" t="str">
        <x:v>红岭大厦</x:v>
      </x:c>
      <x:c r="B73" s="48" t="str">
        <x:v>红岭大厦</x:v>
      </x:c>
      <x:c r="C73" s="48" t="str">
        <x:v>大剧院</x:v>
      </x:c>
      <x:c r="D73" s="56" t="n">
        <x:v>9</x:v>
      </x:c>
      <x:c r="E73" s="61" t="n">
        <x:v>3500</x:v>
      </x:c>
      <x:c r="F73" s="61" t="n">
        <x:v>45</x:v>
      </x:c>
      <x:c r="G73" s="61" t="n">
        <x:v>77.8</x:v>
      </x:c>
      <x:c r="H73" s="48" t="str">
        <x:v>1室0厅1</x:v>
      </x:c>
      <x:c r="I73" s="48" t="str">
        <x:v>北</x:v>
      </x:c>
      <x:c r="J73" s="48" t="str">
        <x:v>精装</x:v>
      </x:c>
      <x:c r="K73" s="48" t="str">
        <x:v>普通住宅</x:v>
      </x:c>
      <x:c r="L73" s="48" t="str">
        <x:v>否</x:v>
      </x:c>
      <x:c r="M73" s="48" t="str">
        <x:v>疑似重复挂牌</x:v>
      </x:c>
      <x:c r="N73" s="48" t="str">
        <x:v>红岭大厦|1室0厅1|45|3500|北</x:v>
      </x:c>
      <x:c r="O73" s="48"/>
      <x:c r="P73" s="48" t="str">
        <x:v>未知（未逐条补齐）</x:v>
      </x:c>
      <x:c r="Q73" s="48" t="str">
        <x:v>https://shenzhen.leyoujia.com/zf/detail/Tycz6HdJ2zCBZKC3F2Mocw.html</x:v>
      </x:c>
      <x:c r="R73" s="48" t="str">
        <x:v>2026-08-13</x:v>
      </x:c>
    </x:row>
    <x:row r="74">
      <x:c r="A74" s="48" t="str">
        <x:v>红岭大厦</x:v>
      </x:c>
      <x:c r="B74" s="48" t="str">
        <x:v>红岭大厦</x:v>
      </x:c>
      <x:c r="C74" s="48" t="str">
        <x:v>大剧院</x:v>
      </x:c>
      <x:c r="D74" s="56" t="n">
        <x:v>9</x:v>
      </x:c>
      <x:c r="E74" s="61" t="n">
        <x:v>3500</x:v>
      </x:c>
      <x:c r="F74" s="61" t="n">
        <x:v>45</x:v>
      </x:c>
      <x:c r="G74" s="61" t="n">
        <x:v>77.8</x:v>
      </x:c>
      <x:c r="H74" s="48" t="str">
        <x:v>1室0厅1</x:v>
      </x:c>
      <x:c r="I74" s="48" t="str">
        <x:v>南</x:v>
      </x:c>
      <x:c r="J74" s="48" t="str">
        <x:v>精装</x:v>
      </x:c>
      <x:c r="K74" s="48" t="str">
        <x:v>普通住宅</x:v>
      </x:c>
      <x:c r="L74" s="48" t="str">
        <x:v>否</x:v>
      </x:c>
      <x:c r="M74" s="48" t="str">
        <x:v>疑似重复挂牌</x:v>
      </x:c>
      <x:c r="N74" s="48" t="str">
        <x:v>红岭大厦|1室0厅1|45|3500|南</x:v>
      </x:c>
      <x:c r="O74" s="48"/>
      <x:c r="P74" s="48" t="str">
        <x:v>未知（未逐条补齐）</x:v>
      </x:c>
      <x:c r="Q74" s="48" t="str">
        <x:v>https://shenzhen.leyoujia.com/zf/detail/RCocxxi1fxBz9JwacyeLq1.html</x:v>
      </x:c>
      <x:c r="R74" s="48" t="str">
        <x:v>2026-08-13</x:v>
      </x:c>
    </x:row>
    <x:row r="75">
      <x:c r="A75" s="48" t="str">
        <x:v>红岭大厦</x:v>
      </x:c>
      <x:c r="B75" s="48" t="str">
        <x:v>红岭大厦</x:v>
      </x:c>
      <x:c r="C75" s="48" t="str">
        <x:v>大剧院</x:v>
      </x:c>
      <x:c r="D75" s="56" t="n">
        <x:v>9</x:v>
      </x:c>
      <x:c r="E75" s="61" t="n">
        <x:v>3500</x:v>
      </x:c>
      <x:c r="F75" s="61" t="n">
        <x:v>41</x:v>
      </x:c>
      <x:c r="G75" s="61" t="n">
        <x:v>85.4</x:v>
      </x:c>
      <x:c r="H75" s="48" t="str">
        <x:v>1室0厅1</x:v>
      </x:c>
      <x:c r="I75" s="48" t="str">
        <x:v>北</x:v>
      </x:c>
      <x:c r="J75" s="48" t="str">
        <x:v>精装</x:v>
      </x:c>
      <x:c r="K75" s="48" t="str">
        <x:v>酒店式公寓</x:v>
      </x:c>
      <x:c r="L75" s="48" t="str">
        <x:v>否</x:v>
      </x:c>
      <x:c r="M75" s="48" t="str">
        <x:v>疑似重复挂牌</x:v>
      </x:c>
      <x:c r="N75" s="48" t="str">
        <x:v>红岭大厦|1室0厅1|41|3500|北</x:v>
      </x:c>
      <x:c r="O75" s="48"/>
      <x:c r="P75" s="48" t="str">
        <x:v>未知（未逐条补齐）</x:v>
      </x:c>
      <x:c r="Q75" s="48" t="str">
        <x:v>https://shenzhen.leyoujia.com/zf/detail/SSpD6Q4LrRwfTACBTWZdbP.html</x:v>
      </x:c>
      <x:c r="R75" s="48" t="str">
        <x:v>2026-08-13</x:v>
      </x:c>
    </x:row>
    <x:row r="76">
      <x:c r="A76" s="48" t="str">
        <x:v>红岭大厦</x:v>
      </x:c>
      <x:c r="B76" s="48" t="str">
        <x:v>红岭大厦</x:v>
      </x:c>
      <x:c r="C76" s="48" t="str">
        <x:v>大剧院</x:v>
      </x:c>
      <x:c r="D76" s="56" t="n">
        <x:v>9</x:v>
      </x:c>
      <x:c r="E76" s="61" t="n">
        <x:v>3500</x:v>
      </x:c>
      <x:c r="F76" s="61" t="n">
        <x:v>49</x:v>
      </x:c>
      <x:c r="G76" s="61" t="n">
        <x:v>71.4</x:v>
      </x:c>
      <x:c r="H76" s="48" t="str">
        <x:v>1室0厅1</x:v>
      </x:c>
      <x:c r="I76" s="48" t="str">
        <x:v>东</x:v>
      </x:c>
      <x:c r="J76" s="48" t="str">
        <x:v>精装</x:v>
      </x:c>
      <x:c r="K76" s="48" t="str">
        <x:v>酒店式公寓</x:v>
      </x:c>
      <x:c r="L76" s="48" t="str">
        <x:v>是</x:v>
      </x:c>
      <x:c r="M76" s="48" t="str">
        <x:v>保留</x:v>
      </x:c>
      <x:c r="N76" s="48" t="str">
        <x:v>红岭大厦|1室0厅1|49|3500|东</x:v>
      </x:c>
      <x:c r="O76" s="48"/>
      <x:c r="P76" s="48" t="str">
        <x:v>未知（未逐条补齐）</x:v>
      </x:c>
      <x:c r="Q76" s="48" t="str">
        <x:v>https://shenzhen.leyoujia.com/zf/detail/H58YTAurZaa7bS7XtfMBNN.html</x:v>
      </x:c>
      <x:c r="R76" s="48" t="str">
        <x:v>2026-08-13</x:v>
      </x:c>
    </x:row>
    <x:row r="77">
      <x:c r="A77" s="48" t="str">
        <x:v>红岭大厦</x:v>
      </x:c>
      <x:c r="B77" s="48" t="str">
        <x:v>红岭大厦</x:v>
      </x:c>
      <x:c r="C77" s="48" t="str">
        <x:v>大剧院</x:v>
      </x:c>
      <x:c r="D77" s="56" t="n">
        <x:v>9</x:v>
      </x:c>
      <x:c r="E77" s="61" t="n">
        <x:v>3600</x:v>
      </x:c>
      <x:c r="F77" s="61" t="n">
        <x:v>38</x:v>
      </x:c>
      <x:c r="G77" s="61" t="n">
        <x:v>94.7</x:v>
      </x:c>
      <x:c r="H77" s="48" t="str">
        <x:v>1室0厅1</x:v>
      </x:c>
      <x:c r="I77" s="48" t="str">
        <x:v>北</x:v>
      </x:c>
      <x:c r="J77" s="48" t="str">
        <x:v>精装</x:v>
      </x:c>
      <x:c r="K77" s="48" t="str">
        <x:v>酒店式公寓</x:v>
      </x:c>
      <x:c r="L77" s="48" t="str">
        <x:v>是</x:v>
      </x:c>
      <x:c r="M77" s="48" t="str">
        <x:v>保留</x:v>
      </x:c>
      <x:c r="N77" s="48" t="str">
        <x:v>红岭大厦|1室0厅1|38|3600|北</x:v>
      </x:c>
      <x:c r="O77" s="48"/>
      <x:c r="P77" s="48" t="str">
        <x:v>未知（未逐条补齐）</x:v>
      </x:c>
      <x:c r="Q77" s="48" t="str">
        <x:v>https://shenzhen.leyoujia.com/zf/detail/QsxqZiVALtShpBwWLQrJnK.html</x:v>
      </x:c>
      <x:c r="R77" s="48" t="str">
        <x:v>2026-08-13</x:v>
      </x:c>
    </x:row>
    <x:row r="78">
      <x:c r="A78" s="48" t="str">
        <x:v>红岭大厦</x:v>
      </x:c>
      <x:c r="B78" s="48" t="str">
        <x:v>红岭大厦</x:v>
      </x:c>
      <x:c r="C78" s="48" t="str">
        <x:v>大剧院</x:v>
      </x:c>
      <x:c r="D78" s="56" t="n">
        <x:v>9</x:v>
      </x:c>
      <x:c r="E78" s="61" t="n">
        <x:v>3600</x:v>
      </x:c>
      <x:c r="F78" s="61" t="n">
        <x:v>45</x:v>
      </x:c>
      <x:c r="G78" s="61" t="n">
        <x:v>80</x:v>
      </x:c>
      <x:c r="H78" s="48" t="str">
        <x:v>1室0厅1</x:v>
      </x:c>
      <x:c r="I78" s="48" t="str">
        <x:v>东</x:v>
      </x:c>
      <x:c r="J78" s="48" t="str">
        <x:v>待核</x:v>
      </x:c>
      <x:c r="K78" s="48" t="str">
        <x:v>普通住宅</x:v>
      </x:c>
      <x:c r="L78" s="48" t="str">
        <x:v>是</x:v>
      </x:c>
      <x:c r="M78" s="48" t="str">
        <x:v>保留</x:v>
      </x:c>
      <x:c r="N78" s="48" t="str">
        <x:v>红岭大厦|1室0厅1|45|3600|东</x:v>
      </x:c>
      <x:c r="O78" s="48"/>
      <x:c r="P78" s="48" t="str">
        <x:v>未知（未逐条补齐）</x:v>
      </x:c>
      <x:c r="Q78" s="48" t="str">
        <x:v>https://shenzhen.leyoujia.com/zf/detail/JJCYUbKc7ZqASdaohDQxek.html</x:v>
      </x:c>
      <x:c r="R78" s="48" t="str">
        <x:v>2026-08-13</x:v>
      </x:c>
    </x:row>
    <x:row r="79">
      <x:c r="A79" s="48" t="str">
        <x:v>红岭大厦</x:v>
      </x:c>
      <x:c r="B79" s="48" t="str">
        <x:v>红岭大厦</x:v>
      </x:c>
      <x:c r="C79" s="48" t="str">
        <x:v>大剧院</x:v>
      </x:c>
      <x:c r="D79" s="56" t="n">
        <x:v>9</x:v>
      </x:c>
      <x:c r="E79" s="61" t="n">
        <x:v>3600</x:v>
      </x:c>
      <x:c r="F79" s="61" t="n">
        <x:v>40</x:v>
      </x:c>
      <x:c r="G79" s="61" t="n">
        <x:v>90</x:v>
      </x:c>
      <x:c r="H79" s="48" t="str">
        <x:v>1室0厅1</x:v>
      </x:c>
      <x:c r="I79" s="48" t="str">
        <x:v>南</x:v>
      </x:c>
      <x:c r="J79" s="48" t="str">
        <x:v>普装</x:v>
      </x:c>
      <x:c r="K79" s="48" t="str">
        <x:v>普通住宅</x:v>
      </x:c>
      <x:c r="L79" s="48" t="str">
        <x:v>是</x:v>
      </x:c>
      <x:c r="M79" s="48" t="str">
        <x:v>保留</x:v>
      </x:c>
      <x:c r="N79" s="48" t="str">
        <x:v>红岭大厦|1室0厅1|40|3600|南</x:v>
      </x:c>
      <x:c r="O79" s="48"/>
      <x:c r="P79" s="48" t="str">
        <x:v>未知（未逐条补齐）</x:v>
      </x:c>
      <x:c r="Q79" s="48" t="str">
        <x:v>https://shenzhen.leyoujia.com/zf/detail/5mfrdsgjjcpJ5rYgw5Y1kA.html</x:v>
      </x:c>
      <x:c r="R79" s="48" t="str">
        <x:v>2026-08-13</x:v>
      </x:c>
    </x:row>
    <x:row r="80">
      <x:c r="A80" s="48" t="str">
        <x:v>红岭大厦</x:v>
      </x:c>
      <x:c r="B80" s="48" t="str">
        <x:v>红岭大厦</x:v>
      </x:c>
      <x:c r="C80" s="48" t="str">
        <x:v>大剧院</x:v>
      </x:c>
      <x:c r="D80" s="56" t="n">
        <x:v>9</x:v>
      </x:c>
      <x:c r="E80" s="61" t="n">
        <x:v>3600</x:v>
      </x:c>
      <x:c r="F80" s="61" t="n">
        <x:v>45</x:v>
      </x:c>
      <x:c r="G80" s="61" t="n">
        <x:v>80</x:v>
      </x:c>
      <x:c r="H80" s="48" t="str">
        <x:v>1室0厅1</x:v>
      </x:c>
      <x:c r="I80" s="48" t="str">
        <x:v>南</x:v>
      </x:c>
      <x:c r="J80" s="48" t="str">
        <x:v>精装</x:v>
      </x:c>
      <x:c r="K80" s="48" t="str">
        <x:v>普通住宅</x:v>
      </x:c>
      <x:c r="L80" s="48" t="str">
        <x:v>是</x:v>
      </x:c>
      <x:c r="M80" s="48" t="str">
        <x:v>保留</x:v>
      </x:c>
      <x:c r="N80" s="48" t="str">
        <x:v>红岭大厦|1室0厅1|45|3600|南</x:v>
      </x:c>
      <x:c r="O80" s="48"/>
      <x:c r="P80" s="48" t="str">
        <x:v>未知（未逐条补齐）</x:v>
      </x:c>
      <x:c r="Q80" s="48" t="str">
        <x:v>https://shenzhen.leyoujia.com/zf/detail/3k7uxDCcqUaAoVo1dr45Fu.html</x:v>
      </x:c>
      <x:c r="R80" s="48" t="str">
        <x:v>2026-08-13</x:v>
      </x:c>
    </x:row>
    <x:row r="81">
      <x:c r="A81" s="48" t="str">
        <x:v>红岭大厦</x:v>
      </x:c>
      <x:c r="B81" s="48" t="str">
        <x:v>红岭大厦</x:v>
      </x:c>
      <x:c r="C81" s="48" t="str">
        <x:v>大剧院</x:v>
      </x:c>
      <x:c r="D81" s="56" t="n">
        <x:v>9</x:v>
      </x:c>
      <x:c r="E81" s="61" t="n">
        <x:v>3600</x:v>
      </x:c>
      <x:c r="F81" s="61" t="n">
        <x:v>45</x:v>
      </x:c>
      <x:c r="G81" s="61" t="n">
        <x:v>80</x:v>
      </x:c>
      <x:c r="H81" s="48" t="str">
        <x:v>1室0厅1</x:v>
      </x:c>
      <x:c r="I81" s="48" t="str">
        <x:v>南</x:v>
      </x:c>
      <x:c r="J81" s="48" t="str">
        <x:v>精装</x:v>
      </x:c>
      <x:c r="K81" s="48" t="str">
        <x:v>普通住宅</x:v>
      </x:c>
      <x:c r="L81" s="48" t="str">
        <x:v>否</x:v>
      </x:c>
      <x:c r="M81" s="48" t="str">
        <x:v>疑似重复挂牌</x:v>
      </x:c>
      <x:c r="N81" s="48" t="str">
        <x:v>红岭大厦|1室0厅1|45|3600|南</x:v>
      </x:c>
      <x:c r="O81" s="48"/>
      <x:c r="P81" s="48" t="str">
        <x:v>未知（未逐条补齐）</x:v>
      </x:c>
      <x:c r="Q81" s="48" t="str">
        <x:v>https://shenzhen.leyoujia.com/zf/detail/KKLTJbyfz18Ay8NGULcg8h.html</x:v>
      </x:c>
      <x:c r="R81" s="48" t="str">
        <x:v>2026-08-13</x:v>
      </x:c>
    </x:row>
    <x:row r="82">
      <x:c r="A82" s="48" t="str">
        <x:v>红岭大厦</x:v>
      </x:c>
      <x:c r="B82" s="48" t="str">
        <x:v>红岭大厦</x:v>
      </x:c>
      <x:c r="C82" s="48" t="str">
        <x:v>大剧院</x:v>
      </x:c>
      <x:c r="D82" s="56" t="n">
        <x:v>9</x:v>
      </x:c>
      <x:c r="E82" s="61" t="n">
        <x:v>3600</x:v>
      </x:c>
      <x:c r="F82" s="61" t="n">
        <x:v>38</x:v>
      </x:c>
      <x:c r="G82" s="61" t="n">
        <x:v>94.7</x:v>
      </x:c>
      <x:c r="H82" s="48" t="str">
        <x:v>1室0厅1</x:v>
      </x:c>
      <x:c r="I82" s="48" t="str">
        <x:v>北</x:v>
      </x:c>
      <x:c r="J82" s="48" t="str">
        <x:v>精装</x:v>
      </x:c>
      <x:c r="K82" s="48" t="str">
        <x:v>酒店式公寓</x:v>
      </x:c>
      <x:c r="L82" s="48" t="str">
        <x:v>否</x:v>
      </x:c>
      <x:c r="M82" s="48" t="str">
        <x:v>疑似重复挂牌</x:v>
      </x:c>
      <x:c r="N82" s="48" t="str">
        <x:v>红岭大厦|1室0厅1|38|3600|北</x:v>
      </x:c>
      <x:c r="O82" s="48"/>
      <x:c r="P82" s="48" t="str">
        <x:v>未知（未逐条补齐）</x:v>
      </x:c>
      <x:c r="Q82" s="48" t="str">
        <x:v>https://shenzhen.leyoujia.com/zf/detail/NmHXtyj8WmAR2c7H3xA2kj.html</x:v>
      </x:c>
      <x:c r="R82" s="48" t="str">
        <x:v>2026-08-13</x:v>
      </x:c>
    </x:row>
    <x:row r="83">
      <x:c r="A83" s="48" t="str">
        <x:v>红岭大厦</x:v>
      </x:c>
      <x:c r="B83" s="48" t="str">
        <x:v>红岭大厦</x:v>
      </x:c>
      <x:c r="C83" s="48" t="str">
        <x:v>大剧院</x:v>
      </x:c>
      <x:c r="D83" s="56" t="n">
        <x:v>9</x:v>
      </x:c>
      <x:c r="E83" s="61" t="n">
        <x:v>3600</x:v>
      </x:c>
      <x:c r="F83" s="61" t="n">
        <x:v>40</x:v>
      </x:c>
      <x:c r="G83" s="61" t="n">
        <x:v>90</x:v>
      </x:c>
      <x:c r="H83" s="48" t="str">
        <x:v>1室0厅1</x:v>
      </x:c>
      <x:c r="I83" s="48" t="str">
        <x:v>北</x:v>
      </x:c>
      <x:c r="J83" s="48" t="str">
        <x:v>精装</x:v>
      </x:c>
      <x:c r="K83" s="48" t="str">
        <x:v>公寓</x:v>
      </x:c>
      <x:c r="L83" s="48" t="str">
        <x:v>是</x:v>
      </x:c>
      <x:c r="M83" s="48" t="str">
        <x:v>保留</x:v>
      </x:c>
      <x:c r="N83" s="48" t="str">
        <x:v>红岭大厦|1室0厅1|40|3600|北</x:v>
      </x:c>
      <x:c r="O83" s="48"/>
      <x:c r="P83" s="48" t="str">
        <x:v>未知（未逐条补齐）</x:v>
      </x:c>
      <x:c r="Q83" s="48" t="str">
        <x:v>https://shenzhen.leyoujia.com/zf/detail/TthUWhSQkxQSjHs591YXf8.html</x:v>
      </x:c>
      <x:c r="R83" s="48" t="str">
        <x:v>2026-08-13</x:v>
      </x:c>
    </x:row>
    <x:row r="84">
      <x:c r="A84" s="48" t="str">
        <x:v>红岭大厦</x:v>
      </x:c>
      <x:c r="B84" s="48" t="str">
        <x:v>红岭大厦</x:v>
      </x:c>
      <x:c r="C84" s="48" t="str">
        <x:v>大剧院</x:v>
      </x:c>
      <x:c r="D84" s="56" t="n">
        <x:v>9</x:v>
      </x:c>
      <x:c r="E84" s="61" t="n">
        <x:v>3600</x:v>
      </x:c>
      <x:c r="F84" s="61" t="n">
        <x:v>45</x:v>
      </x:c>
      <x:c r="G84" s="61" t="n">
        <x:v>80</x:v>
      </x:c>
      <x:c r="H84" s="48" t="str">
        <x:v>1室0厅1</x:v>
      </x:c>
      <x:c r="I84" s="48" t="str">
        <x:v>西</x:v>
      </x:c>
      <x:c r="J84" s="48" t="str">
        <x:v>精装</x:v>
      </x:c>
      <x:c r="K84" s="48" t="str">
        <x:v>普通住宅</x:v>
      </x:c>
      <x:c r="L84" s="48" t="str">
        <x:v>是</x:v>
      </x:c>
      <x:c r="M84" s="48" t="str">
        <x:v>保留</x:v>
      </x:c>
      <x:c r="N84" s="48" t="str">
        <x:v>红岭大厦|1室0厅1|45|3600|西</x:v>
      </x:c>
      <x:c r="O84" s="48"/>
      <x:c r="P84" s="48" t="str">
        <x:v>未知（未逐条补齐）</x:v>
      </x:c>
      <x:c r="Q84" s="48" t="str">
        <x:v>https://shenzhen.leyoujia.com/zf/detail/Ls464UaBVojV7bbUuuHYc1.html</x:v>
      </x:c>
      <x:c r="R84" s="48" t="str">
        <x:v>2026-08-13</x:v>
      </x:c>
    </x:row>
    <x:row r="85">
      <x:c r="A85" s="48" t="str">
        <x:v>红岭大厦</x:v>
      </x:c>
      <x:c r="B85" s="48" t="str">
        <x:v>红岭大厦</x:v>
      </x:c>
      <x:c r="C85" s="48" t="str">
        <x:v>大剧院</x:v>
      </x:c>
      <x:c r="D85" s="56" t="n">
        <x:v>9</x:v>
      </x:c>
      <x:c r="E85" s="61" t="n">
        <x:v>3600</x:v>
      </x:c>
      <x:c r="F85" s="61" t="n">
        <x:v>40</x:v>
      </x:c>
      <x:c r="G85" s="61" t="n">
        <x:v>90</x:v>
      </x:c>
      <x:c r="H85" s="48" t="str">
        <x:v>1室0厅1</x:v>
      </x:c>
      <x:c r="I85" s="48" t="str">
        <x:v>南</x:v>
      </x:c>
      <x:c r="J85" s="48" t="str">
        <x:v>精装</x:v>
      </x:c>
      <x:c r="K85" s="48" t="str">
        <x:v>普通住宅</x:v>
      </x:c>
      <x:c r="L85" s="48" t="str">
        <x:v>否</x:v>
      </x:c>
      <x:c r="M85" s="48" t="str">
        <x:v>疑似重复挂牌</x:v>
      </x:c>
      <x:c r="N85" s="48" t="str">
        <x:v>红岭大厦|1室0厅1|40|3600|南</x:v>
      </x:c>
      <x:c r="O85" s="48"/>
      <x:c r="P85" s="48" t="str">
        <x:v>未知（未逐条补齐）</x:v>
      </x:c>
      <x:c r="Q85" s="48" t="str">
        <x:v>https://shenzhen.leyoujia.com/zf/detail/DrQLz1xfCWh6t82V3AVv8i.html</x:v>
      </x:c>
      <x:c r="R85" s="48" t="str">
        <x:v>2026-08-13</x:v>
      </x:c>
    </x:row>
    <x:row r="86">
      <x:c r="A86" s="48" t="str">
        <x:v>红岭大厦</x:v>
      </x:c>
      <x:c r="B86" s="48" t="str">
        <x:v>红岭大厦</x:v>
      </x:c>
      <x:c r="C86" s="48" t="str">
        <x:v>大剧院</x:v>
      </x:c>
      <x:c r="D86" s="56" t="n">
        <x:v>9</x:v>
      </x:c>
      <x:c r="E86" s="61" t="n">
        <x:v>3700</x:v>
      </x:c>
      <x:c r="F86" s="61" t="n">
        <x:v>45</x:v>
      </x:c>
      <x:c r="G86" s="61" t="n">
        <x:v>82.2</x:v>
      </x:c>
      <x:c r="H86" s="48" t="str">
        <x:v>1室0厅1</x:v>
      </x:c>
      <x:c r="I86" s="48" t="str">
        <x:v>南</x:v>
      </x:c>
      <x:c r="J86" s="48" t="str">
        <x:v>精装</x:v>
      </x:c>
      <x:c r="K86" s="48" t="str">
        <x:v>公寓</x:v>
      </x:c>
      <x:c r="L86" s="48" t="str">
        <x:v>是</x:v>
      </x:c>
      <x:c r="M86" s="48" t="str">
        <x:v>保留</x:v>
      </x:c>
      <x:c r="N86" s="48" t="str">
        <x:v>红岭大厦|1室0厅1|45|3700|南</x:v>
      </x:c>
      <x:c r="O86" s="48"/>
      <x:c r="P86" s="48" t="str">
        <x:v>未知（未逐条补齐）</x:v>
      </x:c>
      <x:c r="Q86" s="48" t="str">
        <x:v>https://shenzhen.leyoujia.com/zf/detail/JmXqopi1SYAwLkJaGZo2zU.html</x:v>
      </x:c>
      <x:c r="R86" s="48" t="str">
        <x:v>2026-08-13</x:v>
      </x:c>
    </x:row>
    <x:row r="87">
      <x:c r="A87" s="48" t="str">
        <x:v>红岭大厦</x:v>
      </x:c>
      <x:c r="B87" s="48" t="str">
        <x:v>红岭大厦</x:v>
      </x:c>
      <x:c r="C87" s="48" t="str">
        <x:v>大剧院</x:v>
      </x:c>
      <x:c r="D87" s="56" t="n">
        <x:v>9</x:v>
      </x:c>
      <x:c r="E87" s="61" t="n">
        <x:v>3800</x:v>
      </x:c>
      <x:c r="F87" s="61" t="n">
        <x:v>32</x:v>
      </x:c>
      <x:c r="G87" s="61" t="n">
        <x:v>118.8</x:v>
      </x:c>
      <x:c r="H87" s="48" t="str">
        <x:v>1室0厅1</x:v>
      </x:c>
      <x:c r="I87" s="48" t="str">
        <x:v>东</x:v>
      </x:c>
      <x:c r="J87" s="48" t="str">
        <x:v>普装</x:v>
      </x:c>
      <x:c r="K87" s="48" t="str">
        <x:v>酒店式公寓</x:v>
      </x:c>
      <x:c r="L87" s="48" t="str">
        <x:v>是</x:v>
      </x:c>
      <x:c r="M87" s="48" t="str">
        <x:v>保留</x:v>
      </x:c>
      <x:c r="N87" s="48" t="str">
        <x:v>红岭大厦|1室0厅1|32|3800|东</x:v>
      </x:c>
      <x:c r="O87" s="48"/>
      <x:c r="P87" s="48" t="str">
        <x:v>未知（未逐条补齐）</x:v>
      </x:c>
      <x:c r="Q87" s="48" t="str">
        <x:v>https://shenzhen.leyoujia.com/zf/detail/KJ36SRckB2e3iPQRrJdNJ1.html</x:v>
      </x:c>
      <x:c r="R87" s="48" t="str">
        <x:v>2026-08-13</x:v>
      </x:c>
    </x:row>
    <x:row r="88">
      <x:c r="A88" s="48" t="str">
        <x:v>红岭大厦</x:v>
      </x:c>
      <x:c r="B88" s="48" t="str">
        <x:v>红岭大厦</x:v>
      </x:c>
      <x:c r="C88" s="48" t="str">
        <x:v>大剧院</x:v>
      </x:c>
      <x:c r="D88" s="56" t="n">
        <x:v>9</x:v>
      </x:c>
      <x:c r="E88" s="61" t="n">
        <x:v>3800</x:v>
      </x:c>
      <x:c r="F88" s="61" t="n">
        <x:v>45</x:v>
      </x:c>
      <x:c r="G88" s="61" t="n">
        <x:v>84.4</x:v>
      </x:c>
      <x:c r="H88" s="48" t="str">
        <x:v>1室0厅1</x:v>
      </x:c>
      <x:c r="I88" s="48" t="str">
        <x:v>西</x:v>
      </x:c>
      <x:c r="J88" s="48" t="str">
        <x:v>普装</x:v>
      </x:c>
      <x:c r="K88" s="48" t="str">
        <x:v>公寓</x:v>
      </x:c>
      <x:c r="L88" s="48" t="str">
        <x:v>是</x:v>
      </x:c>
      <x:c r="M88" s="48" t="str">
        <x:v>保留</x:v>
      </x:c>
      <x:c r="N88" s="48" t="str">
        <x:v>红岭大厦|1室0厅1|45|3800|西</x:v>
      </x:c>
      <x:c r="O88" s="48"/>
      <x:c r="P88" s="48" t="str">
        <x:v>未知（未逐条补齐）</x:v>
      </x:c>
      <x:c r="Q88" s="48" t="str">
        <x:v>https://shenzhen.leyoujia.com/zf/detail/Q196yKLBZhF3T6w6apzqEY.html</x:v>
      </x:c>
      <x:c r="R88" s="48" t="str">
        <x:v>2026-08-13</x:v>
      </x:c>
    </x:row>
    <x:row r="89">
      <x:c r="A89" s="48" t="str">
        <x:v>红岭大厦</x:v>
      </x:c>
      <x:c r="B89" s="48" t="str">
        <x:v>红岭大厦</x:v>
      </x:c>
      <x:c r="C89" s="48" t="str">
        <x:v>大剧院</x:v>
      </x:c>
      <x:c r="D89" s="56" t="n">
        <x:v>9</x:v>
      </x:c>
      <x:c r="E89" s="61" t="n">
        <x:v>3800</x:v>
      </x:c>
      <x:c r="F89" s="61" t="n">
        <x:v>45</x:v>
      </x:c>
      <x:c r="G89" s="61" t="n">
        <x:v>84.4</x:v>
      </x:c>
      <x:c r="H89" s="48" t="str">
        <x:v>1室0厅1</x:v>
      </x:c>
      <x:c r="I89" s="48" t="str">
        <x:v>西</x:v>
      </x:c>
      <x:c r="J89" s="48" t="str">
        <x:v>普装</x:v>
      </x:c>
      <x:c r="K89" s="48" t="str">
        <x:v>普通住宅</x:v>
      </x:c>
      <x:c r="L89" s="48" t="str">
        <x:v>否</x:v>
      </x:c>
      <x:c r="M89" s="48" t="str">
        <x:v>疑似重复挂牌</x:v>
      </x:c>
      <x:c r="N89" s="48" t="str">
        <x:v>红岭大厦|1室0厅1|45|3800|西</x:v>
      </x:c>
      <x:c r="O89" s="48"/>
      <x:c r="P89" s="48" t="str">
        <x:v>未知（未逐条补齐）</x:v>
      </x:c>
      <x:c r="Q89" s="48" t="str">
        <x:v>https://shenzhen.leyoujia.com/zf/detail/HbDzncA5TEPo5JFhTRxLWm.html</x:v>
      </x:c>
      <x:c r="R89" s="48" t="str">
        <x:v>2026-08-13</x:v>
      </x:c>
    </x:row>
    <x:row r="90">
      <x:c r="A90" s="48" t="str">
        <x:v>红岭大厦</x:v>
      </x:c>
      <x:c r="B90" s="48" t="str">
        <x:v>红岭大厦</x:v>
      </x:c>
      <x:c r="C90" s="48" t="str">
        <x:v>大剧院</x:v>
      </x:c>
      <x:c r="D90" s="56" t="n">
        <x:v>9</x:v>
      </x:c>
      <x:c r="E90" s="61" t="n">
        <x:v>3800</x:v>
      </x:c>
      <x:c r="F90" s="61" t="n">
        <x:v>35</x:v>
      </x:c>
      <x:c r="G90" s="61" t="n">
        <x:v>108.6</x:v>
      </x:c>
      <x:c r="H90" s="48" t="str">
        <x:v>1室0厅1</x:v>
      </x:c>
      <x:c r="I90" s="48" t="str">
        <x:v>北</x:v>
      </x:c>
      <x:c r="J90" s="48" t="str">
        <x:v>精装</x:v>
      </x:c>
      <x:c r="K90" s="48" t="str">
        <x:v>公寓</x:v>
      </x:c>
      <x:c r="L90" s="48" t="str">
        <x:v>是</x:v>
      </x:c>
      <x:c r="M90" s="48" t="str">
        <x:v>保留</x:v>
      </x:c>
      <x:c r="N90" s="48" t="str">
        <x:v>红岭大厦|1室0厅1|35|3800|北</x:v>
      </x:c>
      <x:c r="O90" s="48"/>
      <x:c r="P90" s="48" t="str">
        <x:v>未知（未逐条补齐）</x:v>
      </x:c>
      <x:c r="Q90" s="48" t="str">
        <x:v>https://shenzhen.leyoujia.com/zf/detail/Jo2NLFbEtRDppc8WNAFqUa.html</x:v>
      </x:c>
      <x:c r="R90" s="48" t="str">
        <x:v>2026-08-13</x:v>
      </x:c>
    </x:row>
    <x:row r="91">
      <x:c r="A91" s="48" t="str">
        <x:v>红岭大厦</x:v>
      </x:c>
      <x:c r="B91" s="48" t="str">
        <x:v>红岭大厦</x:v>
      </x:c>
      <x:c r="C91" s="48" t="str">
        <x:v>大剧院</x:v>
      </x:c>
      <x:c r="D91" s="56" t="n">
        <x:v>9</x:v>
      </x:c>
      <x:c r="E91" s="61" t="n">
        <x:v>3800</x:v>
      </x:c>
      <x:c r="F91" s="61" t="n">
        <x:v>45</x:v>
      </x:c>
      <x:c r="G91" s="61" t="n">
        <x:v>84.4</x:v>
      </x:c>
      <x:c r="H91" s="48" t="str">
        <x:v>1室0厅1</x:v>
      </x:c>
      <x:c r="I91" s="48" t="str">
        <x:v>南</x:v>
      </x:c>
      <x:c r="J91" s="48" t="str">
        <x:v>精装</x:v>
      </x:c>
      <x:c r="K91" s="48" t="str">
        <x:v>公寓</x:v>
      </x:c>
      <x:c r="L91" s="48" t="str">
        <x:v>是</x:v>
      </x:c>
      <x:c r="M91" s="48" t="str">
        <x:v>保留</x:v>
      </x:c>
      <x:c r="N91" s="48" t="str">
        <x:v>红岭大厦|1室0厅1|45|3800|南</x:v>
      </x:c>
      <x:c r="O91" s="48"/>
      <x:c r="P91" s="48" t="str">
        <x:v>未知（未逐条补齐）</x:v>
      </x:c>
      <x:c r="Q91" s="48" t="str">
        <x:v>https://shenzhen.leyoujia.com/zf/detail/L2AyXAMcHmg2kbAf7pMx1e.html</x:v>
      </x:c>
      <x:c r="R91" s="48" t="str">
        <x:v>2026-08-13</x:v>
      </x:c>
    </x:row>
    <x:row r="92">
      <x:c r="A92" s="48" t="str">
        <x:v>红岭大厦</x:v>
      </x:c>
      <x:c r="B92" s="48" t="str">
        <x:v>红岭大厦</x:v>
      </x:c>
      <x:c r="C92" s="48" t="str">
        <x:v>大剧院</x:v>
      </x:c>
      <x:c r="D92" s="56" t="n">
        <x:v>9</x:v>
      </x:c>
      <x:c r="E92" s="61" t="n">
        <x:v>3800</x:v>
      </x:c>
      <x:c r="F92" s="61" t="n">
        <x:v>40</x:v>
      </x:c>
      <x:c r="G92" s="61" t="n">
        <x:v>95</x:v>
      </x:c>
      <x:c r="H92" s="48" t="str">
        <x:v>1室0厅1</x:v>
      </x:c>
      <x:c r="I92" s="48" t="str">
        <x:v>北</x:v>
      </x:c>
      <x:c r="J92" s="48" t="str">
        <x:v>精装</x:v>
      </x:c>
      <x:c r="K92" s="48" t="str">
        <x:v>公寓</x:v>
      </x:c>
      <x:c r="L92" s="48" t="str">
        <x:v>是</x:v>
      </x:c>
      <x:c r="M92" s="48" t="str">
        <x:v>保留</x:v>
      </x:c>
      <x:c r="N92" s="48" t="str">
        <x:v>红岭大厦|1室0厅1|40|3800|北</x:v>
      </x:c>
      <x:c r="O92" s="48"/>
      <x:c r="P92" s="48" t="str">
        <x:v>未知（未逐条补齐）</x:v>
      </x:c>
      <x:c r="Q92" s="48" t="str">
        <x:v>https://shenzhen.leyoujia.com/zf/detail/45ntp6smvhrDpquNzeYdPh.html</x:v>
      </x:c>
      <x:c r="R92" s="48" t="str">
        <x:v>2026-08-13</x:v>
      </x:c>
    </x:row>
    <x:row r="93">
      <x:c r="A93" s="48" t="str">
        <x:v>红岭大厦</x:v>
      </x:c>
      <x:c r="B93" s="48" t="str">
        <x:v>红岭大厦</x:v>
      </x:c>
      <x:c r="C93" s="48" t="str">
        <x:v>大剧院</x:v>
      </x:c>
      <x:c r="D93" s="56" t="n">
        <x:v>9</x:v>
      </x:c>
      <x:c r="E93" s="61" t="n">
        <x:v>3800</x:v>
      </x:c>
      <x:c r="F93" s="61" t="n">
        <x:v>38</x:v>
      </x:c>
      <x:c r="G93" s="61" t="n">
        <x:v>100</x:v>
      </x:c>
      <x:c r="H93" s="48" t="str">
        <x:v>1室0厅1</x:v>
      </x:c>
      <x:c r="I93" s="48" t="str">
        <x:v>东</x:v>
      </x:c>
      <x:c r="J93" s="48" t="str">
        <x:v>精装</x:v>
      </x:c>
      <x:c r="K93" s="48" t="str">
        <x:v>酒店式公寓</x:v>
      </x:c>
      <x:c r="L93" s="48" t="str">
        <x:v>是</x:v>
      </x:c>
      <x:c r="M93" s="48" t="str">
        <x:v>保留</x:v>
      </x:c>
      <x:c r="N93" s="48" t="str">
        <x:v>红岭大厦|1室0厅1|38|3800|东</x:v>
      </x:c>
      <x:c r="O93" s="48"/>
      <x:c r="P93" s="48" t="str">
        <x:v>未知（未逐条补齐）</x:v>
      </x:c>
      <x:c r="Q93" s="48" t="str">
        <x:v>https://shenzhen.leyoujia.com/zf/detail/9VNW9z2CDwbrLnMw644St9.html</x:v>
      </x:c>
      <x:c r="R93" s="48" t="str">
        <x:v>2026-08-13</x:v>
      </x:c>
    </x:row>
    <x:row r="94">
      <x:c r="A94" s="48" t="str">
        <x:v>红岭大厦</x:v>
      </x:c>
      <x:c r="B94" s="48" t="str">
        <x:v>红岭大厦</x:v>
      </x:c>
      <x:c r="C94" s="48" t="str">
        <x:v>大剧院</x:v>
      </x:c>
      <x:c r="D94" s="56" t="n">
        <x:v>9</x:v>
      </x:c>
      <x:c r="E94" s="61" t="n">
        <x:v>3800</x:v>
      </x:c>
      <x:c r="F94" s="61" t="n">
        <x:v>45</x:v>
      </x:c>
      <x:c r="G94" s="61" t="n">
        <x:v>84.4</x:v>
      </x:c>
      <x:c r="H94" s="48" t="str">
        <x:v>1室0厅1</x:v>
      </x:c>
      <x:c r="I94" s="48" t="str">
        <x:v>南</x:v>
      </x:c>
      <x:c r="J94" s="48" t="str">
        <x:v>普装</x:v>
      </x:c>
      <x:c r="K94" s="48" t="str">
        <x:v>普通住宅</x:v>
      </x:c>
      <x:c r="L94" s="48" t="str">
        <x:v>否</x:v>
      </x:c>
      <x:c r="M94" s="48" t="str">
        <x:v>疑似重复挂牌</x:v>
      </x:c>
      <x:c r="N94" s="48" t="str">
        <x:v>红岭大厦|1室0厅1|45|3800|南</x:v>
      </x:c>
      <x:c r="O94" s="48"/>
      <x:c r="P94" s="48" t="str">
        <x:v>未知（未逐条补齐）</x:v>
      </x:c>
      <x:c r="Q94" s="48" t="str">
        <x:v>https://shenzhen.leyoujia.com/zf/detail/W6U62E8MA9wcjTj5qg3511.html</x:v>
      </x:c>
      <x:c r="R94" s="48" t="str">
        <x:v>2026-08-13</x:v>
      </x:c>
    </x:row>
    <x:row r="95">
      <x:c r="A95" s="48" t="str">
        <x:v>红岭大厦</x:v>
      </x:c>
      <x:c r="B95" s="48" t="str">
        <x:v>红岭大厦</x:v>
      </x:c>
      <x:c r="C95" s="48" t="str">
        <x:v>大剧院</x:v>
      </x:c>
      <x:c r="D95" s="56" t="n">
        <x:v>9</x:v>
      </x:c>
      <x:c r="E95" s="61" t="n">
        <x:v>3800</x:v>
      </x:c>
      <x:c r="F95" s="61" t="n">
        <x:v>45</x:v>
      </x:c>
      <x:c r="G95" s="61" t="n">
        <x:v>84.4</x:v>
      </x:c>
      <x:c r="H95" s="48" t="str">
        <x:v>1室0厅1</x:v>
      </x:c>
      <x:c r="I95" s="48" t="str">
        <x:v>南</x:v>
      </x:c>
      <x:c r="J95" s="48" t="str">
        <x:v>精装</x:v>
      </x:c>
      <x:c r="K95" s="48" t="str">
        <x:v>普通住宅</x:v>
      </x:c>
      <x:c r="L95" s="48" t="str">
        <x:v>否</x:v>
      </x:c>
      <x:c r="M95" s="48" t="str">
        <x:v>疑似重复挂牌</x:v>
      </x:c>
      <x:c r="N95" s="48" t="str">
        <x:v>红岭大厦|1室0厅1|45|3800|南</x:v>
      </x:c>
      <x:c r="O95" s="48"/>
      <x:c r="P95" s="48" t="str">
        <x:v>未知（未逐条补齐）</x:v>
      </x:c>
      <x:c r="Q95" s="48" t="str">
        <x:v>https://shenzhen.leyoujia.com/zf/detail/13Lh6LX13Vm5vips4iuEX6.html</x:v>
      </x:c>
      <x:c r="R95" s="48" t="str">
        <x:v>2026-08-13</x:v>
      </x:c>
    </x:row>
    <x:row r="96">
      <x:c r="A96" s="48" t="str">
        <x:v>红岭大厦</x:v>
      </x:c>
      <x:c r="B96" s="48" t="str">
        <x:v>红岭大厦</x:v>
      </x:c>
      <x:c r="C96" s="48" t="str">
        <x:v>大剧院</x:v>
      </x:c>
      <x:c r="D96" s="56" t="n">
        <x:v>9</x:v>
      </x:c>
      <x:c r="E96" s="61" t="n">
        <x:v>3800</x:v>
      </x:c>
      <x:c r="F96" s="61" t="n">
        <x:v>40</x:v>
      </x:c>
      <x:c r="G96" s="61" t="n">
        <x:v>95</x:v>
      </x:c>
      <x:c r="H96" s="48" t="str">
        <x:v>1室0厅1</x:v>
      </x:c>
      <x:c r="I96" s="48" t="str">
        <x:v>东</x:v>
      </x:c>
      <x:c r="J96" s="48" t="str">
        <x:v>普装</x:v>
      </x:c>
      <x:c r="K96" s="48" t="str">
        <x:v>酒店式公寓</x:v>
      </x:c>
      <x:c r="L96" s="48" t="str">
        <x:v>是</x:v>
      </x:c>
      <x:c r="M96" s="48" t="str">
        <x:v>保留</x:v>
      </x:c>
      <x:c r="N96" s="48" t="str">
        <x:v>红岭大厦|1室0厅1|40|3800|东</x:v>
      </x:c>
      <x:c r="O96" s="48"/>
      <x:c r="P96" s="48" t="str">
        <x:v>未知（未逐条补齐）</x:v>
      </x:c>
      <x:c r="Q96" s="48" t="str">
        <x:v>https://shenzhen.leyoujia.com/zf/detail/Vhg5Vdj4i8DVT46uKwt9zj.html</x:v>
      </x:c>
      <x:c r="R96" s="48" t="str">
        <x:v>2026-08-13</x:v>
      </x:c>
    </x:row>
    <x:row r="97">
      <x:c r="A97" s="48" t="str">
        <x:v>红岭大厦</x:v>
      </x:c>
      <x:c r="B97" s="48" t="str">
        <x:v>红岭大厦</x:v>
      </x:c>
      <x:c r="C97" s="48" t="str">
        <x:v>大剧院</x:v>
      </x:c>
      <x:c r="D97" s="56" t="n">
        <x:v>9</x:v>
      </x:c>
      <x:c r="E97" s="61" t="n">
        <x:v>3800</x:v>
      </x:c>
      <x:c r="F97" s="61" t="n">
        <x:v>31</x:v>
      </x:c>
      <x:c r="G97" s="61" t="n">
        <x:v>122.6</x:v>
      </x:c>
      <x:c r="H97" s="48" t="str">
        <x:v>1室0厅1</x:v>
      </x:c>
      <x:c r="I97" s="48" t="str">
        <x:v>北</x:v>
      </x:c>
      <x:c r="J97" s="48" t="str">
        <x:v>精装</x:v>
      </x:c>
      <x:c r="K97" s="48" t="str">
        <x:v>酒店式公寓</x:v>
      </x:c>
      <x:c r="L97" s="48" t="str">
        <x:v>是</x:v>
      </x:c>
      <x:c r="M97" s="48" t="str">
        <x:v>保留</x:v>
      </x:c>
      <x:c r="N97" s="48" t="str">
        <x:v>红岭大厦|1室0厅1|31|3800|北</x:v>
      </x:c>
      <x:c r="O97" s="48"/>
      <x:c r="P97" s="48" t="str">
        <x:v>未知（未逐条补齐）</x:v>
      </x:c>
      <x:c r="Q97" s="48" t="str">
        <x:v>https://shenzhen.leyoujia.com/zf/detail/TBXd3UjRHCTz2LZ2kJiLn1.html</x:v>
      </x:c>
      <x:c r="R97" s="48" t="str">
        <x:v>2026-08-13</x:v>
      </x:c>
    </x:row>
    <x:row r="98">
      <x:c r="A98" s="48" t="str">
        <x:v>红岭大厦</x:v>
      </x:c>
      <x:c r="B98" s="48" t="str">
        <x:v>红岭大厦</x:v>
      </x:c>
      <x:c r="C98" s="48" t="str">
        <x:v>大剧院</x:v>
      </x:c>
      <x:c r="D98" s="56" t="n">
        <x:v>9</x:v>
      </x:c>
      <x:c r="E98" s="61" t="n">
        <x:v>3800</x:v>
      </x:c>
      <x:c r="F98" s="61" t="n">
        <x:v>31</x:v>
      </x:c>
      <x:c r="G98" s="61" t="n">
        <x:v>122.6</x:v>
      </x:c>
      <x:c r="H98" s="48" t="str">
        <x:v>1室0厅1</x:v>
      </x:c>
      <x:c r="I98" s="48" t="str">
        <x:v>北</x:v>
      </x:c>
      <x:c r="J98" s="48" t="str">
        <x:v>精装</x:v>
      </x:c>
      <x:c r="K98" s="48" t="str">
        <x:v>酒店式公寓</x:v>
      </x:c>
      <x:c r="L98" s="48" t="str">
        <x:v>否</x:v>
      </x:c>
      <x:c r="M98" s="48" t="str">
        <x:v>疑似重复挂牌</x:v>
      </x:c>
      <x:c r="N98" s="48" t="str">
        <x:v>红岭大厦|1室0厅1|31|3800|北</x:v>
      </x:c>
      <x:c r="O98" s="48"/>
      <x:c r="P98" s="48" t="str">
        <x:v>未知（未逐条补齐）</x:v>
      </x:c>
      <x:c r="Q98" s="48" t="str">
        <x:v>https://shenzhen.leyoujia.com/zf/detail/RXMcbsZRVsT9Eo6ZnyoeAq.html</x:v>
      </x:c>
      <x:c r="R98" s="48" t="str">
        <x:v>2026-08-13</x:v>
      </x:c>
    </x:row>
    <x:row r="99">
      <x:c r="A99" s="48" t="str">
        <x:v>红岭大厦</x:v>
      </x:c>
      <x:c r="B99" s="48" t="str">
        <x:v>红岭大厦</x:v>
      </x:c>
      <x:c r="C99" s="48" t="str">
        <x:v>大剧院</x:v>
      </x:c>
      <x:c r="D99" s="56" t="n">
        <x:v>9</x:v>
      </x:c>
      <x:c r="E99" s="61" t="n">
        <x:v>3800</x:v>
      </x:c>
      <x:c r="F99" s="61" t="n">
        <x:v>32</x:v>
      </x:c>
      <x:c r="G99" s="61" t="n">
        <x:v>118.8</x:v>
      </x:c>
      <x:c r="H99" s="48" t="str">
        <x:v>1室0厅1</x:v>
      </x:c>
      <x:c r="I99" s="48" t="str">
        <x:v>东</x:v>
      </x:c>
      <x:c r="J99" s="48" t="str">
        <x:v>普装</x:v>
      </x:c>
      <x:c r="K99" s="48" t="str">
        <x:v>酒店式公寓</x:v>
      </x:c>
      <x:c r="L99" s="48" t="str">
        <x:v>否</x:v>
      </x:c>
      <x:c r="M99" s="48" t="str">
        <x:v>疑似重复挂牌</x:v>
      </x:c>
      <x:c r="N99" s="48" t="str">
        <x:v>红岭大厦|1室0厅1|32|3800|东</x:v>
      </x:c>
      <x:c r="O99" s="48"/>
      <x:c r="P99" s="48" t="str">
        <x:v>未知（未逐条补齐）</x:v>
      </x:c>
      <x:c r="Q99" s="48" t="str">
        <x:v>https://shenzhen.leyoujia.com/zf/detail/KBB33bMtnVSBE85PQftKUQ.html</x:v>
      </x:c>
      <x:c r="R99" s="48" t="str">
        <x:v>2026-08-13</x:v>
      </x:c>
    </x:row>
    <x:row r="100">
      <x:c r="A100" s="48" t="str">
        <x:v>红岭大厦</x:v>
      </x:c>
      <x:c r="B100" s="48" t="str">
        <x:v>红岭大厦</x:v>
      </x:c>
      <x:c r="C100" s="48" t="str">
        <x:v>大剧院</x:v>
      </x:c>
      <x:c r="D100" s="56" t="n">
        <x:v>9</x:v>
      </x:c>
      <x:c r="E100" s="61" t="n">
        <x:v>3800</x:v>
      </x:c>
      <x:c r="F100" s="61" t="n">
        <x:v>32</x:v>
      </x:c>
      <x:c r="G100" s="61" t="n">
        <x:v>118.8</x:v>
      </x:c>
      <x:c r="H100" s="48" t="str">
        <x:v>1室0厅1</x:v>
      </x:c>
      <x:c r="I100" s="48" t="str">
        <x:v>北</x:v>
      </x:c>
      <x:c r="J100" s="48" t="str">
        <x:v>普装</x:v>
      </x:c>
      <x:c r="K100" s="48" t="str">
        <x:v>酒店式公寓</x:v>
      </x:c>
      <x:c r="L100" s="48" t="str">
        <x:v>是</x:v>
      </x:c>
      <x:c r="M100" s="48" t="str">
        <x:v>保留</x:v>
      </x:c>
      <x:c r="N100" s="48" t="str">
        <x:v>红岭大厦|1室0厅1|32|3800|北</x:v>
      </x:c>
      <x:c r="O100" s="48"/>
      <x:c r="P100" s="48" t="str">
        <x:v>未知（未逐条补齐）</x:v>
      </x:c>
      <x:c r="Q100" s="48" t="str">
        <x:v>https://shenzhen.leyoujia.com/zf/detail/XuJFxCLXdmzE3WbpFkcjLQ.html</x:v>
      </x:c>
      <x:c r="R100" s="48" t="str">
        <x:v>2026-08-13</x:v>
      </x:c>
    </x:row>
    <x:row r="101">
      <x:c r="A101" s="48" t="str">
        <x:v>红岭大厦</x:v>
      </x:c>
      <x:c r="B101" s="48" t="str">
        <x:v>红岭大厦</x:v>
      </x:c>
      <x:c r="C101" s="48" t="str">
        <x:v>大剧院</x:v>
      </x:c>
      <x:c r="D101" s="56" t="n">
        <x:v>9</x:v>
      </x:c>
      <x:c r="E101" s="61" t="n">
        <x:v>3800</x:v>
      </x:c>
      <x:c r="F101" s="61" t="n">
        <x:v>31</x:v>
      </x:c>
      <x:c r="G101" s="61" t="n">
        <x:v>122.6</x:v>
      </x:c>
      <x:c r="H101" s="48" t="str">
        <x:v>1室0厅1</x:v>
      </x:c>
      <x:c r="I101" s="48" t="str">
        <x:v>南</x:v>
      </x:c>
      <x:c r="J101" s="48" t="str">
        <x:v>精装</x:v>
      </x:c>
      <x:c r="K101" s="48" t="str">
        <x:v>酒店式公寓</x:v>
      </x:c>
      <x:c r="L101" s="48" t="str">
        <x:v>是</x:v>
      </x:c>
      <x:c r="M101" s="48" t="str">
        <x:v>保留</x:v>
      </x:c>
      <x:c r="N101" s="48" t="str">
        <x:v>红岭大厦|1室0厅1|31|3800|南</x:v>
      </x:c>
      <x:c r="O101" s="48"/>
      <x:c r="P101" s="48" t="str">
        <x:v>未知（未逐条补齐）</x:v>
      </x:c>
      <x:c r="Q101" s="48" t="str">
        <x:v>https://shenzhen.leyoujia.com/zf/detail/Q35GBH1b6cfpqjJnAWrAwQ.html</x:v>
      </x:c>
      <x:c r="R101" s="48" t="str">
        <x:v>2026-08-13</x:v>
      </x:c>
    </x:row>
    <x:row r="102">
      <x:c r="A102" s="48" t="str">
        <x:v>红岭大厦</x:v>
      </x:c>
      <x:c r="B102" s="48" t="str">
        <x:v>红岭大厦</x:v>
      </x:c>
      <x:c r="C102" s="48" t="str">
        <x:v>大剧院</x:v>
      </x:c>
      <x:c r="D102" s="56" t="n">
        <x:v>9</x:v>
      </x:c>
      <x:c r="E102" s="61" t="n">
        <x:v>3800</x:v>
      </x:c>
      <x:c r="F102" s="61" t="n">
        <x:v>45</x:v>
      </x:c>
      <x:c r="G102" s="61" t="n">
        <x:v>84.4</x:v>
      </x:c>
      <x:c r="H102" s="48" t="str">
        <x:v>1室0厅1</x:v>
      </x:c>
      <x:c r="I102" s="48" t="str">
        <x:v>西</x:v>
      </x:c>
      <x:c r="J102" s="48" t="str">
        <x:v>精装</x:v>
      </x:c>
      <x:c r="K102" s="48" t="str">
        <x:v>酒店式公寓</x:v>
      </x:c>
      <x:c r="L102" s="48" t="str">
        <x:v>否</x:v>
      </x:c>
      <x:c r="M102" s="48" t="str">
        <x:v>疑似重复挂牌</x:v>
      </x:c>
      <x:c r="N102" s="48" t="str">
        <x:v>红岭大厦|1室0厅1|45|3800|西</x:v>
      </x:c>
      <x:c r="O102" s="48"/>
      <x:c r="P102" s="48" t="str">
        <x:v>未知（未逐条补齐）</x:v>
      </x:c>
      <x:c r="Q102" s="48" t="str">
        <x:v>https://shenzhen.leyoujia.com/zf/detail/8jfXvoMrcvQKo5WGZAsing.html</x:v>
      </x:c>
      <x:c r="R102" s="48" t="str">
        <x:v>2026-08-13</x:v>
      </x:c>
    </x:row>
    <x:row r="103">
      <x:c r="A103" s="48" t="str">
        <x:v>红岭大厦</x:v>
      </x:c>
      <x:c r="B103" s="48" t="str">
        <x:v>红岭大厦</x:v>
      </x:c>
      <x:c r="C103" s="48" t="str">
        <x:v>大剧院</x:v>
      </x:c>
      <x:c r="D103" s="56" t="n">
        <x:v>9</x:v>
      </x:c>
      <x:c r="E103" s="61" t="n">
        <x:v>3800</x:v>
      </x:c>
      <x:c r="F103" s="61" t="n">
        <x:v>45</x:v>
      </x:c>
      <x:c r="G103" s="61" t="n">
        <x:v>84.4</x:v>
      </x:c>
      <x:c r="H103" s="48" t="str">
        <x:v>1室0厅1</x:v>
      </x:c>
      <x:c r="I103" s="48" t="str">
        <x:v>南</x:v>
      </x:c>
      <x:c r="J103" s="48" t="str">
        <x:v>精装</x:v>
      </x:c>
      <x:c r="K103" s="48" t="str">
        <x:v>普通住宅</x:v>
      </x:c>
      <x:c r="L103" s="48" t="str">
        <x:v>否</x:v>
      </x:c>
      <x:c r="M103" s="48" t="str">
        <x:v>疑似重复挂牌</x:v>
      </x:c>
      <x:c r="N103" s="48" t="str">
        <x:v>红岭大厦|1室0厅1|45|3800|南</x:v>
      </x:c>
      <x:c r="O103" s="48"/>
      <x:c r="P103" s="48" t="str">
        <x:v>未知（未逐条补齐）</x:v>
      </x:c>
      <x:c r="Q103" s="48" t="str">
        <x:v>https://shenzhen.leyoujia.com/zf/detail/5tAmbd9dHnWrQKJ2RrR7XU.html</x:v>
      </x:c>
      <x:c r="R103" s="48" t="str">
        <x:v>2026-08-13</x:v>
      </x:c>
    </x:row>
    <x:row r="104">
      <x:c r="A104" s="48" t="str">
        <x:v>红岭大厦</x:v>
      </x:c>
      <x:c r="B104" s="48" t="str">
        <x:v>红岭大厦</x:v>
      </x:c>
      <x:c r="C104" s="48" t="str">
        <x:v>大剧院</x:v>
      </x:c>
      <x:c r="D104" s="56" t="n">
        <x:v>9</x:v>
      </x:c>
      <x:c r="E104" s="61" t="n">
        <x:v>3800</x:v>
      </x:c>
      <x:c r="F104" s="61" t="n">
        <x:v>38</x:v>
      </x:c>
      <x:c r="G104" s="61" t="n">
        <x:v>100</x:v>
      </x:c>
      <x:c r="H104" s="48" t="str">
        <x:v>1室0厅1</x:v>
      </x:c>
      <x:c r="I104" s="48" t="str">
        <x:v>东</x:v>
      </x:c>
      <x:c r="J104" s="48" t="str">
        <x:v>普装</x:v>
      </x:c>
      <x:c r="K104" s="48" t="str">
        <x:v>普通住宅</x:v>
      </x:c>
      <x:c r="L104" s="48" t="str">
        <x:v>否</x:v>
      </x:c>
      <x:c r="M104" s="48" t="str">
        <x:v>疑似重复挂牌</x:v>
      </x:c>
      <x:c r="N104" s="48" t="str">
        <x:v>红岭大厦|1室0厅1|38|3800|东</x:v>
      </x:c>
      <x:c r="O104" s="48"/>
      <x:c r="P104" s="48" t="str">
        <x:v>未知（未逐条补齐）</x:v>
      </x:c>
      <x:c r="Q104" s="48" t="str">
        <x:v>https://shenzhen.leyoujia.com/zf/detail/VUr24pQA7WyMgDDDm8akge.html</x:v>
      </x:c>
      <x:c r="R104" s="48" t="str">
        <x:v>2026-08-13</x:v>
      </x:c>
    </x:row>
    <x:row r="105">
      <x:c r="A105" s="48" t="str">
        <x:v>红岭大厦</x:v>
      </x:c>
      <x:c r="B105" s="48" t="str">
        <x:v>红岭大厦</x:v>
      </x:c>
      <x:c r="C105" s="48" t="str">
        <x:v>大剧院</x:v>
      </x:c>
      <x:c r="D105" s="56" t="n">
        <x:v>9</x:v>
      </x:c>
      <x:c r="E105" s="61" t="n">
        <x:v>3800</x:v>
      </x:c>
      <x:c r="F105" s="61" t="n">
        <x:v>45</x:v>
      </x:c>
      <x:c r="G105" s="61" t="n">
        <x:v>84.4</x:v>
      </x:c>
      <x:c r="H105" s="48" t="str">
        <x:v>1室0厅1</x:v>
      </x:c>
      <x:c r="I105" s="48" t="str">
        <x:v>南</x:v>
      </x:c>
      <x:c r="J105" s="48" t="str">
        <x:v>普装</x:v>
      </x:c>
      <x:c r="K105" s="48" t="str">
        <x:v>普通住宅</x:v>
      </x:c>
      <x:c r="L105" s="48" t="str">
        <x:v>否</x:v>
      </x:c>
      <x:c r="M105" s="48" t="str">
        <x:v>疑似重复挂牌</x:v>
      </x:c>
      <x:c r="N105" s="48" t="str">
        <x:v>红岭大厦|1室0厅1|45|3800|南</x:v>
      </x:c>
      <x:c r="O105" s="48"/>
      <x:c r="P105" s="48" t="str">
        <x:v>未知（未逐条补齐）</x:v>
      </x:c>
      <x:c r="Q105" s="48" t="str">
        <x:v>https://shenzhen.leyoujia.com/zf/detail/JtoqpXM16n9KoKki5LJGKW.html</x:v>
      </x:c>
      <x:c r="R105" s="48" t="str">
        <x:v>2026-08-13</x:v>
      </x:c>
    </x:row>
    <x:row r="106">
      <x:c r="A106" s="48" t="str">
        <x:v>红岭大厦</x:v>
      </x:c>
      <x:c r="B106" s="48" t="str">
        <x:v>红岭大厦</x:v>
      </x:c>
      <x:c r="C106" s="48" t="str">
        <x:v>大剧院</x:v>
      </x:c>
      <x:c r="D106" s="56" t="n">
        <x:v>9</x:v>
      </x:c>
      <x:c r="E106" s="61" t="n">
        <x:v>3800</x:v>
      </x:c>
      <x:c r="F106" s="61" t="n">
        <x:v>41</x:v>
      </x:c>
      <x:c r="G106" s="61" t="n">
        <x:v>92.7</x:v>
      </x:c>
      <x:c r="H106" s="48" t="str">
        <x:v>1室0厅1</x:v>
      </x:c>
      <x:c r="I106" s="48" t="str">
        <x:v>东</x:v>
      </x:c>
      <x:c r="J106" s="48" t="str">
        <x:v>普装</x:v>
      </x:c>
      <x:c r="K106" s="48" t="str">
        <x:v>酒店式公寓</x:v>
      </x:c>
      <x:c r="L106" s="48" t="str">
        <x:v>是</x:v>
      </x:c>
      <x:c r="M106" s="48" t="str">
        <x:v>保留</x:v>
      </x:c>
      <x:c r="N106" s="48" t="str">
        <x:v>红岭大厦|1室0厅1|41|3800|东</x:v>
      </x:c>
      <x:c r="O106" s="48"/>
      <x:c r="P106" s="48" t="str">
        <x:v>未知（未逐条补齐）</x:v>
      </x:c>
      <x:c r="Q106" s="48" t="str">
        <x:v>https://shenzhen.leyoujia.com/zf/detail/g223cPYMxXHhVbmev4ykK.html</x:v>
      </x:c>
      <x:c r="R106" s="48" t="str">
        <x:v>2026-08-13</x:v>
      </x:c>
    </x:row>
    <x:row r="107">
      <x:c r="A107" s="48" t="str">
        <x:v>红岭大厦</x:v>
      </x:c>
      <x:c r="B107" s="48" t="str">
        <x:v>红岭大厦</x:v>
      </x:c>
      <x:c r="C107" s="48" t="str">
        <x:v>大剧院</x:v>
      </x:c>
      <x:c r="D107" s="56" t="n">
        <x:v>9</x:v>
      </x:c>
      <x:c r="E107" s="61" t="n">
        <x:v>3800</x:v>
      </x:c>
      <x:c r="F107" s="61" t="n">
        <x:v>45</x:v>
      </x:c>
      <x:c r="G107" s="61" t="n">
        <x:v>84.4</x:v>
      </x:c>
      <x:c r="H107" s="48" t="str">
        <x:v>1室0厅1</x:v>
      </x:c>
      <x:c r="I107" s="48" t="str">
        <x:v>东</x:v>
      </x:c>
      <x:c r="J107" s="48" t="str">
        <x:v>精装</x:v>
      </x:c>
      <x:c r="K107" s="48" t="str">
        <x:v>普通住宅</x:v>
      </x:c>
      <x:c r="L107" s="48" t="str">
        <x:v>是</x:v>
      </x:c>
      <x:c r="M107" s="48" t="str">
        <x:v>保留</x:v>
      </x:c>
      <x:c r="N107" s="48" t="str">
        <x:v>红岭大厦|1室0厅1|45|3800|东</x:v>
      </x:c>
      <x:c r="O107" s="48"/>
      <x:c r="P107" s="48" t="str">
        <x:v>未知（未逐条补齐）</x:v>
      </x:c>
      <x:c r="Q107" s="48" t="str">
        <x:v>https://shenzhen.leyoujia.com/zf/detail/HqwyuSbqLwzBhkg6bCzKZJ.html</x:v>
      </x:c>
      <x:c r="R107" s="48" t="str">
        <x:v>2026-08-13</x:v>
      </x:c>
    </x:row>
    <x:row r="108">
      <x:c r="A108" s="48" t="str">
        <x:v>红岭大厦</x:v>
      </x:c>
      <x:c r="B108" s="48" t="str">
        <x:v>红岭大厦</x:v>
      </x:c>
      <x:c r="C108" s="48" t="str">
        <x:v>大剧院</x:v>
      </x:c>
      <x:c r="D108" s="56" t="n">
        <x:v>9</x:v>
      </x:c>
      <x:c r="E108" s="61" t="n">
        <x:v>3800</x:v>
      </x:c>
      <x:c r="F108" s="61" t="n">
        <x:v>40</x:v>
      </x:c>
      <x:c r="G108" s="61" t="n">
        <x:v>95</x:v>
      </x:c>
      <x:c r="H108" s="48" t="str">
        <x:v>1室0厅1</x:v>
      </x:c>
      <x:c r="I108" s="48" t="str">
        <x:v>北</x:v>
      </x:c>
      <x:c r="J108" s="48" t="str">
        <x:v>精装</x:v>
      </x:c>
      <x:c r="K108" s="48" t="str">
        <x:v>普通住宅</x:v>
      </x:c>
      <x:c r="L108" s="48" t="str">
        <x:v>否</x:v>
      </x:c>
      <x:c r="M108" s="48" t="str">
        <x:v>疑似重复挂牌</x:v>
      </x:c>
      <x:c r="N108" s="48" t="str">
        <x:v>红岭大厦|1室0厅1|40|3800|北</x:v>
      </x:c>
      <x:c r="O108" s="48"/>
      <x:c r="P108" s="48" t="str">
        <x:v>未知（未逐条补齐）</x:v>
      </x:c>
      <x:c r="Q108" s="48" t="str">
        <x:v>https://shenzhen.leyoujia.com/zf/detail/5DihrgvnMwnrKu9EYBQntV.html</x:v>
      </x:c>
      <x:c r="R108" s="48" t="str">
        <x:v>2026-08-13</x:v>
      </x:c>
    </x:row>
    <x:row r="109">
      <x:c r="A109" s="48" t="str">
        <x:v>红岭大厦</x:v>
      </x:c>
      <x:c r="B109" s="48" t="str">
        <x:v>红岭大厦</x:v>
      </x:c>
      <x:c r="C109" s="48" t="str">
        <x:v>大剧院</x:v>
      </x:c>
      <x:c r="D109" s="56" t="n">
        <x:v>9</x:v>
      </x:c>
      <x:c r="E109" s="61" t="n">
        <x:v>3800</x:v>
      </x:c>
      <x:c r="F109" s="61" t="n">
        <x:v>40</x:v>
      </x:c>
      <x:c r="G109" s="61" t="n">
        <x:v>95</x:v>
      </x:c>
      <x:c r="H109" s="48" t="str">
        <x:v>1室0厅1</x:v>
      </x:c>
      <x:c r="I109" s="48" t="str">
        <x:v>西</x:v>
      </x:c>
      <x:c r="J109" s="48" t="str">
        <x:v>普装</x:v>
      </x:c>
      <x:c r="K109" s="48" t="str">
        <x:v>酒店式公寓</x:v>
      </x:c>
      <x:c r="L109" s="48" t="str">
        <x:v>是</x:v>
      </x:c>
      <x:c r="M109" s="48" t="str">
        <x:v>保留</x:v>
      </x:c>
      <x:c r="N109" s="48" t="str">
        <x:v>红岭大厦|1室0厅1|40|3800|西</x:v>
      </x:c>
      <x:c r="O109" s="48"/>
      <x:c r="P109" s="48" t="str">
        <x:v>未知（未逐条补齐）</x:v>
      </x:c>
      <x:c r="Q109" s="48" t="str">
        <x:v>https://shenzhen.leyoujia.com/zf/detail/S5opLUZNkmWX3kunT5EqKn.html</x:v>
      </x:c>
      <x:c r="R109" s="48" t="str">
        <x:v>2026-08-13</x:v>
      </x:c>
    </x:row>
    <x:row r="110">
      <x:c r="A110" s="48" t="str">
        <x:v>红岭大厦</x:v>
      </x:c>
      <x:c r="B110" s="48" t="str">
        <x:v>红岭大厦</x:v>
      </x:c>
      <x:c r="C110" s="48" t="str">
        <x:v>大剧院</x:v>
      </x:c>
      <x:c r="D110" s="56" t="n">
        <x:v>9</x:v>
      </x:c>
      <x:c r="E110" s="61" t="n">
        <x:v>3800</x:v>
      </x:c>
      <x:c r="F110" s="61" t="n">
        <x:v>45</x:v>
      </x:c>
      <x:c r="G110" s="61" t="n">
        <x:v>84.4</x:v>
      </x:c>
      <x:c r="H110" s="48" t="str">
        <x:v>1室0厅1</x:v>
      </x:c>
      <x:c r="I110" s="48" t="str">
        <x:v>南</x:v>
      </x:c>
      <x:c r="J110" s="48" t="str">
        <x:v>普装</x:v>
      </x:c>
      <x:c r="K110" s="48" t="str">
        <x:v>公寓</x:v>
      </x:c>
      <x:c r="L110" s="48" t="str">
        <x:v>否</x:v>
      </x:c>
      <x:c r="M110" s="48" t="str">
        <x:v>疑似重复挂牌</x:v>
      </x:c>
      <x:c r="N110" s="48" t="str">
        <x:v>红岭大厦|1室0厅1|45|3800|南</x:v>
      </x:c>
      <x:c r="O110" s="48"/>
      <x:c r="P110" s="48" t="str">
        <x:v>未知（未逐条补齐）</x:v>
      </x:c>
      <x:c r="Q110" s="48" t="str">
        <x:v>https://shenzhen.leyoujia.com/zf/detail/9a129BeJaRPtBEc2sp2sjH.html</x:v>
      </x:c>
      <x:c r="R110" s="48" t="str">
        <x:v>2026-08-13</x:v>
      </x:c>
    </x:row>
    <x:row r="111">
      <x:c r="A111" s="48" t="str">
        <x:v>红岭大厦</x:v>
      </x:c>
      <x:c r="B111" s="48" t="str">
        <x:v>红岭大厦</x:v>
      </x:c>
      <x:c r="C111" s="48" t="str">
        <x:v>大剧院</x:v>
      </x:c>
      <x:c r="D111" s="56" t="n">
        <x:v>9</x:v>
      </x:c>
      <x:c r="E111" s="61" t="n">
        <x:v>3800</x:v>
      </x:c>
      <x:c r="F111" s="61" t="n">
        <x:v>41</x:v>
      </x:c>
      <x:c r="G111" s="61" t="n">
        <x:v>92.7</x:v>
      </x:c>
      <x:c r="H111" s="48" t="str">
        <x:v>1室0厅1</x:v>
      </x:c>
      <x:c r="I111" s="48" t="str">
        <x:v>北</x:v>
      </x:c>
      <x:c r="J111" s="48" t="str">
        <x:v>精装</x:v>
      </x:c>
      <x:c r="K111" s="48" t="str">
        <x:v>酒店式公寓</x:v>
      </x:c>
      <x:c r="L111" s="48" t="str">
        <x:v>是</x:v>
      </x:c>
      <x:c r="M111" s="48" t="str">
        <x:v>保留</x:v>
      </x:c>
      <x:c r="N111" s="48" t="str">
        <x:v>红岭大厦|1室0厅1|41|3800|北</x:v>
      </x:c>
      <x:c r="O111" s="48"/>
      <x:c r="P111" s="48" t="str">
        <x:v>未知（未逐条补齐）</x:v>
      </x:c>
      <x:c r="Q111" s="48" t="str">
        <x:v>https://shenzhen.leyoujia.com/zf/detail/YNtDzjmCjVRqxs2aUWvR5N.html</x:v>
      </x:c>
      <x:c r="R111" s="48" t="str">
        <x:v>2026-08-13</x:v>
      </x:c>
    </x:row>
    <x:row r="112">
      <x:c r="A112" s="48" t="str">
        <x:v>红岭大厦</x:v>
      </x:c>
      <x:c r="B112" s="48" t="str">
        <x:v>红岭大厦</x:v>
      </x:c>
      <x:c r="C112" s="48" t="str">
        <x:v>大剧院</x:v>
      </x:c>
      <x:c r="D112" s="56" t="n">
        <x:v>9</x:v>
      </x:c>
      <x:c r="E112" s="61" t="n">
        <x:v>3800</x:v>
      </x:c>
      <x:c r="F112" s="61" t="n">
        <x:v>40</x:v>
      </x:c>
      <x:c r="G112" s="61" t="n">
        <x:v>95</x:v>
      </x:c>
      <x:c r="H112" s="48" t="str">
        <x:v>1室0厅1</x:v>
      </x:c>
      <x:c r="I112" s="48" t="str">
        <x:v>南</x:v>
      </x:c>
      <x:c r="J112" s="48" t="str">
        <x:v>普装</x:v>
      </x:c>
      <x:c r="K112" s="48" t="str">
        <x:v>普通住宅</x:v>
      </x:c>
      <x:c r="L112" s="48" t="str">
        <x:v>是</x:v>
      </x:c>
      <x:c r="M112" s="48" t="str">
        <x:v>保留</x:v>
      </x:c>
      <x:c r="N112" s="48" t="str">
        <x:v>红岭大厦|1室0厅1|40|3800|南</x:v>
      </x:c>
      <x:c r="O112" s="48"/>
      <x:c r="P112" s="48" t="str">
        <x:v>未知（未逐条补齐）</x:v>
      </x:c>
      <x:c r="Q112" s="48" t="str">
        <x:v>https://shenzhen.leyoujia.com/zf/detail/D2SDiuYHkHgxSWzCP7abcr.html</x:v>
      </x:c>
      <x:c r="R112" s="48" t="str">
        <x:v>2026-08-13</x:v>
      </x:c>
    </x:row>
    <x:row r="113">
      <x:c r="A113" s="48" t="str">
        <x:v>红岭大厦</x:v>
      </x:c>
      <x:c r="B113" s="48" t="str">
        <x:v>红岭大厦</x:v>
      </x:c>
      <x:c r="C113" s="48" t="str">
        <x:v>大剧院</x:v>
      </x:c>
      <x:c r="D113" s="56" t="n">
        <x:v>9</x:v>
      </x:c>
      <x:c r="E113" s="61" t="n">
        <x:v>3800</x:v>
      </x:c>
      <x:c r="F113" s="61" t="n">
        <x:v>45</x:v>
      </x:c>
      <x:c r="G113" s="61" t="n">
        <x:v>84.4</x:v>
      </x:c>
      <x:c r="H113" s="48" t="str">
        <x:v>1室0厅1</x:v>
      </x:c>
      <x:c r="I113" s="48" t="str">
        <x:v>西</x:v>
      </x:c>
      <x:c r="J113" s="48" t="str">
        <x:v>普装</x:v>
      </x:c>
      <x:c r="K113" s="48" t="str">
        <x:v>酒店式公寓</x:v>
      </x:c>
      <x:c r="L113" s="48" t="str">
        <x:v>否</x:v>
      </x:c>
      <x:c r="M113" s="48" t="str">
        <x:v>疑似重复挂牌</x:v>
      </x:c>
      <x:c r="N113" s="48" t="str">
        <x:v>红岭大厦|1室0厅1|45|3800|西</x:v>
      </x:c>
      <x:c r="O113" s="48"/>
      <x:c r="P113" s="48" t="str">
        <x:v>未知（未逐条补齐）</x:v>
      </x:c>
      <x:c r="Q113" s="48" t="str">
        <x:v>https://shenzhen.leyoujia.com/zf/detail/C8rVik6Wkvfpk6hxzNUJ6Y.html</x:v>
      </x:c>
      <x:c r="R113" s="48" t="str">
        <x:v>2026-08-13</x:v>
      </x:c>
    </x:row>
    <x:row r="114">
      <x:c r="A114" s="48" t="str">
        <x:v>红岭大厦</x:v>
      </x:c>
      <x:c r="B114" s="48" t="str">
        <x:v>红岭大厦</x:v>
      </x:c>
      <x:c r="C114" s="48" t="str">
        <x:v>大剧院</x:v>
      </x:c>
      <x:c r="D114" s="56" t="n">
        <x:v>9</x:v>
      </x:c>
      <x:c r="E114" s="61" t="n">
        <x:v>3800</x:v>
      </x:c>
      <x:c r="F114" s="61" t="n">
        <x:v>45</x:v>
      </x:c>
      <x:c r="G114" s="61" t="n">
        <x:v>84.4</x:v>
      </x:c>
      <x:c r="H114" s="48" t="str">
        <x:v>1室0厅1</x:v>
      </x:c>
      <x:c r="I114" s="48" t="str">
        <x:v>北</x:v>
      </x:c>
      <x:c r="J114" s="48" t="str">
        <x:v>精装</x:v>
      </x:c>
      <x:c r="K114" s="48" t="str">
        <x:v>公寓</x:v>
      </x:c>
      <x:c r="L114" s="48" t="str">
        <x:v>是</x:v>
      </x:c>
      <x:c r="M114" s="48" t="str">
        <x:v>保留</x:v>
      </x:c>
      <x:c r="N114" s="48" t="str">
        <x:v>红岭大厦|1室0厅1|45|3800|北</x:v>
      </x:c>
      <x:c r="O114" s="48"/>
      <x:c r="P114" s="48" t="str">
        <x:v>未知（未逐条补齐）</x:v>
      </x:c>
      <x:c r="Q114" s="48" t="str">
        <x:v>https://shenzhen.leyoujia.com/zf/detail/LHam7i4qAHfEfW5c1mAayL.html</x:v>
      </x:c>
      <x:c r="R114" s="48" t="str">
        <x:v>2026-08-13</x:v>
      </x:c>
    </x:row>
    <x:row r="115">
      <x:c r="A115" s="48" t="str">
        <x:v>红岭大厦</x:v>
      </x:c>
      <x:c r="B115" s="48" t="str">
        <x:v>红岭大厦</x:v>
      </x:c>
      <x:c r="C115" s="48" t="str">
        <x:v>大剧院</x:v>
      </x:c>
      <x:c r="D115" s="56" t="n">
        <x:v>9</x:v>
      </x:c>
      <x:c r="E115" s="61" t="n">
        <x:v>3800</x:v>
      </x:c>
      <x:c r="F115" s="61" t="n">
        <x:v>40</x:v>
      </x:c>
      <x:c r="G115" s="61" t="n">
        <x:v>95</x:v>
      </x:c>
      <x:c r="H115" s="48" t="str">
        <x:v>1室0厅1</x:v>
      </x:c>
      <x:c r="I115" s="48" t="str">
        <x:v>北</x:v>
      </x:c>
      <x:c r="J115" s="48" t="str">
        <x:v>精装</x:v>
      </x:c>
      <x:c r="K115" s="48" t="str">
        <x:v>公寓</x:v>
      </x:c>
      <x:c r="L115" s="48" t="str">
        <x:v>否</x:v>
      </x:c>
      <x:c r="M115" s="48" t="str">
        <x:v>疑似重复挂牌</x:v>
      </x:c>
      <x:c r="N115" s="48" t="str">
        <x:v>红岭大厦|1室0厅1|40|3800|北</x:v>
      </x:c>
      <x:c r="O115" s="48"/>
      <x:c r="P115" s="48" t="str">
        <x:v>未知（未逐条补齐）</x:v>
      </x:c>
      <x:c r="Q115" s="48" t="str">
        <x:v>https://shenzhen.leyoujia.com/zf/detail/PfYtSt3ca4ULUKJ4mUYPbp.html</x:v>
      </x:c>
      <x:c r="R115" s="48" t="str">
        <x:v>2026-08-13</x:v>
      </x:c>
    </x:row>
    <x:row r="116">
      <x:c r="A116" s="48" t="str">
        <x:v>红岭大厦</x:v>
      </x:c>
      <x:c r="B116" s="48" t="str">
        <x:v>红岭大厦</x:v>
      </x:c>
      <x:c r="C116" s="48" t="str">
        <x:v>大剧院</x:v>
      </x:c>
      <x:c r="D116" s="56" t="n">
        <x:v>9</x:v>
      </x:c>
      <x:c r="E116" s="61" t="n">
        <x:v>3800</x:v>
      </x:c>
      <x:c r="F116" s="61" t="n">
        <x:v>38</x:v>
      </x:c>
      <x:c r="G116" s="61" t="n">
        <x:v>100</x:v>
      </x:c>
      <x:c r="H116" s="48" t="str">
        <x:v>1室0厅1</x:v>
      </x:c>
      <x:c r="I116" s="48" t="str">
        <x:v>西</x:v>
      </x:c>
      <x:c r="J116" s="48" t="str">
        <x:v>精装</x:v>
      </x:c>
      <x:c r="K116" s="48" t="str">
        <x:v>酒店式公寓</x:v>
      </x:c>
      <x:c r="L116" s="48" t="str">
        <x:v>是</x:v>
      </x:c>
      <x:c r="M116" s="48" t="str">
        <x:v>保留</x:v>
      </x:c>
      <x:c r="N116" s="48" t="str">
        <x:v>红岭大厦|1室0厅1|38|3800|西</x:v>
      </x:c>
      <x:c r="O116" s="48"/>
      <x:c r="P116" s="48" t="str">
        <x:v>未知（未逐条补齐）</x:v>
      </x:c>
      <x:c r="Q116" s="48" t="str">
        <x:v>https://shenzhen.leyoujia.com/zf/detail/CJDFzNEP3qbdQfaWyTUnt.html</x:v>
      </x:c>
      <x:c r="R116" s="48" t="str">
        <x:v>2026-08-13</x:v>
      </x:c>
    </x:row>
    <x:row r="117">
      <x:c r="A117" s="48" t="str">
        <x:v>红岭大厦</x:v>
      </x:c>
      <x:c r="B117" s="48" t="str">
        <x:v>红岭大厦</x:v>
      </x:c>
      <x:c r="C117" s="48" t="str">
        <x:v>大剧院</x:v>
      </x:c>
      <x:c r="D117" s="56" t="n">
        <x:v>9</x:v>
      </x:c>
      <x:c r="E117" s="61" t="n">
        <x:v>3800</x:v>
      </x:c>
      <x:c r="F117" s="61" t="n">
        <x:v>45</x:v>
      </x:c>
      <x:c r="G117" s="61" t="n">
        <x:v>84.4</x:v>
      </x:c>
      <x:c r="H117" s="48" t="str">
        <x:v>1室0厅1</x:v>
      </x:c>
      <x:c r="I117" s="48" t="str">
        <x:v>南</x:v>
      </x:c>
      <x:c r="J117" s="48" t="str">
        <x:v>精装</x:v>
      </x:c>
      <x:c r="K117" s="48" t="str">
        <x:v>普通住宅</x:v>
      </x:c>
      <x:c r="L117" s="48" t="str">
        <x:v>否</x:v>
      </x:c>
      <x:c r="M117" s="48" t="str">
        <x:v>疑似重复挂牌</x:v>
      </x:c>
      <x:c r="N117" s="48" t="str">
        <x:v>红岭大厦|1室0厅1|45|3800|南</x:v>
      </x:c>
      <x:c r="O117" s="48"/>
      <x:c r="P117" s="48" t="str">
        <x:v>未知（未逐条补齐）</x:v>
      </x:c>
      <x:c r="Q117" s="48" t="str">
        <x:v>https://shenzhen.leyoujia.com/zf/detail/VEyXmEhhNRxcNvRAyy49FB.html</x:v>
      </x:c>
      <x:c r="R117" s="48" t="str">
        <x:v>2026-08-13</x:v>
      </x:c>
    </x:row>
    <x:row r="118">
      <x:c r="A118" s="48" t="str">
        <x:v>红岭大厦</x:v>
      </x:c>
      <x:c r="B118" s="48" t="str">
        <x:v>红岭大厦</x:v>
      </x:c>
      <x:c r="C118" s="48" t="str">
        <x:v>大剧院</x:v>
      </x:c>
      <x:c r="D118" s="56" t="n">
        <x:v>9</x:v>
      </x:c>
      <x:c r="E118" s="61" t="n">
        <x:v>3800</x:v>
      </x:c>
      <x:c r="F118" s="61" t="n">
        <x:v>45</x:v>
      </x:c>
      <x:c r="G118" s="61" t="n">
        <x:v>84.4</x:v>
      </x:c>
      <x:c r="H118" s="48" t="str">
        <x:v>1室0厅1</x:v>
      </x:c>
      <x:c r="I118" s="48" t="str">
        <x:v>南</x:v>
      </x:c>
      <x:c r="J118" s="48" t="str">
        <x:v>普装</x:v>
      </x:c>
      <x:c r="K118" s="48" t="str">
        <x:v>普通住宅</x:v>
      </x:c>
      <x:c r="L118" s="48" t="str">
        <x:v>否</x:v>
      </x:c>
      <x:c r="M118" s="48" t="str">
        <x:v>疑似重复挂牌</x:v>
      </x:c>
      <x:c r="N118" s="48" t="str">
        <x:v>红岭大厦|1室0厅1|45|3800|南</x:v>
      </x:c>
      <x:c r="O118" s="48"/>
      <x:c r="P118" s="48" t="str">
        <x:v>未知（未逐条补齐）</x:v>
      </x:c>
      <x:c r="Q118" s="48" t="str">
        <x:v>https://shenzhen.leyoujia.com/zf/detail/FYm8n1k8seSUWMjZjurkNH.html</x:v>
      </x:c>
      <x:c r="R118" s="48" t="str">
        <x:v>2026-08-13</x:v>
      </x:c>
    </x:row>
    <x:row r="119">
      <x:c r="A119" s="48" t="str">
        <x:v>红岭大厦</x:v>
      </x:c>
      <x:c r="B119" s="48" t="str">
        <x:v>红岭大厦</x:v>
      </x:c>
      <x:c r="C119" s="48" t="str">
        <x:v>大剧院</x:v>
      </x:c>
      <x:c r="D119" s="56" t="n">
        <x:v>9</x:v>
      </x:c>
      <x:c r="E119" s="61" t="n">
        <x:v>3800</x:v>
      </x:c>
      <x:c r="F119" s="61" t="n">
        <x:v>45</x:v>
      </x:c>
      <x:c r="G119" s="61" t="n">
        <x:v>84.4</x:v>
      </x:c>
      <x:c r="H119" s="48" t="str">
        <x:v>1室0厅1</x:v>
      </x:c>
      <x:c r="I119" s="48" t="str">
        <x:v>东</x:v>
      </x:c>
      <x:c r="J119" s="48" t="str">
        <x:v>普装</x:v>
      </x:c>
      <x:c r="K119" s="48" t="str">
        <x:v>酒店式公寓</x:v>
      </x:c>
      <x:c r="L119" s="48" t="str">
        <x:v>否</x:v>
      </x:c>
      <x:c r="M119" s="48" t="str">
        <x:v>疑似重复挂牌</x:v>
      </x:c>
      <x:c r="N119" s="48" t="str">
        <x:v>红岭大厦|1室0厅1|45|3800|东</x:v>
      </x:c>
      <x:c r="O119" s="48"/>
      <x:c r="P119" s="48" t="str">
        <x:v>未知（未逐条补齐）</x:v>
      </x:c>
      <x:c r="Q119" s="48" t="str">
        <x:v>https://shenzhen.leyoujia.com/zf/detail/1Ak5Y9UpHmKwN4mPB4FBT.html</x:v>
      </x:c>
      <x:c r="R119" s="48" t="str">
        <x:v>2026-08-13</x:v>
      </x:c>
    </x:row>
    <x:row r="120">
      <x:c r="A120" s="48" t="str">
        <x:v>红岭大厦</x:v>
      </x:c>
      <x:c r="B120" s="48" t="str">
        <x:v>红岭大厦</x:v>
      </x:c>
      <x:c r="C120" s="48" t="str">
        <x:v>大剧院</x:v>
      </x:c>
      <x:c r="D120" s="56" t="n">
        <x:v>9</x:v>
      </x:c>
      <x:c r="E120" s="61" t="n">
        <x:v>3800</x:v>
      </x:c>
      <x:c r="F120" s="61" t="n">
        <x:v>45</x:v>
      </x:c>
      <x:c r="G120" s="61" t="n">
        <x:v>84.4</x:v>
      </x:c>
      <x:c r="H120" s="48" t="str">
        <x:v>1室0厅1</x:v>
      </x:c>
      <x:c r="I120" s="48" t="str">
        <x:v>东</x:v>
      </x:c>
      <x:c r="J120" s="48" t="str">
        <x:v>普装</x:v>
      </x:c>
      <x:c r="K120" s="48" t="str">
        <x:v>公寓</x:v>
      </x:c>
      <x:c r="L120" s="48" t="str">
        <x:v>否</x:v>
      </x:c>
      <x:c r="M120" s="48" t="str">
        <x:v>疑似重复挂牌</x:v>
      </x:c>
      <x:c r="N120" s="48" t="str">
        <x:v>红岭大厦|1室0厅1|45|3800|东</x:v>
      </x:c>
      <x:c r="O120" s="48"/>
      <x:c r="P120" s="48" t="str">
        <x:v>未知（未逐条补齐）</x:v>
      </x:c>
      <x:c r="Q120" s="48" t="str">
        <x:v>https://shenzhen.leyoujia.com/zf/detail/L2pfkA8mv918Gv7wtNXuMY.html</x:v>
      </x:c>
      <x:c r="R120" s="48" t="str">
        <x:v>2026-08-13</x:v>
      </x:c>
    </x:row>
    <x:row r="121">
      <x:c r="A121" s="48" t="str">
        <x:v>红岭大厦</x:v>
      </x:c>
      <x:c r="B121" s="48" t="str">
        <x:v>红岭大厦</x:v>
      </x:c>
      <x:c r="C121" s="48" t="str">
        <x:v>大剧院</x:v>
      </x:c>
      <x:c r="D121" s="56" t="n">
        <x:v>9</x:v>
      </x:c>
      <x:c r="E121" s="61" t="n">
        <x:v>3800</x:v>
      </x:c>
      <x:c r="F121" s="61" t="n">
        <x:v>40</x:v>
      </x:c>
      <x:c r="G121" s="61" t="n">
        <x:v>95</x:v>
      </x:c>
      <x:c r="H121" s="48" t="str">
        <x:v>1室0厅1</x:v>
      </x:c>
      <x:c r="I121" s="48" t="str">
        <x:v>西</x:v>
      </x:c>
      <x:c r="J121" s="48" t="str">
        <x:v>精装</x:v>
      </x:c>
      <x:c r="K121" s="48" t="str">
        <x:v>公寓</x:v>
      </x:c>
      <x:c r="L121" s="48" t="str">
        <x:v>否</x:v>
      </x:c>
      <x:c r="M121" s="48" t="str">
        <x:v>疑似重复挂牌</x:v>
      </x:c>
      <x:c r="N121" s="48" t="str">
        <x:v>红岭大厦|1室0厅1|40|3800|西</x:v>
      </x:c>
      <x:c r="O121" s="48"/>
      <x:c r="P121" s="48" t="str">
        <x:v>未知（未逐条补齐）</x:v>
      </x:c>
      <x:c r="Q121" s="48" t="str">
        <x:v>https://shenzhen.leyoujia.com/zf/detail/XHouVe3Dbt1urhbeTtt2CU.html</x:v>
      </x:c>
      <x:c r="R121" s="48" t="str">
        <x:v>2026-08-13</x:v>
      </x:c>
    </x:row>
    <x:row r="122">
      <x:c r="A122" s="48" t="str">
        <x:v>红岭大厦</x:v>
      </x:c>
      <x:c r="B122" s="48" t="str">
        <x:v>红岭大厦</x:v>
      </x:c>
      <x:c r="C122" s="48" t="str">
        <x:v>大剧院</x:v>
      </x:c>
      <x:c r="D122" s="56" t="n">
        <x:v>9</x:v>
      </x:c>
      <x:c r="E122" s="61" t="n">
        <x:v>3800</x:v>
      </x:c>
      <x:c r="F122" s="61" t="n">
        <x:v>41</x:v>
      </x:c>
      <x:c r="G122" s="61" t="n">
        <x:v>92.7</x:v>
      </x:c>
      <x:c r="H122" s="48" t="str">
        <x:v>1室0厅1</x:v>
      </x:c>
      <x:c r="I122" s="48" t="str">
        <x:v>北</x:v>
      </x:c>
      <x:c r="J122" s="48" t="str">
        <x:v>精装</x:v>
      </x:c>
      <x:c r="K122" s="48" t="str">
        <x:v>酒店式公寓</x:v>
      </x:c>
      <x:c r="L122" s="48" t="str">
        <x:v>否</x:v>
      </x:c>
      <x:c r="M122" s="48" t="str">
        <x:v>疑似重复挂牌</x:v>
      </x:c>
      <x:c r="N122" s="48" t="str">
        <x:v>红岭大厦|1室0厅1|41|3800|北</x:v>
      </x:c>
      <x:c r="O122" s="48"/>
      <x:c r="P122" s="48" t="str">
        <x:v>未知（未逐条补齐）</x:v>
      </x:c>
      <x:c r="Q122" s="48" t="str">
        <x:v>https://shenzhen.leyoujia.com/zf/detail/4J836ReFQmNN3agKhyuBN8.html</x:v>
      </x:c>
      <x:c r="R122" s="48" t="str">
        <x:v>2026-08-13</x:v>
      </x:c>
    </x:row>
    <x:row r="123">
      <x:c r="A123" s="48" t="str">
        <x:v>红岭大厦</x:v>
      </x:c>
      <x:c r="B123" s="48" t="str">
        <x:v>红岭大厦</x:v>
      </x:c>
      <x:c r="C123" s="48" t="str">
        <x:v>大剧院</x:v>
      </x:c>
      <x:c r="D123" s="56" t="n">
        <x:v>9</x:v>
      </x:c>
      <x:c r="E123" s="61" t="n">
        <x:v>3800</x:v>
      </x:c>
      <x:c r="F123" s="61" t="n">
        <x:v>49</x:v>
      </x:c>
      <x:c r="G123" s="61" t="n">
        <x:v>77.6</x:v>
      </x:c>
      <x:c r="H123" s="48" t="str">
        <x:v>1室0厅1</x:v>
      </x:c>
      <x:c r="I123" s="48" t="str">
        <x:v>东</x:v>
      </x:c>
      <x:c r="J123" s="48" t="str">
        <x:v>精装</x:v>
      </x:c>
      <x:c r="K123" s="48" t="str">
        <x:v>酒店式公寓</x:v>
      </x:c>
      <x:c r="L123" s="48" t="str">
        <x:v>是</x:v>
      </x:c>
      <x:c r="M123" s="48" t="str">
        <x:v>保留</x:v>
      </x:c>
      <x:c r="N123" s="48" t="str">
        <x:v>红岭大厦|1室0厅1|49|3800|东</x:v>
      </x:c>
      <x:c r="O123" s="48"/>
      <x:c r="P123" s="48" t="str">
        <x:v>未知（未逐条补齐）</x:v>
      </x:c>
      <x:c r="Q123" s="48" t="str">
        <x:v>https://shenzhen.leyoujia.com/zf/detail/Wif75vM8uVuEAyEbBjLgtx.html</x:v>
      </x:c>
      <x:c r="R123" s="48" t="str">
        <x:v>2026-08-13</x:v>
      </x:c>
    </x:row>
    <x:row r="124">
      <x:c r="A124" s="48" t="str">
        <x:v>红岭大厦</x:v>
      </x:c>
      <x:c r="B124" s="48" t="str">
        <x:v>红岭大厦</x:v>
      </x:c>
      <x:c r="C124" s="48" t="str">
        <x:v>大剧院</x:v>
      </x:c>
      <x:c r="D124" s="56" t="n">
        <x:v>9</x:v>
      </x:c>
      <x:c r="E124" s="61" t="n">
        <x:v>3900</x:v>
      </x:c>
      <x:c r="F124" s="61" t="n">
        <x:v>35</x:v>
      </x:c>
      <x:c r="G124" s="61" t="n">
        <x:v>111.4</x:v>
      </x:c>
      <x:c r="H124" s="48" t="str">
        <x:v>1室0厅1</x:v>
      </x:c>
      <x:c r="I124" s="48" t="str">
        <x:v>南</x:v>
      </x:c>
      <x:c r="J124" s="48" t="str">
        <x:v>待核</x:v>
      </x:c>
      <x:c r="K124" s="48" t="str">
        <x:v>酒店式公寓</x:v>
      </x:c>
      <x:c r="L124" s="48" t="str">
        <x:v>是</x:v>
      </x:c>
      <x:c r="M124" s="48" t="str">
        <x:v>保留</x:v>
      </x:c>
      <x:c r="N124" s="48" t="str">
        <x:v>红岭大厦|1室0厅1|35|3900|南</x:v>
      </x:c>
      <x:c r="O124" s="48"/>
      <x:c r="P124" s="48" t="str">
        <x:v>未知（未逐条补齐）</x:v>
      </x:c>
      <x:c r="Q124" s="48" t="str">
        <x:v>https://shenzhen.leyoujia.com/zf/detail/HU2WmXAkHNdLnRDG9i4UQw.html</x:v>
      </x:c>
      <x:c r="R124" s="48" t="str">
        <x:v>2026-08-13</x:v>
      </x:c>
    </x:row>
    <x:row r="125">
      <x:c r="A125" s="48" t="str">
        <x:v>红岭大厦</x:v>
      </x:c>
      <x:c r="B125" s="48" t="str">
        <x:v>红岭大厦</x:v>
      </x:c>
      <x:c r="C125" s="48" t="str">
        <x:v>大剧院</x:v>
      </x:c>
      <x:c r="D125" s="56" t="n">
        <x:v>9</x:v>
      </x:c>
      <x:c r="E125" s="61" t="n">
        <x:v>3900</x:v>
      </x:c>
      <x:c r="F125" s="61" t="n">
        <x:v>38</x:v>
      </x:c>
      <x:c r="G125" s="61" t="n">
        <x:v>102.6</x:v>
      </x:c>
      <x:c r="H125" s="48" t="str">
        <x:v>1室0厅1</x:v>
      </x:c>
      <x:c r="I125" s="48" t="str">
        <x:v>东</x:v>
      </x:c>
      <x:c r="J125" s="48" t="str">
        <x:v>待核</x:v>
      </x:c>
      <x:c r="K125" s="48" t="str">
        <x:v>酒店式公寓</x:v>
      </x:c>
      <x:c r="L125" s="48" t="str">
        <x:v>是</x:v>
      </x:c>
      <x:c r="M125" s="48" t="str">
        <x:v>保留</x:v>
      </x:c>
      <x:c r="N125" s="48" t="str">
        <x:v>红岭大厦|1室0厅1|38|3900|东</x:v>
      </x:c>
      <x:c r="O125" s="48"/>
      <x:c r="P125" s="48" t="str">
        <x:v>未知（未逐条补齐）</x:v>
      </x:c>
      <x:c r="Q125" s="48" t="str">
        <x:v>https://shenzhen.leyoujia.com/zf/detail/CXoFMCWFVPUoxLknAfrddz.html</x:v>
      </x:c>
      <x:c r="R125" s="48" t="str">
        <x:v>2026-08-13</x:v>
      </x:c>
    </x:row>
    <x:row r="126">
      <x:c r="A126" s="48" t="str">
        <x:v>红岭大厦</x:v>
      </x:c>
      <x:c r="B126" s="48" t="str">
        <x:v>红岭大厦</x:v>
      </x:c>
      <x:c r="C126" s="48" t="str">
        <x:v>大剧院</x:v>
      </x:c>
      <x:c r="D126" s="56" t="n">
        <x:v>9</x:v>
      </x:c>
      <x:c r="E126" s="61" t="n">
        <x:v>3900</x:v>
      </x:c>
      <x:c r="F126" s="61" t="n">
        <x:v>38</x:v>
      </x:c>
      <x:c r="G126" s="61" t="n">
        <x:v>102.6</x:v>
      </x:c>
      <x:c r="H126" s="48" t="str">
        <x:v>1室0厅1</x:v>
      </x:c>
      <x:c r="I126" s="48" t="str">
        <x:v>北</x:v>
      </x:c>
      <x:c r="J126" s="48" t="str">
        <x:v>待核</x:v>
      </x:c>
      <x:c r="K126" s="48" t="str">
        <x:v>酒店式公寓</x:v>
      </x:c>
      <x:c r="L126" s="48" t="str">
        <x:v>是</x:v>
      </x:c>
      <x:c r="M126" s="48" t="str">
        <x:v>保留</x:v>
      </x:c>
      <x:c r="N126" s="48" t="str">
        <x:v>红岭大厦|1室0厅1|38|3900|北</x:v>
      </x:c>
      <x:c r="O126" s="48"/>
      <x:c r="P126" s="48" t="str">
        <x:v>未知（未逐条补齐）</x:v>
      </x:c>
      <x:c r="Q126" s="48" t="str">
        <x:v>https://shenzhen.leyoujia.com/zf/detail/5RYNM2rBjZjBjthWTkT2yc.html</x:v>
      </x:c>
      <x:c r="R126" s="48" t="str">
        <x:v>2026-08-13</x:v>
      </x:c>
    </x:row>
    <x:row r="127">
      <x:c r="A127" s="48" t="str">
        <x:v>红岭大厦</x:v>
      </x:c>
      <x:c r="B127" s="48" t="str">
        <x:v>红岭大厦</x:v>
      </x:c>
      <x:c r="C127" s="48" t="str">
        <x:v>大剧院</x:v>
      </x:c>
      <x:c r="D127" s="56" t="n">
        <x:v>9</x:v>
      </x:c>
      <x:c r="E127" s="61" t="n">
        <x:v>3900</x:v>
      </x:c>
      <x:c r="F127" s="61" t="n">
        <x:v>38</x:v>
      </x:c>
      <x:c r="G127" s="61" t="n">
        <x:v>102.6</x:v>
      </x:c>
      <x:c r="H127" s="48" t="str">
        <x:v>1室0厅1</x:v>
      </x:c>
      <x:c r="I127" s="48" t="str">
        <x:v>南</x:v>
      </x:c>
      <x:c r="J127" s="48" t="str">
        <x:v>待核</x:v>
      </x:c>
      <x:c r="K127" s="48" t="str">
        <x:v>酒店式公寓</x:v>
      </x:c>
      <x:c r="L127" s="48" t="str">
        <x:v>是</x:v>
      </x:c>
      <x:c r="M127" s="48" t="str">
        <x:v>保留</x:v>
      </x:c>
      <x:c r="N127" s="48" t="str">
        <x:v>红岭大厦|1室0厅1|38|3900|南</x:v>
      </x:c>
      <x:c r="O127" s="48"/>
      <x:c r="P127" s="48" t="str">
        <x:v>未知（未逐条补齐）</x:v>
      </x:c>
      <x:c r="Q127" s="48" t="str">
        <x:v>https://shenzhen.leyoujia.com/zf/detail/5SPqvXwbj79XMKtiG3NppV.html</x:v>
      </x:c>
      <x:c r="R127" s="48" t="str">
        <x:v>2026-08-13</x:v>
      </x:c>
    </x:row>
    <x:row r="128">
      <x:c r="A128" s="48" t="str">
        <x:v>红岭大厦</x:v>
      </x:c>
      <x:c r="B128" s="48" t="str">
        <x:v>红岭大厦</x:v>
      </x:c>
      <x:c r="C128" s="48" t="str">
        <x:v>大剧院</x:v>
      </x:c>
      <x:c r="D128" s="56" t="n">
        <x:v>9</x:v>
      </x:c>
      <x:c r="E128" s="61" t="n">
        <x:v>3900</x:v>
      </x:c>
      <x:c r="F128" s="61" t="n">
        <x:v>40</x:v>
      </x:c>
      <x:c r="G128" s="61" t="n">
        <x:v>97.5</x:v>
      </x:c>
      <x:c r="H128" s="48" t="str">
        <x:v>1室0厅1</x:v>
      </x:c>
      <x:c r="I128" s="48" t="str">
        <x:v>北</x:v>
      </x:c>
      <x:c r="J128" s="48" t="str">
        <x:v>精装</x:v>
      </x:c>
      <x:c r="K128" s="48" t="str">
        <x:v>公寓</x:v>
      </x:c>
      <x:c r="L128" s="48" t="str">
        <x:v>是</x:v>
      </x:c>
      <x:c r="M128" s="48" t="str">
        <x:v>保留</x:v>
      </x:c>
      <x:c r="N128" s="48" t="str">
        <x:v>红岭大厦|1室0厅1|40|3900|北</x:v>
      </x:c>
      <x:c r="O128" s="48"/>
      <x:c r="P128" s="48" t="str">
        <x:v>未知（未逐条补齐）</x:v>
      </x:c>
      <x:c r="Q128" s="48" t="str">
        <x:v>https://shenzhen.leyoujia.com/zf/detail/7BkFHHHpjbeUm66zBanEC1.html</x:v>
      </x:c>
      <x:c r="R128" s="48" t="str">
        <x:v>2026-08-13</x:v>
      </x:c>
    </x:row>
    <x:row r="129">
      <x:c r="A129" s="48" t="str">
        <x:v>红岭大厦</x:v>
      </x:c>
      <x:c r="B129" s="48" t="str">
        <x:v>红岭大厦</x:v>
      </x:c>
      <x:c r="C129" s="48" t="str">
        <x:v>大剧院</x:v>
      </x:c>
      <x:c r="D129" s="56" t="n">
        <x:v>9</x:v>
      </x:c>
      <x:c r="E129" s="61" t="n">
        <x:v>3900</x:v>
      </x:c>
      <x:c r="F129" s="61" t="n">
        <x:v>38</x:v>
      </x:c>
      <x:c r="G129" s="61" t="n">
        <x:v>102.6</x:v>
      </x:c>
      <x:c r="H129" s="48" t="str">
        <x:v>1室0厅1</x:v>
      </x:c>
      <x:c r="I129" s="48" t="str">
        <x:v>西</x:v>
      </x:c>
      <x:c r="J129" s="48" t="str">
        <x:v>待核</x:v>
      </x:c>
      <x:c r="K129" s="48" t="str">
        <x:v>酒店式公寓</x:v>
      </x:c>
      <x:c r="L129" s="48" t="str">
        <x:v>是</x:v>
      </x:c>
      <x:c r="M129" s="48" t="str">
        <x:v>保留</x:v>
      </x:c>
      <x:c r="N129" s="48" t="str">
        <x:v>红岭大厦|1室0厅1|38|3900|西</x:v>
      </x:c>
      <x:c r="O129" s="48"/>
      <x:c r="P129" s="48" t="str">
        <x:v>未知（未逐条补齐）</x:v>
      </x:c>
      <x:c r="Q129" s="48" t="str">
        <x:v>https://shenzhen.leyoujia.com/zf/detail/Hn6qmxQcutnRMxvHfPYcTp.html</x:v>
      </x:c>
      <x:c r="R129" s="48" t="str">
        <x:v>2026-08-13</x:v>
      </x:c>
    </x:row>
    <x:row r="130">
      <x:c r="A130" s="48" t="str">
        <x:v>红岭大厦</x:v>
      </x:c>
      <x:c r="B130" s="48" t="str">
        <x:v>红岭大厦</x:v>
      </x:c>
      <x:c r="C130" s="48" t="str">
        <x:v>大剧院</x:v>
      </x:c>
      <x:c r="D130" s="56" t="n">
        <x:v>9</x:v>
      </x:c>
      <x:c r="E130" s="61" t="n">
        <x:v>3900</x:v>
      </x:c>
      <x:c r="F130" s="61" t="n">
        <x:v>38</x:v>
      </x:c>
      <x:c r="G130" s="61" t="n">
        <x:v>102.6</x:v>
      </x:c>
      <x:c r="H130" s="48" t="str">
        <x:v>1室0厅1</x:v>
      </x:c>
      <x:c r="I130" s="48" t="str">
        <x:v>北</x:v>
      </x:c>
      <x:c r="J130" s="48" t="str">
        <x:v>待核</x:v>
      </x:c>
      <x:c r="K130" s="48" t="str">
        <x:v>酒店式公寓</x:v>
      </x:c>
      <x:c r="L130" s="48" t="str">
        <x:v>否</x:v>
      </x:c>
      <x:c r="M130" s="48" t="str">
        <x:v>疑似重复挂牌</x:v>
      </x:c>
      <x:c r="N130" s="48" t="str">
        <x:v>红岭大厦|1室0厅1|38|3900|北</x:v>
      </x:c>
      <x:c r="O130" s="48"/>
      <x:c r="P130" s="48" t="str">
        <x:v>未知（未逐条补齐）</x:v>
      </x:c>
      <x:c r="Q130" s="48" t="str">
        <x:v>https://shenzhen.leyoujia.com/zf/detail/P9dnEsr26MpYevH8ntVVg.html</x:v>
      </x:c>
      <x:c r="R130" s="48" t="str">
        <x:v>2026-08-13</x:v>
      </x:c>
    </x:row>
    <x:row r="131">
      <x:c r="A131" s="48" t="str">
        <x:v>红岭大厦</x:v>
      </x:c>
      <x:c r="B131" s="48" t="str">
        <x:v>红岭大厦</x:v>
      </x:c>
      <x:c r="C131" s="48" t="str">
        <x:v>大剧院</x:v>
      </x:c>
      <x:c r="D131" s="56" t="n">
        <x:v>9</x:v>
      </x:c>
      <x:c r="E131" s="61" t="n">
        <x:v>3900</x:v>
      </x:c>
      <x:c r="F131" s="61" t="n">
        <x:v>35</x:v>
      </x:c>
      <x:c r="G131" s="61" t="n">
        <x:v>111.4</x:v>
      </x:c>
      <x:c r="H131" s="48" t="str">
        <x:v>1室0厅1</x:v>
      </x:c>
      <x:c r="I131" s="48" t="str">
        <x:v>南</x:v>
      </x:c>
      <x:c r="J131" s="48" t="str">
        <x:v>待核</x:v>
      </x:c>
      <x:c r="K131" s="48" t="str">
        <x:v>酒店式公寓</x:v>
      </x:c>
      <x:c r="L131" s="48" t="str">
        <x:v>否</x:v>
      </x:c>
      <x:c r="M131" s="48" t="str">
        <x:v>疑似重复挂牌</x:v>
      </x:c>
      <x:c r="N131" s="48" t="str">
        <x:v>红岭大厦|1室0厅1|35|3900|南</x:v>
      </x:c>
      <x:c r="O131" s="48"/>
      <x:c r="P131" s="48" t="str">
        <x:v>未知（未逐条补齐）</x:v>
      </x:c>
      <x:c r="Q131" s="48" t="str">
        <x:v>https://shenzhen.leyoujia.com/zf/detail/7SM74ipkVLC9SSBuJLDUQH.html</x:v>
      </x:c>
      <x:c r="R131" s="48" t="str">
        <x:v>2026-08-13</x:v>
      </x:c>
    </x:row>
    <x:row r="132">
      <x:c r="A132" s="48" t="str">
        <x:v>红岭大厦</x:v>
      </x:c>
      <x:c r="B132" s="48" t="str">
        <x:v>红岭大厦</x:v>
      </x:c>
      <x:c r="C132" s="48" t="str">
        <x:v>大剧院</x:v>
      </x:c>
      <x:c r="D132" s="56" t="n">
        <x:v>9</x:v>
      </x:c>
      <x:c r="E132" s="61" t="n">
        <x:v>3900</x:v>
      </x:c>
      <x:c r="F132" s="61" t="n">
        <x:v>38</x:v>
      </x:c>
      <x:c r="G132" s="61" t="n">
        <x:v>102.6</x:v>
      </x:c>
      <x:c r="H132" s="48" t="str">
        <x:v>1室0厅1</x:v>
      </x:c>
      <x:c r="I132" s="48" t="str">
        <x:v>北</x:v>
      </x:c>
      <x:c r="J132" s="48" t="str">
        <x:v>待核</x:v>
      </x:c>
      <x:c r="K132" s="48" t="str">
        <x:v>酒店式公寓</x:v>
      </x:c>
      <x:c r="L132" s="48" t="str">
        <x:v>否</x:v>
      </x:c>
      <x:c r="M132" s="48" t="str">
        <x:v>疑似重复挂牌</x:v>
      </x:c>
      <x:c r="N132" s="48" t="str">
        <x:v>红岭大厦|1室0厅1|38|3900|北</x:v>
      </x:c>
      <x:c r="O132" s="48"/>
      <x:c r="P132" s="48" t="str">
        <x:v>未知（未逐条补齐）</x:v>
      </x:c>
      <x:c r="Q132" s="48" t="str">
        <x:v>https://shenzhen.leyoujia.com/zf/detail/TfKpkNNbGi6SAoPHBkFnTm.html</x:v>
      </x:c>
      <x:c r="R132" s="48" t="str">
        <x:v>2026-08-13</x:v>
      </x:c>
    </x:row>
    <x:row r="133">
      <x:c r="A133" s="48" t="str">
        <x:v>红岭大厦</x:v>
      </x:c>
      <x:c r="B133" s="48" t="str">
        <x:v>红岭大厦</x:v>
      </x:c>
      <x:c r="C133" s="48" t="str">
        <x:v>大剧院</x:v>
      </x:c>
      <x:c r="D133" s="56" t="n">
        <x:v>9</x:v>
      </x:c>
      <x:c r="E133" s="61" t="n">
        <x:v>3900</x:v>
      </x:c>
      <x:c r="F133" s="61" t="n">
        <x:v>45</x:v>
      </x:c>
      <x:c r="G133" s="61" t="n">
        <x:v>86.7</x:v>
      </x:c>
      <x:c r="H133" s="48" t="str">
        <x:v>1室0厅1</x:v>
      </x:c>
      <x:c r="I133" s="48" t="str">
        <x:v>西</x:v>
      </x:c>
      <x:c r="J133" s="48" t="str">
        <x:v>待核</x:v>
      </x:c>
      <x:c r="K133" s="48" t="str">
        <x:v>酒店式公寓</x:v>
      </x:c>
      <x:c r="L133" s="48" t="str">
        <x:v>是</x:v>
      </x:c>
      <x:c r="M133" s="48" t="str">
        <x:v>保留</x:v>
      </x:c>
      <x:c r="N133" s="48" t="str">
        <x:v>红岭大厦|1室0厅1|45|3900|西</x:v>
      </x:c>
      <x:c r="O133" s="48"/>
      <x:c r="P133" s="48" t="str">
        <x:v>未知（未逐条补齐）</x:v>
      </x:c>
      <x:c r="Q133" s="48" t="str">
        <x:v>https://shenzhen.leyoujia.com/zf/detail/71EFXj7udFJ3vpdSVyx2y3.html</x:v>
      </x:c>
      <x:c r="R133" s="48" t="str">
        <x:v>2026-08-13</x:v>
      </x:c>
    </x:row>
    <x:row r="134">
      <x:c r="A134" s="48" t="str">
        <x:v>红岭大厦</x:v>
      </x:c>
      <x:c r="B134" s="48" t="str">
        <x:v>红岭大厦</x:v>
      </x:c>
      <x:c r="C134" s="48" t="str">
        <x:v>大剧院</x:v>
      </x:c>
      <x:c r="D134" s="56" t="n">
        <x:v>9</x:v>
      </x:c>
      <x:c r="E134" s="61" t="n">
        <x:v>3900</x:v>
      </x:c>
      <x:c r="F134" s="61" t="n">
        <x:v>45</x:v>
      </x:c>
      <x:c r="G134" s="61" t="n">
        <x:v>86.7</x:v>
      </x:c>
      <x:c r="H134" s="48" t="str">
        <x:v>1室0厅1</x:v>
      </x:c>
      <x:c r="I134" s="48" t="str">
        <x:v>西</x:v>
      </x:c>
      <x:c r="J134" s="48" t="str">
        <x:v>待核</x:v>
      </x:c>
      <x:c r="K134" s="48" t="str">
        <x:v>酒店式公寓</x:v>
      </x:c>
      <x:c r="L134" s="48" t="str">
        <x:v>否</x:v>
      </x:c>
      <x:c r="M134" s="48" t="str">
        <x:v>疑似重复挂牌</x:v>
      </x:c>
      <x:c r="N134" s="48" t="str">
        <x:v>红岭大厦|1室0厅1|45|3900|西</x:v>
      </x:c>
      <x:c r="O134" s="48"/>
      <x:c r="P134" s="48" t="str">
        <x:v>未知（未逐条补齐）</x:v>
      </x:c>
      <x:c r="Q134" s="48" t="str">
        <x:v>https://shenzhen.leyoujia.com/zf/detail/DbaVd4SZZd2xLgp2b5Eph9.html</x:v>
      </x:c>
      <x:c r="R134" s="48" t="str">
        <x:v>2026-08-13</x:v>
      </x:c>
    </x:row>
    <x:row r="135">
      <x:c r="A135" s="48" t="str">
        <x:v>红岭大厦</x:v>
      </x:c>
      <x:c r="B135" s="48" t="str">
        <x:v>红岭大厦</x:v>
      </x:c>
      <x:c r="C135" s="48" t="str">
        <x:v>大剧院</x:v>
      </x:c>
      <x:c r="D135" s="56" t="n">
        <x:v>9</x:v>
      </x:c>
      <x:c r="E135" s="61" t="n">
        <x:v>3900</x:v>
      </x:c>
      <x:c r="F135" s="61" t="n">
        <x:v>38</x:v>
      </x:c>
      <x:c r="G135" s="61" t="n">
        <x:v>102.6</x:v>
      </x:c>
      <x:c r="H135" s="48" t="str">
        <x:v>1室0厅1</x:v>
      </x:c>
      <x:c r="I135" s="48" t="str">
        <x:v>西</x:v>
      </x:c>
      <x:c r="J135" s="48" t="str">
        <x:v>待核</x:v>
      </x:c>
      <x:c r="K135" s="48" t="str">
        <x:v>酒店式公寓</x:v>
      </x:c>
      <x:c r="L135" s="48" t="str">
        <x:v>否</x:v>
      </x:c>
      <x:c r="M135" s="48" t="str">
        <x:v>疑似重复挂牌</x:v>
      </x:c>
      <x:c r="N135" s="48" t="str">
        <x:v>红岭大厦|1室0厅1|38|3900|西</x:v>
      </x:c>
      <x:c r="O135" s="48"/>
      <x:c r="P135" s="48" t="str">
        <x:v>未知（未逐条补齐）</x:v>
      </x:c>
      <x:c r="Q135" s="48" t="str">
        <x:v>https://shenzhen.leyoujia.com/zf/detail/TfYgQjUbbG6nVV4R9YwswA.html</x:v>
      </x:c>
      <x:c r="R135" s="48" t="str">
        <x:v>2026-08-13</x:v>
      </x:c>
    </x:row>
    <x:row r="136">
      <x:c r="A136" s="48" t="str">
        <x:v>红岭大厦</x:v>
      </x:c>
      <x:c r="B136" s="48" t="str">
        <x:v>红岭大厦</x:v>
      </x:c>
      <x:c r="C136" s="48" t="str">
        <x:v>大剧院</x:v>
      </x:c>
      <x:c r="D136" s="56" t="n">
        <x:v>9</x:v>
      </x:c>
      <x:c r="E136" s="61" t="n">
        <x:v>3900</x:v>
      </x:c>
      <x:c r="F136" s="61" t="n">
        <x:v>38</x:v>
      </x:c>
      <x:c r="G136" s="61" t="n">
        <x:v>102.6</x:v>
      </x:c>
      <x:c r="H136" s="48" t="str">
        <x:v>1室0厅1</x:v>
      </x:c>
      <x:c r="I136" s="48" t="str">
        <x:v>南</x:v>
      </x:c>
      <x:c r="J136" s="48" t="str">
        <x:v>待核</x:v>
      </x:c>
      <x:c r="K136" s="48" t="str">
        <x:v>酒店式公寓</x:v>
      </x:c>
      <x:c r="L136" s="48" t="str">
        <x:v>否</x:v>
      </x:c>
      <x:c r="M136" s="48" t="str">
        <x:v>疑似重复挂牌</x:v>
      </x:c>
      <x:c r="N136" s="48" t="str">
        <x:v>红岭大厦|1室0厅1|38|3900|南</x:v>
      </x:c>
      <x:c r="O136" s="48"/>
      <x:c r="P136" s="48" t="str">
        <x:v>未知（未逐条补齐）</x:v>
      </x:c>
      <x:c r="Q136" s="48" t="str">
        <x:v>https://shenzhen.leyoujia.com/zf/detail/UsMYP4h9vH7QC2MJKMf9AF.html</x:v>
      </x:c>
      <x:c r="R136" s="48" t="str">
        <x:v>2026-08-13</x:v>
      </x:c>
    </x:row>
    <x:row r="137">
      <x:c r="A137" s="48" t="str">
        <x:v>红岭大厦</x:v>
      </x:c>
      <x:c r="B137" s="48" t="str">
        <x:v>红岭大厦</x:v>
      </x:c>
      <x:c r="C137" s="48" t="str">
        <x:v>大剧院</x:v>
      </x:c>
      <x:c r="D137" s="56" t="n">
        <x:v>9</x:v>
      </x:c>
      <x:c r="E137" s="61" t="n">
        <x:v>3900</x:v>
      </x:c>
      <x:c r="F137" s="61" t="n">
        <x:v>38</x:v>
      </x:c>
      <x:c r="G137" s="61" t="n">
        <x:v>102.6</x:v>
      </x:c>
      <x:c r="H137" s="48" t="str">
        <x:v>1室0厅1</x:v>
      </x:c>
      <x:c r="I137" s="48" t="str">
        <x:v>南</x:v>
      </x:c>
      <x:c r="J137" s="48" t="str">
        <x:v>待核</x:v>
      </x:c>
      <x:c r="K137" s="48" t="str">
        <x:v>酒店式公寓</x:v>
      </x:c>
      <x:c r="L137" s="48" t="str">
        <x:v>否</x:v>
      </x:c>
      <x:c r="M137" s="48" t="str">
        <x:v>疑似重复挂牌</x:v>
      </x:c>
      <x:c r="N137" s="48" t="str">
        <x:v>红岭大厦|1室0厅1|38|3900|南</x:v>
      </x:c>
      <x:c r="O137" s="48"/>
      <x:c r="P137" s="48" t="str">
        <x:v>未知（未逐条补齐）</x:v>
      </x:c>
      <x:c r="Q137" s="48" t="str">
        <x:v>https://shenzhen.leyoujia.com/zf/detail/PKmFHj3eUnYKpcXKMvvFLA.html</x:v>
      </x:c>
      <x:c r="R137" s="48" t="str">
        <x:v>2026-08-13</x:v>
      </x:c>
    </x:row>
    <x:row r="138">
      <x:c r="A138" s="48" t="str">
        <x:v>红岭大厦</x:v>
      </x:c>
      <x:c r="B138" s="48" t="str">
        <x:v>红岭大厦</x:v>
      </x:c>
      <x:c r="C138" s="48" t="str">
        <x:v>大剧院</x:v>
      </x:c>
      <x:c r="D138" s="56" t="n">
        <x:v>9</x:v>
      </x:c>
      <x:c r="E138" s="61" t="n">
        <x:v>3900</x:v>
      </x:c>
      <x:c r="F138" s="61" t="n">
        <x:v>40</x:v>
      </x:c>
      <x:c r="G138" s="61" t="n">
        <x:v>97.5</x:v>
      </x:c>
      <x:c r="H138" s="48" t="str">
        <x:v>1室0厅1</x:v>
      </x:c>
      <x:c r="I138" s="48" t="str">
        <x:v>东</x:v>
      </x:c>
      <x:c r="J138" s="48" t="str">
        <x:v>精装</x:v>
      </x:c>
      <x:c r="K138" s="48" t="str">
        <x:v>酒店式公寓</x:v>
      </x:c>
      <x:c r="L138" s="48" t="str">
        <x:v>是</x:v>
      </x:c>
      <x:c r="M138" s="48" t="str">
        <x:v>保留</x:v>
      </x:c>
      <x:c r="N138" s="48" t="str">
        <x:v>红岭大厦|1室0厅1|40|3900|东</x:v>
      </x:c>
      <x:c r="O138" s="48"/>
      <x:c r="P138" s="48" t="str">
        <x:v>未知（未逐条补齐）</x:v>
      </x:c>
      <x:c r="Q138" s="48" t="str">
        <x:v>https://shenzhen.leyoujia.com/zf/detail/5GeE9umECmw845NcrANNHb.html</x:v>
      </x:c>
      <x:c r="R138" s="48" t="str">
        <x:v>2026-08-13</x:v>
      </x:c>
    </x:row>
    <x:row r="139">
      <x:c r="A139" s="48" t="str">
        <x:v>红岭大厦</x:v>
      </x:c>
      <x:c r="B139" s="48" t="str">
        <x:v>红岭大厦</x:v>
      </x:c>
      <x:c r="C139" s="48" t="str">
        <x:v>大剧院</x:v>
      </x:c>
      <x:c r="D139" s="56" t="n">
        <x:v>9</x:v>
      </x:c>
      <x:c r="E139" s="61" t="n">
        <x:v>3900</x:v>
      </x:c>
      <x:c r="F139" s="61" t="n">
        <x:v>40</x:v>
      </x:c>
      <x:c r="G139" s="61" t="n">
        <x:v>97.5</x:v>
      </x:c>
      <x:c r="H139" s="48" t="str">
        <x:v>1室0厅1</x:v>
      </x:c>
      <x:c r="I139" s="48" t="str">
        <x:v>北</x:v>
      </x:c>
      <x:c r="J139" s="48" t="str">
        <x:v>待核</x:v>
      </x:c>
      <x:c r="K139" s="48" t="str">
        <x:v>酒店式公寓</x:v>
      </x:c>
      <x:c r="L139" s="48" t="str">
        <x:v>否</x:v>
      </x:c>
      <x:c r="M139" s="48" t="str">
        <x:v>疑似重复挂牌</x:v>
      </x:c>
      <x:c r="N139" s="48" t="str">
        <x:v>红岭大厦|1室0厅1|40|3900|北</x:v>
      </x:c>
      <x:c r="O139" s="48"/>
      <x:c r="P139" s="48" t="str">
        <x:v>未知（未逐条补齐）</x:v>
      </x:c>
      <x:c r="Q139" s="48" t="str">
        <x:v>https://shenzhen.leyoujia.com/zf/detail/8EhyTMQXzkoTxJXrb7qCiA.html</x:v>
      </x:c>
      <x:c r="R139" s="48" t="str">
        <x:v>2026-08-13</x:v>
      </x:c>
    </x:row>
    <x:row r="140">
      <x:c r="A140" s="48" t="str">
        <x:v>红岭大厦</x:v>
      </x:c>
      <x:c r="B140" s="48" t="str">
        <x:v>红岭大厦</x:v>
      </x:c>
      <x:c r="C140" s="48" t="str">
        <x:v>大剧院</x:v>
      </x:c>
      <x:c r="D140" s="56" t="n">
        <x:v>9</x:v>
      </x:c>
      <x:c r="E140" s="61" t="n">
        <x:v>3900</x:v>
      </x:c>
      <x:c r="F140" s="61" t="n">
        <x:v>38</x:v>
      </x:c>
      <x:c r="G140" s="61" t="n">
        <x:v>102.6</x:v>
      </x:c>
      <x:c r="H140" s="48" t="str">
        <x:v>1室0厅1</x:v>
      </x:c>
      <x:c r="I140" s="48" t="str">
        <x:v>西</x:v>
      </x:c>
      <x:c r="J140" s="48" t="str">
        <x:v>待核</x:v>
      </x:c>
      <x:c r="K140" s="48" t="str">
        <x:v>酒店式公寓</x:v>
      </x:c>
      <x:c r="L140" s="48" t="str">
        <x:v>否</x:v>
      </x:c>
      <x:c r="M140" s="48" t="str">
        <x:v>疑似重复挂牌</x:v>
      </x:c>
      <x:c r="N140" s="48" t="str">
        <x:v>红岭大厦|1室0厅1|38|3900|西</x:v>
      </x:c>
      <x:c r="O140" s="48"/>
      <x:c r="P140" s="48" t="str">
        <x:v>未知（未逐条补齐）</x:v>
      </x:c>
      <x:c r="Q140" s="48" t="str">
        <x:v>https://shenzhen.leyoujia.com/zf/detail/8ktmkF12Wucz3jG5gy3Pki.html</x:v>
      </x:c>
      <x:c r="R140" s="48" t="str">
        <x:v>2026-08-13</x:v>
      </x:c>
    </x:row>
    <x:row r="141">
      <x:c r="A141" s="48" t="str">
        <x:v>红岭大厦</x:v>
      </x:c>
      <x:c r="B141" s="48" t="str">
        <x:v>红岭大厦</x:v>
      </x:c>
      <x:c r="C141" s="48" t="str">
        <x:v>大剧院</x:v>
      </x:c>
      <x:c r="D141" s="56" t="n">
        <x:v>9</x:v>
      </x:c>
      <x:c r="E141" s="61" t="n">
        <x:v>3900</x:v>
      </x:c>
      <x:c r="F141" s="61" t="n">
        <x:v>38</x:v>
      </x:c>
      <x:c r="G141" s="61" t="n">
        <x:v>102.6</x:v>
      </x:c>
      <x:c r="H141" s="48" t="str">
        <x:v>1室0厅1</x:v>
      </x:c>
      <x:c r="I141" s="48" t="str">
        <x:v>北</x:v>
      </x:c>
      <x:c r="J141" s="48" t="str">
        <x:v>待核</x:v>
      </x:c>
      <x:c r="K141" s="48" t="str">
        <x:v>酒店式公寓</x:v>
      </x:c>
      <x:c r="L141" s="48" t="str">
        <x:v>否</x:v>
      </x:c>
      <x:c r="M141" s="48" t="str">
        <x:v>疑似重复挂牌</x:v>
      </x:c>
      <x:c r="N141" s="48" t="str">
        <x:v>红岭大厦|1室0厅1|38|3900|北</x:v>
      </x:c>
      <x:c r="O141" s="48"/>
      <x:c r="P141" s="48" t="str">
        <x:v>未知（未逐条补齐）</x:v>
      </x:c>
      <x:c r="Q141" s="48" t="str">
        <x:v>https://shenzhen.leyoujia.com/zf/detail/36Vv1VPtvbYSQAsEZupSTs.html</x:v>
      </x:c>
      <x:c r="R141" s="48" t="str">
        <x:v>2026-08-13</x:v>
      </x:c>
    </x:row>
    <x:row r="142">
      <x:c r="A142" s="48" t="str">
        <x:v>红岭大厦</x:v>
      </x:c>
      <x:c r="B142" s="48" t="str">
        <x:v>红岭大厦</x:v>
      </x:c>
      <x:c r="C142" s="48" t="str">
        <x:v>大剧院</x:v>
      </x:c>
      <x:c r="D142" s="56" t="n">
        <x:v>9</x:v>
      </x:c>
      <x:c r="E142" s="61" t="n">
        <x:v>3900</x:v>
      </x:c>
      <x:c r="F142" s="61" t="n">
        <x:v>38</x:v>
      </x:c>
      <x:c r="G142" s="61" t="n">
        <x:v>102.6</x:v>
      </x:c>
      <x:c r="H142" s="48" t="str">
        <x:v>1室0厅1</x:v>
      </x:c>
      <x:c r="I142" s="48" t="str">
        <x:v>北</x:v>
      </x:c>
      <x:c r="J142" s="48" t="str">
        <x:v>待核</x:v>
      </x:c>
      <x:c r="K142" s="48" t="str">
        <x:v>酒店式公寓</x:v>
      </x:c>
      <x:c r="L142" s="48" t="str">
        <x:v>否</x:v>
      </x:c>
      <x:c r="M142" s="48" t="str">
        <x:v>疑似重复挂牌</x:v>
      </x:c>
      <x:c r="N142" s="48" t="str">
        <x:v>红岭大厦|1室0厅1|38|3900|北</x:v>
      </x:c>
      <x:c r="O142" s="48"/>
      <x:c r="P142" s="48" t="str">
        <x:v>未知（未逐条补齐）</x:v>
      </x:c>
      <x:c r="Q142" s="48" t="str">
        <x:v>https://shenzhen.leyoujia.com/zf/detail/SpGp87DYm1KBmSiiEGuTYr.html</x:v>
      </x:c>
      <x:c r="R142" s="48" t="str">
        <x:v>2026-08-13</x:v>
      </x:c>
    </x:row>
    <x:row r="143">
      <x:c r="A143" s="48" t="str">
        <x:v>红岭大厦</x:v>
      </x:c>
      <x:c r="B143" s="48" t="str">
        <x:v>红岭大厦</x:v>
      </x:c>
      <x:c r="C143" s="48" t="str">
        <x:v>大剧院</x:v>
      </x:c>
      <x:c r="D143" s="56" t="n">
        <x:v>9</x:v>
      </x:c>
      <x:c r="E143" s="61" t="n">
        <x:v>3960</x:v>
      </x:c>
      <x:c r="F143" s="61" t="n">
        <x:v>45</x:v>
      </x:c>
      <x:c r="G143" s="61" t="n">
        <x:v>88</x:v>
      </x:c>
      <x:c r="H143" s="48" t="str">
        <x:v>1室0厅1</x:v>
      </x:c>
      <x:c r="I143" s="48" t="str">
        <x:v>北</x:v>
      </x:c>
      <x:c r="J143" s="48" t="str">
        <x:v>精装</x:v>
      </x:c>
      <x:c r="K143" s="48" t="str">
        <x:v>公寓</x:v>
      </x:c>
      <x:c r="L143" s="48" t="str">
        <x:v>是</x:v>
      </x:c>
      <x:c r="M143" s="48" t="str">
        <x:v>保留</x:v>
      </x:c>
      <x:c r="N143" s="48" t="str">
        <x:v>红岭大厦|1室0厅1|45|3960|北</x:v>
      </x:c>
      <x:c r="O143" s="48"/>
      <x:c r="P143" s="48" t="str">
        <x:v>未知（未逐条补齐）</x:v>
      </x:c>
      <x:c r="Q143" s="48" t="str">
        <x:v>https://shenzhen.leyoujia.com/zf/detail/UVCbKb6jUk7UREJVtpWFDW.html</x:v>
      </x:c>
      <x:c r="R143" s="48" t="str">
        <x:v>2026-08-13</x:v>
      </x:c>
    </x:row>
    <x:row r="144">
      <x:c r="A144" s="48" t="str">
        <x:v>红岭大厦</x:v>
      </x:c>
      <x:c r="B144" s="48" t="str">
        <x:v>红岭大厦</x:v>
      </x:c>
      <x:c r="C144" s="48" t="str">
        <x:v>大剧院</x:v>
      </x:c>
      <x:c r="D144" s="56" t="n">
        <x:v>9</x:v>
      </x:c>
      <x:c r="E144" s="61" t="n">
        <x:v>4000</x:v>
      </x:c>
      <x:c r="F144" s="61" t="n">
        <x:v>38</x:v>
      </x:c>
      <x:c r="G144" s="61" t="n">
        <x:v>105.3</x:v>
      </x:c>
      <x:c r="H144" s="48" t="str">
        <x:v>1室0厅1</x:v>
      </x:c>
      <x:c r="I144" s="48" t="str">
        <x:v>北</x:v>
      </x:c>
      <x:c r="J144" s="48" t="str">
        <x:v>普装</x:v>
      </x:c>
      <x:c r="K144" s="48" t="str">
        <x:v>普通住宅</x:v>
      </x:c>
      <x:c r="L144" s="48" t="str">
        <x:v>是</x:v>
      </x:c>
      <x:c r="M144" s="48" t="str">
        <x:v>保留</x:v>
      </x:c>
      <x:c r="N144" s="48" t="str">
        <x:v>红岭大厦|1室0厅1|38|4000|北</x:v>
      </x:c>
      <x:c r="O144" s="48"/>
      <x:c r="P144" s="48" t="str">
        <x:v>未知（未逐条补齐）</x:v>
      </x:c>
      <x:c r="Q144" s="48" t="str">
        <x:v>https://shenzhen.leyoujia.com/zf/detail/Efrz1NpFh2puinDWJr4bsb.html</x:v>
      </x:c>
      <x:c r="R144" s="48" t="str">
        <x:v>2026-08-13</x:v>
      </x:c>
    </x:row>
    <x:row r="145">
      <x:c r="A145" s="48" t="str">
        <x:v>红岭大厦</x:v>
      </x:c>
      <x:c r="B145" s="48" t="str">
        <x:v>红岭大厦</x:v>
      </x:c>
      <x:c r="C145" s="48" t="str">
        <x:v>大剧院</x:v>
      </x:c>
      <x:c r="D145" s="56" t="n">
        <x:v>9</x:v>
      </x:c>
      <x:c r="E145" s="61" t="n">
        <x:v>4000</x:v>
      </x:c>
      <x:c r="F145" s="61" t="n">
        <x:v>40</x:v>
      </x:c>
      <x:c r="G145" s="61" t="n">
        <x:v>100</x:v>
      </x:c>
      <x:c r="H145" s="48" t="str">
        <x:v>1室0厅1</x:v>
      </x:c>
      <x:c r="I145" s="48" t="str">
        <x:v>东</x:v>
      </x:c>
      <x:c r="J145" s="48" t="str">
        <x:v>精装</x:v>
      </x:c>
      <x:c r="K145" s="48" t="str">
        <x:v>普通住宅</x:v>
      </x:c>
      <x:c r="L145" s="48" t="str">
        <x:v>是</x:v>
      </x:c>
      <x:c r="M145" s="48" t="str">
        <x:v>保留</x:v>
      </x:c>
      <x:c r="N145" s="48" t="str">
        <x:v>红岭大厦|1室0厅1|40|4000|东</x:v>
      </x:c>
      <x:c r="O145" s="48"/>
      <x:c r="P145" s="48" t="str">
        <x:v>未知（未逐条补齐）</x:v>
      </x:c>
      <x:c r="Q145" s="48" t="str">
        <x:v>https://shenzhen.leyoujia.com/zf/detail/8y4JuFNHQSzgYxa5zbW3Fr.html</x:v>
      </x:c>
      <x:c r="R145" s="48" t="str">
        <x:v>2026-08-13</x:v>
      </x:c>
    </x:row>
    <x:row r="146">
      <x:c r="A146" s="48" t="str">
        <x:v>红岭大厦</x:v>
      </x:c>
      <x:c r="B146" s="48" t="str">
        <x:v>红岭大厦</x:v>
      </x:c>
      <x:c r="C146" s="48" t="str">
        <x:v>大剧院</x:v>
      </x:c>
      <x:c r="D146" s="56" t="n">
        <x:v>9</x:v>
      </x:c>
      <x:c r="E146" s="61" t="n">
        <x:v>4000</x:v>
      </x:c>
      <x:c r="F146" s="61" t="n">
        <x:v>45</x:v>
      </x:c>
      <x:c r="G146" s="61" t="n">
        <x:v>88.9</x:v>
      </x:c>
      <x:c r="H146" s="48" t="str">
        <x:v>1室0厅1</x:v>
      </x:c>
      <x:c r="I146" s="48" t="str">
        <x:v>东</x:v>
      </x:c>
      <x:c r="J146" s="48" t="str">
        <x:v>精装</x:v>
      </x:c>
      <x:c r="K146" s="48" t="str">
        <x:v>酒店式公寓</x:v>
      </x:c>
      <x:c r="L146" s="48" t="str">
        <x:v>是</x:v>
      </x:c>
      <x:c r="M146" s="48" t="str">
        <x:v>保留</x:v>
      </x:c>
      <x:c r="N146" s="48" t="str">
        <x:v>红岭大厦|1室0厅1|45|4000|东</x:v>
      </x:c>
      <x:c r="O146" s="48"/>
      <x:c r="P146" s="48" t="str">
        <x:v>未知（未逐条补齐）</x:v>
      </x:c>
      <x:c r="Q146" s="48" t="str">
        <x:v>https://shenzhen.leyoujia.com/zf/detail/VnzPPWs494pmMGoeyxax4.html</x:v>
      </x:c>
      <x:c r="R146" s="48" t="str">
        <x:v>2026-08-13</x:v>
      </x:c>
    </x:row>
    <x:row r="147">
      <x:c r="A147" s="48" t="str">
        <x:v>红岭大厦</x:v>
      </x:c>
      <x:c r="B147" s="48" t="str">
        <x:v>红岭大厦</x:v>
      </x:c>
      <x:c r="C147" s="48" t="str">
        <x:v>大剧院</x:v>
      </x:c>
      <x:c r="D147" s="56" t="n">
        <x:v>9</x:v>
      </x:c>
      <x:c r="E147" s="61" t="n">
        <x:v>4000</x:v>
      </x:c>
      <x:c r="F147" s="61" t="n">
        <x:v>45</x:v>
      </x:c>
      <x:c r="G147" s="61" t="n">
        <x:v>88.9</x:v>
      </x:c>
      <x:c r="H147" s="48" t="str">
        <x:v>1室0厅1</x:v>
      </x:c>
      <x:c r="I147" s="48" t="str">
        <x:v>北</x:v>
      </x:c>
      <x:c r="J147" s="48" t="str">
        <x:v>精装</x:v>
      </x:c>
      <x:c r="K147" s="48" t="str">
        <x:v>酒店式公寓</x:v>
      </x:c>
      <x:c r="L147" s="48" t="str">
        <x:v>是</x:v>
      </x:c>
      <x:c r="M147" s="48" t="str">
        <x:v>保留</x:v>
      </x:c>
      <x:c r="N147" s="48" t="str">
        <x:v>红岭大厦|1室0厅1|45|4000|北</x:v>
      </x:c>
      <x:c r="O147" s="48"/>
      <x:c r="P147" s="48" t="str">
        <x:v>未知（未逐条补齐）</x:v>
      </x:c>
      <x:c r="Q147" s="48" t="str">
        <x:v>https://shenzhen.leyoujia.com/zf/detail/AnzfwY9cRBDVG6c9QdooT7.html</x:v>
      </x:c>
      <x:c r="R147" s="48" t="str">
        <x:v>2026-08-13</x:v>
      </x:c>
    </x:row>
    <x:row r="148">
      <x:c r="A148" s="48" t="str">
        <x:v>红岭大厦</x:v>
      </x:c>
      <x:c r="B148" s="48" t="str">
        <x:v>红岭大厦</x:v>
      </x:c>
      <x:c r="C148" s="48" t="str">
        <x:v>大剧院</x:v>
      </x:c>
      <x:c r="D148" s="56" t="n">
        <x:v>9</x:v>
      </x:c>
      <x:c r="E148" s="61" t="n">
        <x:v>4000</x:v>
      </x:c>
      <x:c r="F148" s="61" t="n">
        <x:v>45</x:v>
      </x:c>
      <x:c r="G148" s="61" t="n">
        <x:v>88.9</x:v>
      </x:c>
      <x:c r="H148" s="48" t="str">
        <x:v>1室0厅1</x:v>
      </x:c>
      <x:c r="I148" s="48" t="str">
        <x:v>北</x:v>
      </x:c>
      <x:c r="J148" s="48" t="str">
        <x:v>精装</x:v>
      </x:c>
      <x:c r="K148" s="48" t="str">
        <x:v>普通住宅</x:v>
      </x:c>
      <x:c r="L148" s="48" t="str">
        <x:v>否</x:v>
      </x:c>
      <x:c r="M148" s="48" t="str">
        <x:v>疑似重复挂牌</x:v>
      </x:c>
      <x:c r="N148" s="48" t="str">
        <x:v>红岭大厦|1室0厅1|45|4000|北</x:v>
      </x:c>
      <x:c r="O148" s="48"/>
      <x:c r="P148" s="48" t="str">
        <x:v>未知（未逐条补齐）</x:v>
      </x:c>
      <x:c r="Q148" s="48" t="str">
        <x:v>https://shenzhen.leyoujia.com/zf/detail/f7qzg75cX5Gyh4eT3mA9u.html</x:v>
      </x:c>
      <x:c r="R148" s="48" t="str">
        <x:v>2026-08-13</x:v>
      </x:c>
    </x:row>
    <x:row r="149">
      <x:c r="A149" s="48" t="str">
        <x:v>红岭大厦</x:v>
      </x:c>
      <x:c r="B149" s="48" t="str">
        <x:v>红岭大厦</x:v>
      </x:c>
      <x:c r="C149" s="48" t="str">
        <x:v>大剧院</x:v>
      </x:c>
      <x:c r="D149" s="56" t="n">
        <x:v>9</x:v>
      </x:c>
      <x:c r="E149" s="61" t="n">
        <x:v>4000</x:v>
      </x:c>
      <x:c r="F149" s="61" t="n">
        <x:v>45</x:v>
      </x:c>
      <x:c r="G149" s="61" t="n">
        <x:v>88.9</x:v>
      </x:c>
      <x:c r="H149" s="48" t="str">
        <x:v>1室0厅1</x:v>
      </x:c>
      <x:c r="I149" s="48" t="str">
        <x:v>南</x:v>
      </x:c>
      <x:c r="J149" s="48" t="str">
        <x:v>普装</x:v>
      </x:c>
      <x:c r="K149" s="48" t="str">
        <x:v>普通住宅</x:v>
      </x:c>
      <x:c r="L149" s="48" t="str">
        <x:v>是</x:v>
      </x:c>
      <x:c r="M149" s="48" t="str">
        <x:v>保留</x:v>
      </x:c>
      <x:c r="N149" s="48" t="str">
        <x:v>红岭大厦|1室0厅1|45|4000|南</x:v>
      </x:c>
      <x:c r="O149" s="48"/>
      <x:c r="P149" s="48" t="str">
        <x:v>未知（未逐条补齐）</x:v>
      </x:c>
      <x:c r="Q149" s="48" t="str">
        <x:v>https://shenzhen.leyoujia.com/zf/detail/NQujamEiWnNAoZdAMc7ujy.html</x:v>
      </x:c>
      <x:c r="R149" s="48" t="str">
        <x:v>2026-08-13</x:v>
      </x:c>
    </x:row>
    <x:row r="150">
      <x:c r="A150" s="48" t="str">
        <x:v>红岭大厦</x:v>
      </x:c>
      <x:c r="B150" s="48" t="str">
        <x:v>红岭大厦</x:v>
      </x:c>
      <x:c r="C150" s="48" t="str">
        <x:v>大剧院</x:v>
      </x:c>
      <x:c r="D150" s="56" t="n">
        <x:v>9</x:v>
      </x:c>
      <x:c r="E150" s="61" t="n">
        <x:v>4000</x:v>
      </x:c>
      <x:c r="F150" s="61" t="n">
        <x:v>45</x:v>
      </x:c>
      <x:c r="G150" s="61" t="n">
        <x:v>88.9</x:v>
      </x:c>
      <x:c r="H150" s="48" t="str">
        <x:v>1室0厅1</x:v>
      </x:c>
      <x:c r="I150" s="48" t="str">
        <x:v>北</x:v>
      </x:c>
      <x:c r="J150" s="48" t="str">
        <x:v>精装</x:v>
      </x:c>
      <x:c r="K150" s="48" t="str">
        <x:v>公寓</x:v>
      </x:c>
      <x:c r="L150" s="48" t="str">
        <x:v>否</x:v>
      </x:c>
      <x:c r="M150" s="48" t="str">
        <x:v>疑似重复挂牌</x:v>
      </x:c>
      <x:c r="N150" s="48" t="str">
        <x:v>红岭大厦|1室0厅1|45|4000|北</x:v>
      </x:c>
      <x:c r="O150" s="48"/>
      <x:c r="P150" s="48" t="str">
        <x:v>未知（未逐条补齐）</x:v>
      </x:c>
      <x:c r="Q150" s="48" t="str">
        <x:v>https://shenzhen.leyoujia.com/zf/detail/DFTUigzw8zZ833KJjXY6if.html</x:v>
      </x:c>
      <x:c r="R150" s="48" t="str">
        <x:v>2026-08-13</x:v>
      </x:c>
    </x:row>
    <x:row r="151">
      <x:c r="A151" s="48" t="str">
        <x:v>红岭大厦</x:v>
      </x:c>
      <x:c r="B151" s="48" t="str">
        <x:v>红岭大厦</x:v>
      </x:c>
      <x:c r="C151" s="48" t="str">
        <x:v>大剧院</x:v>
      </x:c>
      <x:c r="D151" s="56" t="n">
        <x:v>9</x:v>
      </x:c>
      <x:c r="E151" s="61" t="n">
        <x:v>4000</x:v>
      </x:c>
      <x:c r="F151" s="61" t="n">
        <x:v>45</x:v>
      </x:c>
      <x:c r="G151" s="61" t="n">
        <x:v>88.9</x:v>
      </x:c>
      <x:c r="H151" s="48" t="str">
        <x:v>1室0厅1</x:v>
      </x:c>
      <x:c r="I151" s="48" t="str">
        <x:v>北</x:v>
      </x:c>
      <x:c r="J151" s="48" t="str">
        <x:v>精装</x:v>
      </x:c>
      <x:c r="K151" s="48" t="str">
        <x:v>公寓</x:v>
      </x:c>
      <x:c r="L151" s="48" t="str">
        <x:v>否</x:v>
      </x:c>
      <x:c r="M151" s="48" t="str">
        <x:v>疑似重复挂牌</x:v>
      </x:c>
      <x:c r="N151" s="48" t="str">
        <x:v>红岭大厦|1室0厅1|45|4000|北</x:v>
      </x:c>
      <x:c r="O151" s="48"/>
      <x:c r="P151" s="48" t="str">
        <x:v>未知（未逐条补齐）</x:v>
      </x:c>
      <x:c r="Q151" s="48" t="str">
        <x:v>https://shenzhen.leyoujia.com/zf/detail/Mk8VW9z6r9ijc1pNo1NqDo.html</x:v>
      </x:c>
      <x:c r="R151" s="48" t="str">
        <x:v>2026-08-13</x:v>
      </x:c>
    </x:row>
    <x:row r="152">
      <x:c r="A152" s="48" t="str">
        <x:v>红岭大厦</x:v>
      </x:c>
      <x:c r="B152" s="48" t="str">
        <x:v>红岭大厦</x:v>
      </x:c>
      <x:c r="C152" s="48" t="str">
        <x:v>大剧院</x:v>
      </x:c>
      <x:c r="D152" s="56" t="n">
        <x:v>9</x:v>
      </x:c>
      <x:c r="E152" s="61" t="n">
        <x:v>4000</x:v>
      </x:c>
      <x:c r="F152" s="61" t="n">
        <x:v>45</x:v>
      </x:c>
      <x:c r="G152" s="61" t="n">
        <x:v>88.9</x:v>
      </x:c>
      <x:c r="H152" s="48" t="str">
        <x:v>1室0厅1</x:v>
      </x:c>
      <x:c r="I152" s="48" t="str">
        <x:v>南</x:v>
      </x:c>
      <x:c r="J152" s="48" t="str">
        <x:v>普装</x:v>
      </x:c>
      <x:c r="K152" s="48" t="str">
        <x:v>公寓</x:v>
      </x:c>
      <x:c r="L152" s="48" t="str">
        <x:v>否</x:v>
      </x:c>
      <x:c r="M152" s="48" t="str">
        <x:v>疑似重复挂牌</x:v>
      </x:c>
      <x:c r="N152" s="48" t="str">
        <x:v>红岭大厦|1室0厅1|45|4000|南</x:v>
      </x:c>
      <x:c r="O152" s="48"/>
      <x:c r="P152" s="48" t="str">
        <x:v>未知（未逐条补齐）</x:v>
      </x:c>
      <x:c r="Q152" s="48" t="str">
        <x:v>https://shenzhen.leyoujia.com/zf/detail/L8wHD8U9J5dGGk31TXEVTg.html</x:v>
      </x:c>
      <x:c r="R152" s="48" t="str">
        <x:v>2026-08-13</x:v>
      </x:c>
    </x:row>
    <x:row r="153">
      <x:c r="A153" s="48" t="str">
        <x:v>红岭大厦</x:v>
      </x:c>
      <x:c r="B153" s="48" t="str">
        <x:v>红岭大厦</x:v>
      </x:c>
      <x:c r="C153" s="48" t="str">
        <x:v>大剧院</x:v>
      </x:c>
      <x:c r="D153" s="56" t="n">
        <x:v>9</x:v>
      </x:c>
      <x:c r="E153" s="61" t="n">
        <x:v>4000</x:v>
      </x:c>
      <x:c r="F153" s="61" t="n">
        <x:v>45</x:v>
      </x:c>
      <x:c r="G153" s="61" t="n">
        <x:v>88.9</x:v>
      </x:c>
      <x:c r="H153" s="48" t="str">
        <x:v>1室0厅1</x:v>
      </x:c>
      <x:c r="I153" s="48" t="str">
        <x:v>东</x:v>
      </x:c>
      <x:c r="J153" s="48" t="str">
        <x:v>普装</x:v>
      </x:c>
      <x:c r="K153" s="48" t="str">
        <x:v>普通住宅</x:v>
      </x:c>
      <x:c r="L153" s="48" t="str">
        <x:v>否</x:v>
      </x:c>
      <x:c r="M153" s="48" t="str">
        <x:v>疑似重复挂牌</x:v>
      </x:c>
      <x:c r="N153" s="48" t="str">
        <x:v>红岭大厦|1室0厅1|45|4000|东</x:v>
      </x:c>
      <x:c r="O153" s="48"/>
      <x:c r="P153" s="48" t="str">
        <x:v>未知（未逐条补齐）</x:v>
      </x:c>
      <x:c r="Q153" s="48" t="str">
        <x:v>https://shenzhen.leyoujia.com/zf/detail/FF8KkE8MkNuT5JJ5LdvBhh.html</x:v>
      </x:c>
      <x:c r="R153" s="48" t="str">
        <x:v>2026-08-13</x:v>
      </x:c>
    </x:row>
    <x:row r="154">
      <x:c r="A154" s="48" t="str">
        <x:v>红岭大厦</x:v>
      </x:c>
      <x:c r="B154" s="48" t="str">
        <x:v>红岭大厦</x:v>
      </x:c>
      <x:c r="C154" s="48" t="str">
        <x:v>大剧院</x:v>
      </x:c>
      <x:c r="D154" s="56" t="n">
        <x:v>9</x:v>
      </x:c>
      <x:c r="E154" s="61" t="n">
        <x:v>4000</x:v>
      </x:c>
      <x:c r="F154" s="61" t="n">
        <x:v>30</x:v>
      </x:c>
      <x:c r="G154" s="61" t="n">
        <x:v>133.3</x:v>
      </x:c>
      <x:c r="H154" s="48" t="str">
        <x:v>1室0厅1</x:v>
      </x:c>
      <x:c r="I154" s="48" t="str">
        <x:v>南</x:v>
      </x:c>
      <x:c r="J154" s="48" t="str">
        <x:v>精装</x:v>
      </x:c>
      <x:c r="K154" s="48" t="str">
        <x:v>酒店式公寓</x:v>
      </x:c>
      <x:c r="L154" s="48" t="str">
        <x:v>是</x:v>
      </x:c>
      <x:c r="M154" s="48" t="str">
        <x:v>保留</x:v>
      </x:c>
      <x:c r="N154" s="48" t="str">
        <x:v>红岭大厦|1室0厅1|30|4000|南</x:v>
      </x:c>
      <x:c r="O154" s="48"/>
      <x:c r="P154" s="48" t="str">
        <x:v>未知（未逐条补齐）</x:v>
      </x:c>
      <x:c r="Q154" s="48" t="str">
        <x:v>https://shenzhen.leyoujia.com/zf/detail/RNA1rxx6uAVtfwnBY9MQQu.html</x:v>
      </x:c>
      <x:c r="R154" s="48" t="str">
        <x:v>2026-08-13</x:v>
      </x:c>
    </x:row>
    <x:row r="155">
      <x:c r="A155" s="48" t="str">
        <x:v>红岭大厦</x:v>
      </x:c>
      <x:c r="B155" s="48" t="str">
        <x:v>红岭大厦</x:v>
      </x:c>
      <x:c r="C155" s="48" t="str">
        <x:v>大剧院</x:v>
      </x:c>
      <x:c r="D155" s="56" t="n">
        <x:v>9</x:v>
      </x:c>
      <x:c r="E155" s="61" t="n">
        <x:v>4000</x:v>
      </x:c>
      <x:c r="F155" s="61" t="n">
        <x:v>38</x:v>
      </x:c>
      <x:c r="G155" s="61" t="n">
        <x:v>105.3</x:v>
      </x:c>
      <x:c r="H155" s="48" t="str">
        <x:v>1室0厅1</x:v>
      </x:c>
      <x:c r="I155" s="48" t="str">
        <x:v>东</x:v>
      </x:c>
      <x:c r="J155" s="48" t="str">
        <x:v>普装</x:v>
      </x:c>
      <x:c r="K155" s="48" t="str">
        <x:v>酒店式公寓</x:v>
      </x:c>
      <x:c r="L155" s="48" t="str">
        <x:v>是</x:v>
      </x:c>
      <x:c r="M155" s="48" t="str">
        <x:v>保留</x:v>
      </x:c>
      <x:c r="N155" s="48" t="str">
        <x:v>红岭大厦|1室0厅1|38|4000|东</x:v>
      </x:c>
      <x:c r="O155" s="48"/>
      <x:c r="P155" s="48" t="str">
        <x:v>未知（未逐条补齐）</x:v>
      </x:c>
      <x:c r="Q155" s="48" t="str">
        <x:v>https://shenzhen.leyoujia.com/zf/detail/DfaWwt8a7rwfQTVGj9PBQW.html</x:v>
      </x:c>
      <x:c r="R155" s="48" t="str">
        <x:v>2026-08-13</x:v>
      </x:c>
    </x:row>
    <x:row r="156">
      <x:c r="A156" s="48" t="str">
        <x:v>红岭大厦</x:v>
      </x:c>
      <x:c r="B156" s="48" t="str">
        <x:v>红岭大厦</x:v>
      </x:c>
      <x:c r="C156" s="48" t="str">
        <x:v>大剧院</x:v>
      </x:c>
      <x:c r="D156" s="56" t="n">
        <x:v>9</x:v>
      </x:c>
      <x:c r="E156" s="61" t="n">
        <x:v>4000</x:v>
      </x:c>
      <x:c r="F156" s="61" t="n">
        <x:v>45</x:v>
      </x:c>
      <x:c r="G156" s="61" t="n">
        <x:v>88.9</x:v>
      </x:c>
      <x:c r="H156" s="48" t="str">
        <x:v>1室0厅1</x:v>
      </x:c>
      <x:c r="I156" s="48" t="str">
        <x:v>北</x:v>
      </x:c>
      <x:c r="J156" s="48" t="str">
        <x:v>普装</x:v>
      </x:c>
      <x:c r="K156" s="48" t="str">
        <x:v>公寓</x:v>
      </x:c>
      <x:c r="L156" s="48" t="str">
        <x:v>否</x:v>
      </x:c>
      <x:c r="M156" s="48" t="str">
        <x:v>疑似重复挂牌</x:v>
      </x:c>
      <x:c r="N156" s="48" t="str">
        <x:v>红岭大厦|1室0厅1|45|4000|北</x:v>
      </x:c>
      <x:c r="O156" s="48"/>
      <x:c r="P156" s="48" t="str">
        <x:v>未知（未逐条补齐）</x:v>
      </x:c>
      <x:c r="Q156" s="48" t="str">
        <x:v>https://shenzhen.leyoujia.com/zf/detail/DTg7mCwC7XNXBUC2P4XsdZ.html</x:v>
      </x:c>
      <x:c r="R156" s="48" t="str">
        <x:v>2026-08-13</x:v>
      </x:c>
    </x:row>
    <x:row r="157">
      <x:c r="A157" s="48" t="str">
        <x:v>红岭大厦</x:v>
      </x:c>
      <x:c r="B157" s="48" t="str">
        <x:v>红岭大厦</x:v>
      </x:c>
      <x:c r="C157" s="48" t="str">
        <x:v>大剧院</x:v>
      </x:c>
      <x:c r="D157" s="56" t="n">
        <x:v>9</x:v>
      </x:c>
      <x:c r="E157" s="61" t="n">
        <x:v>4000</x:v>
      </x:c>
      <x:c r="F157" s="61" t="n">
        <x:v>45</x:v>
      </x:c>
      <x:c r="G157" s="61" t="n">
        <x:v>88.9</x:v>
      </x:c>
      <x:c r="H157" s="48" t="str">
        <x:v>1室0厅1</x:v>
      </x:c>
      <x:c r="I157" s="48" t="str">
        <x:v>北</x:v>
      </x:c>
      <x:c r="J157" s="48" t="str">
        <x:v>精装</x:v>
      </x:c>
      <x:c r="K157" s="48" t="str">
        <x:v>普通住宅</x:v>
      </x:c>
      <x:c r="L157" s="48" t="str">
        <x:v>否</x:v>
      </x:c>
      <x:c r="M157" s="48" t="str">
        <x:v>疑似重复挂牌</x:v>
      </x:c>
      <x:c r="N157" s="48" t="str">
        <x:v>红岭大厦|1室0厅1|45|4000|北</x:v>
      </x:c>
      <x:c r="O157" s="48"/>
      <x:c r="P157" s="48" t="str">
        <x:v>未知（未逐条补齐）</x:v>
      </x:c>
      <x:c r="Q157" s="48" t="str">
        <x:v>https://shenzhen.leyoujia.com/zf/detail/FAZbfP4N41A8y8s5P46vkY.html</x:v>
      </x:c>
      <x:c r="R157" s="48" t="str">
        <x:v>2026-08-13</x:v>
      </x:c>
    </x:row>
    <x:row r="158">
      <x:c r="A158" s="48" t="str">
        <x:v>红岭大厦</x:v>
      </x:c>
      <x:c r="B158" s="48" t="str">
        <x:v>红岭大厦</x:v>
      </x:c>
      <x:c r="C158" s="48" t="str">
        <x:v>大剧院</x:v>
      </x:c>
      <x:c r="D158" s="56" t="n">
        <x:v>9</x:v>
      </x:c>
      <x:c r="E158" s="61" t="n">
        <x:v>4000</x:v>
      </x:c>
      <x:c r="F158" s="61" t="n">
        <x:v>45</x:v>
      </x:c>
      <x:c r="G158" s="61" t="n">
        <x:v>88.9</x:v>
      </x:c>
      <x:c r="H158" s="48" t="str">
        <x:v>1室0厅1</x:v>
      </x:c>
      <x:c r="I158" s="48" t="str">
        <x:v>北</x:v>
      </x:c>
      <x:c r="J158" s="48" t="str">
        <x:v>精装</x:v>
      </x:c>
      <x:c r="K158" s="48" t="str">
        <x:v>公寓</x:v>
      </x:c>
      <x:c r="L158" s="48" t="str">
        <x:v>否</x:v>
      </x:c>
      <x:c r="M158" s="48" t="str">
        <x:v>疑似重复挂牌</x:v>
      </x:c>
      <x:c r="N158" s="48" t="str">
        <x:v>红岭大厦|1室0厅1|45|4000|北</x:v>
      </x:c>
      <x:c r="O158" s="48"/>
      <x:c r="P158" s="48" t="str">
        <x:v>未知（未逐条补齐）</x:v>
      </x:c>
      <x:c r="Q158" s="48" t="str">
        <x:v>https://shenzhen.leyoujia.com/zf/detail/Gu632uG5SLGNbcB8XMywUm.html</x:v>
      </x:c>
      <x:c r="R158" s="48" t="str">
        <x:v>2026-08-13</x:v>
      </x:c>
    </x:row>
    <x:row r="159">
      <x:c r="A159" s="48" t="str">
        <x:v>红岭大厦</x:v>
      </x:c>
      <x:c r="B159" s="48" t="str">
        <x:v>红岭大厦</x:v>
      </x:c>
      <x:c r="C159" s="48" t="str">
        <x:v>大剧院</x:v>
      </x:c>
      <x:c r="D159" s="56" t="n">
        <x:v>9</x:v>
      </x:c>
      <x:c r="E159" s="61" t="n">
        <x:v>4000</x:v>
      </x:c>
      <x:c r="F159" s="61" t="n">
        <x:v>45</x:v>
      </x:c>
      <x:c r="G159" s="61" t="n">
        <x:v>88.9</x:v>
      </x:c>
      <x:c r="H159" s="48" t="str">
        <x:v>1室0厅1</x:v>
      </x:c>
      <x:c r="I159" s="48" t="str">
        <x:v>西</x:v>
      </x:c>
      <x:c r="J159" s="48" t="str">
        <x:v>精装</x:v>
      </x:c>
      <x:c r="K159" s="48" t="str">
        <x:v>公寓</x:v>
      </x:c>
      <x:c r="L159" s="48" t="str">
        <x:v>是</x:v>
      </x:c>
      <x:c r="M159" s="48" t="str">
        <x:v>保留</x:v>
      </x:c>
      <x:c r="N159" s="48" t="str">
        <x:v>红岭大厦|1室0厅1|45|4000|西</x:v>
      </x:c>
      <x:c r="O159" s="48"/>
      <x:c r="P159" s="48" t="str">
        <x:v>未知（未逐条补齐）</x:v>
      </x:c>
      <x:c r="Q159" s="48" t="str">
        <x:v>https://shenzhen.leyoujia.com/zf/detail/Khru7HW7Bj1w2FVhDwtDGR.html</x:v>
      </x:c>
      <x:c r="R159" s="48" t="str">
        <x:v>2026-08-13</x:v>
      </x:c>
    </x:row>
    <x:row r="160">
      <x:c r="A160" s="48" t="str">
        <x:v>红岭大厦</x:v>
      </x:c>
      <x:c r="B160" s="48" t="str">
        <x:v>红岭大厦</x:v>
      </x:c>
      <x:c r="C160" s="48" t="str">
        <x:v>大剧院</x:v>
      </x:c>
      <x:c r="D160" s="56" t="n">
        <x:v>9</x:v>
      </x:c>
      <x:c r="E160" s="61" t="n">
        <x:v>4000</x:v>
      </x:c>
      <x:c r="F160" s="61" t="n">
        <x:v>31</x:v>
      </x:c>
      <x:c r="G160" s="61" t="n">
        <x:v>129</x:v>
      </x:c>
      <x:c r="H160" s="48" t="str">
        <x:v>1室0厅1</x:v>
      </x:c>
      <x:c r="I160" s="48" t="str">
        <x:v>南</x:v>
      </x:c>
      <x:c r="J160" s="48" t="str">
        <x:v>精装</x:v>
      </x:c>
      <x:c r="K160" s="48" t="str">
        <x:v>酒店式公寓</x:v>
      </x:c>
      <x:c r="L160" s="48" t="str">
        <x:v>是</x:v>
      </x:c>
      <x:c r="M160" s="48" t="str">
        <x:v>保留</x:v>
      </x:c>
      <x:c r="N160" s="48" t="str">
        <x:v>红岭大厦|1室0厅1|31|4000|南</x:v>
      </x:c>
      <x:c r="O160" s="48"/>
      <x:c r="P160" s="48" t="str">
        <x:v>未知（未逐条补齐）</x:v>
      </x:c>
      <x:c r="Q160" s="48" t="str">
        <x:v>https://shenzhen.leyoujia.com/zf/detail/DPHvKQbGnx4YYJjPicoU4Q.html</x:v>
      </x:c>
      <x:c r="R160" s="48" t="str">
        <x:v>2026-08-13</x:v>
      </x:c>
    </x:row>
    <x:row r="161">
      <x:c r="A161" s="48" t="str">
        <x:v>红岭大厦</x:v>
      </x:c>
      <x:c r="B161" s="48" t="str">
        <x:v>红岭大厦</x:v>
      </x:c>
      <x:c r="C161" s="48" t="str">
        <x:v>大剧院</x:v>
      </x:c>
      <x:c r="D161" s="56" t="n">
        <x:v>9</x:v>
      </x:c>
      <x:c r="E161" s="61" t="n">
        <x:v>4000</x:v>
      </x:c>
      <x:c r="F161" s="61" t="n">
        <x:v>38</x:v>
      </x:c>
      <x:c r="G161" s="61" t="n">
        <x:v>105.3</x:v>
      </x:c>
      <x:c r="H161" s="48" t="str">
        <x:v>1室0厅1</x:v>
      </x:c>
      <x:c r="I161" s="48" t="str">
        <x:v>东</x:v>
      </x:c>
      <x:c r="J161" s="48" t="str">
        <x:v>普装</x:v>
      </x:c>
      <x:c r="K161" s="48" t="str">
        <x:v>酒店式公寓</x:v>
      </x:c>
      <x:c r="L161" s="48" t="str">
        <x:v>否</x:v>
      </x:c>
      <x:c r="M161" s="48" t="str">
        <x:v>疑似重复挂牌</x:v>
      </x:c>
      <x:c r="N161" s="48" t="str">
        <x:v>红岭大厦|1室0厅1|38|4000|东</x:v>
      </x:c>
      <x:c r="O161" s="48"/>
      <x:c r="P161" s="48" t="str">
        <x:v>未知（未逐条补齐）</x:v>
      </x:c>
      <x:c r="Q161" s="48" t="str">
        <x:v>https://shenzhen.leyoujia.com/zf/detail/GLovSBNzkd6A2qGvRR2s77.html</x:v>
      </x:c>
      <x:c r="R161" s="48" t="str">
        <x:v>2026-08-13</x:v>
      </x:c>
    </x:row>
    <x:row r="162">
      <x:c r="A162" s="48" t="str">
        <x:v>红岭大厦</x:v>
      </x:c>
      <x:c r="B162" s="48" t="str">
        <x:v>红岭大厦</x:v>
      </x:c>
      <x:c r="C162" s="48" t="str">
        <x:v>大剧院</x:v>
      </x:c>
      <x:c r="D162" s="56" t="n">
        <x:v>9</x:v>
      </x:c>
      <x:c r="E162" s="61" t="n">
        <x:v>4000</x:v>
      </x:c>
      <x:c r="F162" s="61" t="n">
        <x:v>45</x:v>
      </x:c>
      <x:c r="G162" s="61" t="n">
        <x:v>88.9</x:v>
      </x:c>
      <x:c r="H162" s="48" t="str">
        <x:v>1室0厅1</x:v>
      </x:c>
      <x:c r="I162" s="48" t="str">
        <x:v>南</x:v>
      </x:c>
      <x:c r="J162" s="48" t="str">
        <x:v>精装</x:v>
      </x:c>
      <x:c r="K162" s="48" t="str">
        <x:v>普通住宅</x:v>
      </x:c>
      <x:c r="L162" s="48" t="str">
        <x:v>否</x:v>
      </x:c>
      <x:c r="M162" s="48" t="str">
        <x:v>疑似重复挂牌</x:v>
      </x:c>
      <x:c r="N162" s="48" t="str">
        <x:v>红岭大厦|1室0厅1|45|4000|南</x:v>
      </x:c>
      <x:c r="O162" s="48"/>
      <x:c r="P162" s="48" t="str">
        <x:v>未知（未逐条补齐）</x:v>
      </x:c>
      <x:c r="Q162" s="48" t="str">
        <x:v>https://shenzhen.leyoujia.com/zf/detail/UfeTNPTzvEDhLXhfpqVfwM.html</x:v>
      </x:c>
      <x:c r="R162" s="48" t="str">
        <x:v>2026-08-13</x:v>
      </x:c>
    </x:row>
    <x:row r="163">
      <x:c r="A163" s="48" t="str">
        <x:v>红岭大厦</x:v>
      </x:c>
      <x:c r="B163" s="48" t="str">
        <x:v>红岭大厦</x:v>
      </x:c>
      <x:c r="C163" s="48" t="str">
        <x:v>大剧院</x:v>
      </x:c>
      <x:c r="D163" s="56" t="n">
        <x:v>9</x:v>
      </x:c>
      <x:c r="E163" s="61" t="n">
        <x:v>4000</x:v>
      </x:c>
      <x:c r="F163" s="61" t="n">
        <x:v>45</x:v>
      </x:c>
      <x:c r="G163" s="61" t="n">
        <x:v>88.9</x:v>
      </x:c>
      <x:c r="H163" s="48" t="str">
        <x:v>1室0厅1</x:v>
      </x:c>
      <x:c r="I163" s="48" t="str">
        <x:v>东</x:v>
      </x:c>
      <x:c r="J163" s="48" t="str">
        <x:v>精装</x:v>
      </x:c>
      <x:c r="K163" s="48" t="str">
        <x:v>普通住宅</x:v>
      </x:c>
      <x:c r="L163" s="48" t="str">
        <x:v>否</x:v>
      </x:c>
      <x:c r="M163" s="48" t="str">
        <x:v>疑似重复挂牌</x:v>
      </x:c>
      <x:c r="N163" s="48" t="str">
        <x:v>红岭大厦|1室0厅1|45|4000|东</x:v>
      </x:c>
      <x:c r="O163" s="48"/>
      <x:c r="P163" s="48" t="str">
        <x:v>未知（未逐条补齐）</x:v>
      </x:c>
      <x:c r="Q163" s="48" t="str">
        <x:v>https://shenzhen.leyoujia.com/zf/detail/CMiL7Pb1UvXySUTu4FiWK7.html</x:v>
      </x:c>
      <x:c r="R163" s="48" t="str">
        <x:v>2026-08-13</x:v>
      </x:c>
    </x:row>
    <x:row r="164">
      <x:c r="A164" s="48" t="str">
        <x:v>红岭大厦</x:v>
      </x:c>
      <x:c r="B164" s="48" t="str">
        <x:v>红岭大厦</x:v>
      </x:c>
      <x:c r="C164" s="48" t="str">
        <x:v>大剧院</x:v>
      </x:c>
      <x:c r="D164" s="56" t="n">
        <x:v>9</x:v>
      </x:c>
      <x:c r="E164" s="61" t="n">
        <x:v>4000</x:v>
      </x:c>
      <x:c r="F164" s="61" t="n">
        <x:v>40</x:v>
      </x:c>
      <x:c r="G164" s="61" t="n">
        <x:v>100</x:v>
      </x:c>
      <x:c r="H164" s="48" t="str">
        <x:v>1室0厅1</x:v>
      </x:c>
      <x:c r="I164" s="48" t="str">
        <x:v>西</x:v>
      </x:c>
      <x:c r="J164" s="48" t="str">
        <x:v>精装</x:v>
      </x:c>
      <x:c r="K164" s="48" t="str">
        <x:v>公寓</x:v>
      </x:c>
      <x:c r="L164" s="48" t="str">
        <x:v>是</x:v>
      </x:c>
      <x:c r="M164" s="48" t="str">
        <x:v>保留</x:v>
      </x:c>
      <x:c r="N164" s="48" t="str">
        <x:v>红岭大厦|1室0厅1|40|4000|西</x:v>
      </x:c>
      <x:c r="O164" s="48"/>
      <x:c r="P164" s="48" t="str">
        <x:v>未知（未逐条补齐）</x:v>
      </x:c>
      <x:c r="Q164" s="48" t="str">
        <x:v>https://shenzhen.leyoujia.com/zf/detail/8hsYpBqShh4FAWGWgmwgSq.html</x:v>
      </x:c>
      <x:c r="R164" s="48" t="str">
        <x:v>2026-08-13</x:v>
      </x:c>
    </x:row>
    <x:row r="165">
      <x:c r="A165" s="48" t="str">
        <x:v>红岭大厦</x:v>
      </x:c>
      <x:c r="B165" s="48" t="str">
        <x:v>红岭大厦</x:v>
      </x:c>
      <x:c r="C165" s="48" t="str">
        <x:v>大剧院</x:v>
      </x:c>
      <x:c r="D165" s="56" t="n">
        <x:v>9</x:v>
      </x:c>
      <x:c r="E165" s="61" t="n">
        <x:v>4000</x:v>
      </x:c>
      <x:c r="F165" s="61" t="n">
        <x:v>44</x:v>
      </x:c>
      <x:c r="G165" s="61" t="n">
        <x:v>90.9</x:v>
      </x:c>
      <x:c r="H165" s="48" t="str">
        <x:v>1室0厅1</x:v>
      </x:c>
      <x:c r="I165" s="48" t="str">
        <x:v>南</x:v>
      </x:c>
      <x:c r="J165" s="48" t="str">
        <x:v>精装</x:v>
      </x:c>
      <x:c r="K165" s="48" t="str">
        <x:v>酒店式公寓</x:v>
      </x:c>
      <x:c r="L165" s="48" t="str">
        <x:v>是</x:v>
      </x:c>
      <x:c r="M165" s="48" t="str">
        <x:v>保留</x:v>
      </x:c>
      <x:c r="N165" s="48" t="str">
        <x:v>红岭大厦|1室0厅1|44|4000|南</x:v>
      </x:c>
      <x:c r="O165" s="48"/>
      <x:c r="P165" s="48" t="str">
        <x:v>未知（未逐条补齐）</x:v>
      </x:c>
      <x:c r="Q165" s="48" t="str">
        <x:v>https://shenzhen.leyoujia.com/zf/detail/Lydvf3mMiSSXwJwWqaduVa.html</x:v>
      </x:c>
      <x:c r="R165" s="48" t="str">
        <x:v>2026-08-13</x:v>
      </x:c>
    </x:row>
    <x:row r="166">
      <x:c r="A166" s="48" t="str">
        <x:v>红岭大厦</x:v>
      </x:c>
      <x:c r="B166" s="48" t="str">
        <x:v>红岭大厦</x:v>
      </x:c>
      <x:c r="C166" s="48" t="str">
        <x:v>大剧院</x:v>
      </x:c>
      <x:c r="D166" s="56" t="n">
        <x:v>9</x:v>
      </x:c>
      <x:c r="E166" s="61" t="n">
        <x:v>4000</x:v>
      </x:c>
      <x:c r="F166" s="61" t="n">
        <x:v>45</x:v>
      </x:c>
      <x:c r="G166" s="61" t="n">
        <x:v>88.9</x:v>
      </x:c>
      <x:c r="H166" s="48" t="str">
        <x:v>1室0厅1</x:v>
      </x:c>
      <x:c r="I166" s="48" t="str">
        <x:v>东</x:v>
      </x:c>
      <x:c r="J166" s="48" t="str">
        <x:v>待核</x:v>
      </x:c>
      <x:c r="K166" s="48" t="str">
        <x:v>酒店式公寓</x:v>
      </x:c>
      <x:c r="L166" s="48" t="str">
        <x:v>否</x:v>
      </x:c>
      <x:c r="M166" s="48" t="str">
        <x:v>疑似重复挂牌</x:v>
      </x:c>
      <x:c r="N166" s="48" t="str">
        <x:v>红岭大厦|1室0厅1|45|4000|东</x:v>
      </x:c>
      <x:c r="O166" s="48"/>
      <x:c r="P166" s="48" t="str">
        <x:v>未知（未逐条补齐）</x:v>
      </x:c>
      <x:c r="Q166" s="48" t="str">
        <x:v>https://shenzhen.leyoujia.com/zf/detail/AWSAKzEH6crnQ1NKPA8uS2.html</x:v>
      </x:c>
      <x:c r="R166" s="48" t="str">
        <x:v>2026-08-13</x:v>
      </x:c>
    </x:row>
    <x:row r="167">
      <x:c r="A167" s="48" t="str">
        <x:v>红岭大厦</x:v>
      </x:c>
      <x:c r="B167" s="48" t="str">
        <x:v>红岭大厦</x:v>
      </x:c>
      <x:c r="C167" s="48" t="str">
        <x:v>大剧院</x:v>
      </x:c>
      <x:c r="D167" s="56" t="n">
        <x:v>9</x:v>
      </x:c>
      <x:c r="E167" s="61" t="n">
        <x:v>4000</x:v>
      </x:c>
      <x:c r="F167" s="61" t="n">
        <x:v>45</x:v>
      </x:c>
      <x:c r="G167" s="61" t="n">
        <x:v>88.9</x:v>
      </x:c>
      <x:c r="H167" s="48" t="str">
        <x:v>1室0厅1</x:v>
      </x:c>
      <x:c r="I167" s="48" t="str">
        <x:v>东</x:v>
      </x:c>
      <x:c r="J167" s="48" t="str">
        <x:v>精装</x:v>
      </x:c>
      <x:c r="K167" s="48" t="str">
        <x:v>公寓</x:v>
      </x:c>
      <x:c r="L167" s="48" t="str">
        <x:v>否</x:v>
      </x:c>
      <x:c r="M167" s="48" t="str">
        <x:v>疑似重复挂牌</x:v>
      </x:c>
      <x:c r="N167" s="48" t="str">
        <x:v>红岭大厦|1室0厅1|45|4000|东</x:v>
      </x:c>
      <x:c r="O167" s="48"/>
      <x:c r="P167" s="48" t="str">
        <x:v>未知（未逐条补齐）</x:v>
      </x:c>
      <x:c r="Q167" s="48" t="str">
        <x:v>https://shenzhen.leyoujia.com/zf/detail/HLL7rRRsemTjGLHXBesJky.html</x:v>
      </x:c>
      <x:c r="R167" s="48" t="str">
        <x:v>2026-08-13</x:v>
      </x:c>
    </x:row>
    <x:row r="168">
      <x:c r="A168" s="48" t="str">
        <x:v>红岭大厦</x:v>
      </x:c>
      <x:c r="B168" s="48" t="str">
        <x:v>红岭大厦</x:v>
      </x:c>
      <x:c r="C168" s="48" t="str">
        <x:v>大剧院</x:v>
      </x:c>
      <x:c r="D168" s="56" t="n">
        <x:v>9</x:v>
      </x:c>
      <x:c r="E168" s="61" t="n">
        <x:v>4000</x:v>
      </x:c>
      <x:c r="F168" s="61" t="n">
        <x:v>45</x:v>
      </x:c>
      <x:c r="G168" s="61" t="n">
        <x:v>88.9</x:v>
      </x:c>
      <x:c r="H168" s="48" t="str">
        <x:v>1室0厅1</x:v>
      </x:c>
      <x:c r="I168" s="48" t="str">
        <x:v>南</x:v>
      </x:c>
      <x:c r="J168" s="48" t="str">
        <x:v>普装</x:v>
      </x:c>
      <x:c r="K168" s="48" t="str">
        <x:v>普通住宅</x:v>
      </x:c>
      <x:c r="L168" s="48" t="str">
        <x:v>否</x:v>
      </x:c>
      <x:c r="M168" s="48" t="str">
        <x:v>疑似重复挂牌</x:v>
      </x:c>
      <x:c r="N168" s="48" t="str">
        <x:v>红岭大厦|1室0厅1|45|4000|南</x:v>
      </x:c>
      <x:c r="O168" s="48"/>
      <x:c r="P168" s="48" t="str">
        <x:v>未知（未逐条补齐）</x:v>
      </x:c>
      <x:c r="Q168" s="48" t="str">
        <x:v>https://shenzhen.leyoujia.com/zf/detail/TQmSnudZRn12mBpydDUbKP.html</x:v>
      </x:c>
      <x:c r="R168" s="48" t="str">
        <x:v>2026-08-13</x:v>
      </x:c>
    </x:row>
    <x:row r="169">
      <x:c r="A169" s="48" t="str">
        <x:v>红岭大厦</x:v>
      </x:c>
      <x:c r="B169" s="48" t="str">
        <x:v>红岭大厦</x:v>
      </x:c>
      <x:c r="C169" s="48" t="str">
        <x:v>大剧院</x:v>
      </x:c>
      <x:c r="D169" s="56" t="n">
        <x:v>9</x:v>
      </x:c>
      <x:c r="E169" s="61" t="n">
        <x:v>4000</x:v>
      </x:c>
      <x:c r="F169" s="61" t="n">
        <x:v>45</x:v>
      </x:c>
      <x:c r="G169" s="61" t="n">
        <x:v>88.9</x:v>
      </x:c>
      <x:c r="H169" s="48" t="str">
        <x:v>1室0厅1</x:v>
      </x:c>
      <x:c r="I169" s="48" t="str">
        <x:v>西</x:v>
      </x:c>
      <x:c r="J169" s="48" t="str">
        <x:v>精装</x:v>
      </x:c>
      <x:c r="K169" s="48" t="str">
        <x:v>普通住宅</x:v>
      </x:c>
      <x:c r="L169" s="48" t="str">
        <x:v>否</x:v>
      </x:c>
      <x:c r="M169" s="48" t="str">
        <x:v>疑似重复挂牌</x:v>
      </x:c>
      <x:c r="N169" s="48" t="str">
        <x:v>红岭大厦|1室0厅1|45|4000|西</x:v>
      </x:c>
      <x:c r="O169" s="48"/>
      <x:c r="P169" s="48" t="str">
        <x:v>未知（未逐条补齐）</x:v>
      </x:c>
      <x:c r="Q169" s="48" t="str">
        <x:v>https://shenzhen.leyoujia.com/zf/detail/5ozWmSD1WwJd2QEPxNimdP.html</x:v>
      </x:c>
      <x:c r="R169" s="48" t="str">
        <x:v>2026-08-13</x:v>
      </x:c>
    </x:row>
    <x:row r="170">
      <x:c r="A170" s="48" t="str">
        <x:v>红岭大厦</x:v>
      </x:c>
      <x:c r="B170" s="48" t="str">
        <x:v>红岭大厦</x:v>
      </x:c>
      <x:c r="C170" s="48" t="str">
        <x:v>大剧院</x:v>
      </x:c>
      <x:c r="D170" s="56" t="n">
        <x:v>9</x:v>
      </x:c>
      <x:c r="E170" s="61" t="n">
        <x:v>4000</x:v>
      </x:c>
      <x:c r="F170" s="61" t="n">
        <x:v>45</x:v>
      </x:c>
      <x:c r="G170" s="61" t="n">
        <x:v>88.9</x:v>
      </x:c>
      <x:c r="H170" s="48" t="str">
        <x:v>1室0厅1</x:v>
      </x:c>
      <x:c r="I170" s="48" t="str">
        <x:v>西</x:v>
      </x:c>
      <x:c r="J170" s="48" t="str">
        <x:v>精装</x:v>
      </x:c>
      <x:c r="K170" s="48" t="str">
        <x:v>普通住宅</x:v>
      </x:c>
      <x:c r="L170" s="48" t="str">
        <x:v>否</x:v>
      </x:c>
      <x:c r="M170" s="48" t="str">
        <x:v>疑似重复挂牌</x:v>
      </x:c>
      <x:c r="N170" s="48" t="str">
        <x:v>红岭大厦|1室0厅1|45|4000|西</x:v>
      </x:c>
      <x:c r="O170" s="48"/>
      <x:c r="P170" s="48" t="str">
        <x:v>未知（未逐条补齐）</x:v>
      </x:c>
      <x:c r="Q170" s="48" t="str">
        <x:v>https://shenzhen.leyoujia.com/zf/detail/JV9VvSoKpq4n8JvhRgzTod.html</x:v>
      </x:c>
      <x:c r="R170" s="48" t="str">
        <x:v>2026-08-13</x:v>
      </x:c>
    </x:row>
    <x:row r="171">
      <x:c r="A171" s="48" t="str">
        <x:v>红岭大厦</x:v>
      </x:c>
      <x:c r="B171" s="48" t="str">
        <x:v>红岭大厦</x:v>
      </x:c>
      <x:c r="C171" s="48" t="str">
        <x:v>大剧院</x:v>
      </x:c>
      <x:c r="D171" s="56" t="n">
        <x:v>9</x:v>
      </x:c>
      <x:c r="E171" s="61" t="n">
        <x:v>4000</x:v>
      </x:c>
      <x:c r="F171" s="61" t="n">
        <x:v>38</x:v>
      </x:c>
      <x:c r="G171" s="61" t="n">
        <x:v>105.3</x:v>
      </x:c>
      <x:c r="H171" s="48" t="str">
        <x:v>1室0厅1</x:v>
      </x:c>
      <x:c r="I171" s="48" t="str">
        <x:v>东</x:v>
      </x:c>
      <x:c r="J171" s="48" t="str">
        <x:v>普装</x:v>
      </x:c>
      <x:c r="K171" s="48" t="str">
        <x:v>酒店式公寓</x:v>
      </x:c>
      <x:c r="L171" s="48" t="str">
        <x:v>否</x:v>
      </x:c>
      <x:c r="M171" s="48" t="str">
        <x:v>疑似重复挂牌</x:v>
      </x:c>
      <x:c r="N171" s="48" t="str">
        <x:v>红岭大厦|1室0厅1|38|4000|东</x:v>
      </x:c>
      <x:c r="O171" s="48"/>
      <x:c r="P171" s="48" t="str">
        <x:v>未知（未逐条补齐）</x:v>
      </x:c>
      <x:c r="Q171" s="48" t="str">
        <x:v>https://shenzhen.leyoujia.com/zf/detail/HQCLZtuZ4cAjvyb6xhzNSr.html</x:v>
      </x:c>
      <x:c r="R171" s="48" t="str">
        <x:v>2026-08-13</x:v>
      </x:c>
    </x:row>
    <x:row r="172">
      <x:c r="A172" s="48" t="str">
        <x:v>红岭大厦</x:v>
      </x:c>
      <x:c r="B172" s="48" t="str">
        <x:v>红岭大厦</x:v>
      </x:c>
      <x:c r="C172" s="48" t="str">
        <x:v>大剧院</x:v>
      </x:c>
      <x:c r="D172" s="56" t="n">
        <x:v>9</x:v>
      </x:c>
      <x:c r="E172" s="61" t="n">
        <x:v>4000</x:v>
      </x:c>
      <x:c r="F172" s="61" t="n">
        <x:v>38</x:v>
      </x:c>
      <x:c r="G172" s="61" t="n">
        <x:v>105.3</x:v>
      </x:c>
      <x:c r="H172" s="48" t="str">
        <x:v>1室0厅1</x:v>
      </x:c>
      <x:c r="I172" s="48" t="str">
        <x:v>南</x:v>
      </x:c>
      <x:c r="J172" s="48" t="str">
        <x:v>精装</x:v>
      </x:c>
      <x:c r="K172" s="48" t="str">
        <x:v>酒店式公寓</x:v>
      </x:c>
      <x:c r="L172" s="48" t="str">
        <x:v>是</x:v>
      </x:c>
      <x:c r="M172" s="48" t="str">
        <x:v>保留</x:v>
      </x:c>
      <x:c r="N172" s="48" t="str">
        <x:v>红岭大厦|1室0厅1|38|4000|南</x:v>
      </x:c>
      <x:c r="O172" s="48"/>
      <x:c r="P172" s="48" t="str">
        <x:v>未知（未逐条补齐）</x:v>
      </x:c>
      <x:c r="Q172" s="48" t="str">
        <x:v>https://shenzhen.leyoujia.com/zf/detail/2NQSFDpmUnwjoQgaSw6GAQ.html</x:v>
      </x:c>
      <x:c r="R172" s="48" t="str">
        <x:v>2026-08-13</x:v>
      </x:c>
    </x:row>
    <x:row r="173">
      <x:c r="A173" s="48" t="str">
        <x:v>红岭大厦</x:v>
      </x:c>
      <x:c r="B173" s="48" t="str">
        <x:v>红岭大厦</x:v>
      </x:c>
      <x:c r="C173" s="48" t="str">
        <x:v>大剧院</x:v>
      </x:c>
      <x:c r="D173" s="56" t="n">
        <x:v>9</x:v>
      </x:c>
      <x:c r="E173" s="61" t="n">
        <x:v>4000</x:v>
      </x:c>
      <x:c r="F173" s="61" t="n">
        <x:v>38</x:v>
      </x:c>
      <x:c r="G173" s="61" t="n">
        <x:v>105.3</x:v>
      </x:c>
      <x:c r="H173" s="48" t="str">
        <x:v>1室0厅1</x:v>
      </x:c>
      <x:c r="I173" s="48" t="str">
        <x:v>北</x:v>
      </x:c>
      <x:c r="J173" s="48" t="str">
        <x:v>精装</x:v>
      </x:c>
      <x:c r="K173" s="48" t="str">
        <x:v>酒店式公寓</x:v>
      </x:c>
      <x:c r="L173" s="48" t="str">
        <x:v>否</x:v>
      </x:c>
      <x:c r="M173" s="48" t="str">
        <x:v>疑似重复挂牌</x:v>
      </x:c>
      <x:c r="N173" s="48" t="str">
        <x:v>红岭大厦|1室0厅1|38|4000|北</x:v>
      </x:c>
      <x:c r="O173" s="48"/>
      <x:c r="P173" s="48" t="str">
        <x:v>未知（未逐条补齐）</x:v>
      </x:c>
      <x:c r="Q173" s="48" t="str">
        <x:v>https://shenzhen.leyoujia.com/zf/detail/D7L96hkVANvzdzuoaT4xRv.html</x:v>
      </x:c>
      <x:c r="R173" s="48" t="str">
        <x:v>2026-08-13</x:v>
      </x:c>
    </x:row>
    <x:row r="174">
      <x:c r="A174" s="48" t="str">
        <x:v>红岭大厦</x:v>
      </x:c>
      <x:c r="B174" s="48" t="str">
        <x:v>红岭大厦</x:v>
      </x:c>
      <x:c r="C174" s="48" t="str">
        <x:v>大剧院</x:v>
      </x:c>
      <x:c r="D174" s="56" t="n">
        <x:v>9</x:v>
      </x:c>
      <x:c r="E174" s="61" t="n">
        <x:v>4000</x:v>
      </x:c>
      <x:c r="F174" s="61" t="n">
        <x:v>38</x:v>
      </x:c>
      <x:c r="G174" s="61" t="n">
        <x:v>105.3</x:v>
      </x:c>
      <x:c r="H174" s="48" t="str">
        <x:v>1室0厅1</x:v>
      </x:c>
      <x:c r="I174" s="48" t="str">
        <x:v>南</x:v>
      </x:c>
      <x:c r="J174" s="48" t="str">
        <x:v>精装</x:v>
      </x:c>
      <x:c r="K174" s="48" t="str">
        <x:v>酒店式公寓</x:v>
      </x:c>
      <x:c r="L174" s="48" t="str">
        <x:v>否</x:v>
      </x:c>
      <x:c r="M174" s="48" t="str">
        <x:v>疑似重复挂牌</x:v>
      </x:c>
      <x:c r="N174" s="48" t="str">
        <x:v>红岭大厦|1室0厅1|38|4000|南</x:v>
      </x:c>
      <x:c r="O174" s="48"/>
      <x:c r="P174" s="48" t="str">
        <x:v>未知（未逐条补齐）</x:v>
      </x:c>
      <x:c r="Q174" s="48" t="str">
        <x:v>https://shenzhen.leyoujia.com/zf/detail/GxJPp19ujvzdBcsF8rtVqf.html</x:v>
      </x:c>
      <x:c r="R174" s="48" t="str">
        <x:v>2026-08-13</x:v>
      </x:c>
    </x:row>
    <x:row r="175">
      <x:c r="A175" s="48" t="str">
        <x:v>红岭大厦</x:v>
      </x:c>
      <x:c r="B175" s="48" t="str">
        <x:v>红岭大厦</x:v>
      </x:c>
      <x:c r="C175" s="48" t="str">
        <x:v>大剧院</x:v>
      </x:c>
      <x:c r="D175" s="56" t="n">
        <x:v>9</x:v>
      </x:c>
      <x:c r="E175" s="61" t="n">
        <x:v>4000</x:v>
      </x:c>
      <x:c r="F175" s="61" t="n">
        <x:v>38</x:v>
      </x:c>
      <x:c r="G175" s="61" t="n">
        <x:v>105.3</x:v>
      </x:c>
      <x:c r="H175" s="48" t="str">
        <x:v>1室0厅1</x:v>
      </x:c>
      <x:c r="I175" s="48" t="str">
        <x:v>东</x:v>
      </x:c>
      <x:c r="J175" s="48" t="str">
        <x:v>普装</x:v>
      </x:c>
      <x:c r="K175" s="48" t="str">
        <x:v>普通住宅</x:v>
      </x:c>
      <x:c r="L175" s="48" t="str">
        <x:v>否</x:v>
      </x:c>
      <x:c r="M175" s="48" t="str">
        <x:v>疑似重复挂牌</x:v>
      </x:c>
      <x:c r="N175" s="48" t="str">
        <x:v>红岭大厦|1室0厅1|38|4000|东</x:v>
      </x:c>
      <x:c r="O175" s="48"/>
      <x:c r="P175" s="48" t="str">
        <x:v>未知（未逐条补齐）</x:v>
      </x:c>
      <x:c r="Q175" s="48" t="str">
        <x:v>https://shenzhen.leyoujia.com/zf/detail/554xBRB3A4xfbuLjevis3n.html</x:v>
      </x:c>
      <x:c r="R175" s="48" t="str">
        <x:v>2026-08-13</x:v>
      </x:c>
    </x:row>
    <x:row r="176">
      <x:c r="A176" s="48" t="str">
        <x:v>红岭大厦</x:v>
      </x:c>
      <x:c r="B176" s="48" t="str">
        <x:v>红岭大厦</x:v>
      </x:c>
      <x:c r="C176" s="48" t="str">
        <x:v>大剧院</x:v>
      </x:c>
      <x:c r="D176" s="56" t="n">
        <x:v>9</x:v>
      </x:c>
      <x:c r="E176" s="61" t="n">
        <x:v>4000</x:v>
      </x:c>
      <x:c r="F176" s="61" t="n">
        <x:v>40</x:v>
      </x:c>
      <x:c r="G176" s="61" t="n">
        <x:v>100</x:v>
      </x:c>
      <x:c r="H176" s="48" t="str">
        <x:v>1室0厅1</x:v>
      </x:c>
      <x:c r="I176" s="48" t="str">
        <x:v>南</x:v>
      </x:c>
      <x:c r="J176" s="48" t="str">
        <x:v>精装</x:v>
      </x:c>
      <x:c r="K176" s="48" t="str">
        <x:v>普通住宅</x:v>
      </x:c>
      <x:c r="L176" s="48" t="str">
        <x:v>是</x:v>
      </x:c>
      <x:c r="M176" s="48" t="str">
        <x:v>保留</x:v>
      </x:c>
      <x:c r="N176" s="48" t="str">
        <x:v>红岭大厦|1室0厅1|40|4000|南</x:v>
      </x:c>
      <x:c r="O176" s="48"/>
      <x:c r="P176" s="48" t="str">
        <x:v>未知（未逐条补齐）</x:v>
      </x:c>
      <x:c r="Q176" s="48" t="str">
        <x:v>https://shenzhen.leyoujia.com/zf/detail/Tiq5avpkddSBJj2NsCF2AL.html</x:v>
      </x:c>
      <x:c r="R176" s="48" t="str">
        <x:v>2026-08-13</x:v>
      </x:c>
    </x:row>
    <x:row r="177">
      <x:c r="A177" s="48" t="str">
        <x:v>红岭大厦</x:v>
      </x:c>
      <x:c r="B177" s="48" t="str">
        <x:v>红岭大厦</x:v>
      </x:c>
      <x:c r="C177" s="48" t="str">
        <x:v>大剧院</x:v>
      </x:c>
      <x:c r="D177" s="56" t="n">
        <x:v>9</x:v>
      </x:c>
      <x:c r="E177" s="61" t="n">
        <x:v>4000</x:v>
      </x:c>
      <x:c r="F177" s="61" t="n">
        <x:v>41</x:v>
      </x:c>
      <x:c r="G177" s="61" t="n">
        <x:v>97.6</x:v>
      </x:c>
      <x:c r="H177" s="48" t="str">
        <x:v>1室0厅1</x:v>
      </x:c>
      <x:c r="I177" s="48" t="str">
        <x:v>南</x:v>
      </x:c>
      <x:c r="J177" s="48" t="str">
        <x:v>精装</x:v>
      </x:c>
      <x:c r="K177" s="48" t="str">
        <x:v>酒店式公寓</x:v>
      </x:c>
      <x:c r="L177" s="48" t="str">
        <x:v>是</x:v>
      </x:c>
      <x:c r="M177" s="48" t="str">
        <x:v>保留</x:v>
      </x:c>
      <x:c r="N177" s="48" t="str">
        <x:v>红岭大厦|1室0厅1|41|4000|南</x:v>
      </x:c>
      <x:c r="O177" s="48"/>
      <x:c r="P177" s="48" t="str">
        <x:v>未知（未逐条补齐）</x:v>
      </x:c>
      <x:c r="Q177" s="48" t="str">
        <x:v>https://shenzhen.leyoujia.com/zf/detail/NBQdMRHAYytJ4Zpg3Lsnrj.html</x:v>
      </x:c>
      <x:c r="R177" s="48" t="str">
        <x:v>2026-08-13</x:v>
      </x:c>
    </x:row>
    <x:row r="178">
      <x:c r="A178" s="48" t="str">
        <x:v>红岭大厦</x:v>
      </x:c>
      <x:c r="B178" s="48" t="str">
        <x:v>红岭大厦</x:v>
      </x:c>
      <x:c r="C178" s="48" t="str">
        <x:v>大剧院</x:v>
      </x:c>
      <x:c r="D178" s="56" t="n">
        <x:v>9</x:v>
      </x:c>
      <x:c r="E178" s="61" t="n">
        <x:v>4000</x:v>
      </x:c>
      <x:c r="F178" s="61" t="n">
        <x:v>41</x:v>
      </x:c>
      <x:c r="G178" s="61" t="n">
        <x:v>97.6</x:v>
      </x:c>
      <x:c r="H178" s="48" t="str">
        <x:v>1室0厅1</x:v>
      </x:c>
      <x:c r="I178" s="48" t="str">
        <x:v>南</x:v>
      </x:c>
      <x:c r="J178" s="48" t="str">
        <x:v>精装</x:v>
      </x:c>
      <x:c r="K178" s="48" t="str">
        <x:v>酒店式公寓</x:v>
      </x:c>
      <x:c r="L178" s="48" t="str">
        <x:v>否</x:v>
      </x:c>
      <x:c r="M178" s="48" t="str">
        <x:v>疑似重复挂牌</x:v>
      </x:c>
      <x:c r="N178" s="48" t="str">
        <x:v>红岭大厦|1室0厅1|41|4000|南</x:v>
      </x:c>
      <x:c r="O178" s="48"/>
      <x:c r="P178" s="48" t="str">
        <x:v>未知（未逐条补齐）</x:v>
      </x:c>
      <x:c r="Q178" s="48" t="str">
        <x:v>https://shenzhen.leyoujia.com/zf/detail/HNBYuaG5zWA6DynxE526VT.html</x:v>
      </x:c>
      <x:c r="R178" s="48" t="str">
        <x:v>2026-08-13</x:v>
      </x:c>
    </x:row>
    <x:row r="179">
      <x:c r="A179" s="48" t="str">
        <x:v>红岭大厦</x:v>
      </x:c>
      <x:c r="B179" s="48" t="str">
        <x:v>红岭大厦</x:v>
      </x:c>
      <x:c r="C179" s="48" t="str">
        <x:v>大剧院</x:v>
      </x:c>
      <x:c r="D179" s="56" t="n">
        <x:v>9</x:v>
      </x:c>
      <x:c r="E179" s="61" t="n">
        <x:v>4000</x:v>
      </x:c>
      <x:c r="F179" s="61" t="n">
        <x:v>45</x:v>
      </x:c>
      <x:c r="G179" s="61" t="n">
        <x:v>88.9</x:v>
      </x:c>
      <x:c r="H179" s="48" t="str">
        <x:v>1室0厅1</x:v>
      </x:c>
      <x:c r="I179" s="48" t="str">
        <x:v>南</x:v>
      </x:c>
      <x:c r="J179" s="48" t="str">
        <x:v>精装</x:v>
      </x:c>
      <x:c r="K179" s="48" t="str">
        <x:v>普通住宅</x:v>
      </x:c>
      <x:c r="L179" s="48" t="str">
        <x:v>否</x:v>
      </x:c>
      <x:c r="M179" s="48" t="str">
        <x:v>疑似重复挂牌</x:v>
      </x:c>
      <x:c r="N179" s="48" t="str">
        <x:v>红岭大厦|1室0厅1|45|4000|南</x:v>
      </x:c>
      <x:c r="O179" s="48"/>
      <x:c r="P179" s="48" t="str">
        <x:v>未知（未逐条补齐）</x:v>
      </x:c>
      <x:c r="Q179" s="48" t="str">
        <x:v>https://shenzhen.leyoujia.com/zf/detail/SQhCNdHjjRLD5PcbH9KZqh.html</x:v>
      </x:c>
      <x:c r="R179" s="48" t="str">
        <x:v>2026-08-13</x:v>
      </x:c>
    </x:row>
    <x:row r="180">
      <x:c r="A180" s="48" t="str">
        <x:v>红岭大厦</x:v>
      </x:c>
      <x:c r="B180" s="48" t="str">
        <x:v>红岭大厦</x:v>
      </x:c>
      <x:c r="C180" s="48" t="str">
        <x:v>大剧院</x:v>
      </x:c>
      <x:c r="D180" s="56" t="n">
        <x:v>9</x:v>
      </x:c>
      <x:c r="E180" s="61" t="n">
        <x:v>4000</x:v>
      </x:c>
      <x:c r="F180" s="61" t="n">
        <x:v>45</x:v>
      </x:c>
      <x:c r="G180" s="61" t="n">
        <x:v>88.9</x:v>
      </x:c>
      <x:c r="H180" s="48" t="str">
        <x:v>1室0厅1</x:v>
      </x:c>
      <x:c r="I180" s="48" t="str">
        <x:v>南</x:v>
      </x:c>
      <x:c r="J180" s="48" t="str">
        <x:v>精装</x:v>
      </x:c>
      <x:c r="K180" s="48" t="str">
        <x:v>公寓</x:v>
      </x:c>
      <x:c r="L180" s="48" t="str">
        <x:v>否</x:v>
      </x:c>
      <x:c r="M180" s="48" t="str">
        <x:v>疑似重复挂牌</x:v>
      </x:c>
      <x:c r="N180" s="48" t="str">
        <x:v>红岭大厦|1室0厅1|45|4000|南</x:v>
      </x:c>
      <x:c r="O180" s="48"/>
      <x:c r="P180" s="48" t="str">
        <x:v>未知（未逐条补齐）</x:v>
      </x:c>
      <x:c r="Q180" s="48" t="str">
        <x:v>https://shenzhen.leyoujia.com/zf/detail/EvKcoZM7RNE58KuoKsTQDb.html</x:v>
      </x:c>
      <x:c r="R180" s="48" t="str">
        <x:v>2026-08-13</x:v>
      </x:c>
    </x:row>
    <x:row r="181">
      <x:c r="A181" s="48" t="str">
        <x:v>红岭大厦</x:v>
      </x:c>
      <x:c r="B181" s="48" t="str">
        <x:v>红岭大厦</x:v>
      </x:c>
      <x:c r="C181" s="48" t="str">
        <x:v>大剧院</x:v>
      </x:c>
      <x:c r="D181" s="56" t="n">
        <x:v>9</x:v>
      </x:c>
      <x:c r="E181" s="61" t="n">
        <x:v>4000</x:v>
      </x:c>
      <x:c r="F181" s="61" t="n">
        <x:v>45</x:v>
      </x:c>
      <x:c r="G181" s="61" t="n">
        <x:v>88.9</x:v>
      </x:c>
      <x:c r="H181" s="48" t="str">
        <x:v>1室0厅1</x:v>
      </x:c>
      <x:c r="I181" s="48" t="str">
        <x:v>东</x:v>
      </x:c>
      <x:c r="J181" s="48" t="str">
        <x:v>精装</x:v>
      </x:c>
      <x:c r="K181" s="48" t="str">
        <x:v>普通住宅</x:v>
      </x:c>
      <x:c r="L181" s="48" t="str">
        <x:v>否</x:v>
      </x:c>
      <x:c r="M181" s="48" t="str">
        <x:v>疑似重复挂牌</x:v>
      </x:c>
      <x:c r="N181" s="48" t="str">
        <x:v>红岭大厦|1室0厅1|45|4000|东</x:v>
      </x:c>
      <x:c r="O181" s="48"/>
      <x:c r="P181" s="48" t="str">
        <x:v>未知（未逐条补齐）</x:v>
      </x:c>
      <x:c r="Q181" s="48" t="str">
        <x:v>https://shenzhen.leyoujia.com/zf/detail/GpELjacLcSbFrFa1ta2zz5.html</x:v>
      </x:c>
      <x:c r="R181" s="48" t="str">
        <x:v>2026-08-13</x:v>
      </x:c>
    </x:row>
    <x:row r="182">
      <x:c r="A182" s="48" t="str">
        <x:v>红岭大厦</x:v>
      </x:c>
      <x:c r="B182" s="48" t="str">
        <x:v>红岭大厦</x:v>
      </x:c>
      <x:c r="C182" s="48" t="str">
        <x:v>大剧院</x:v>
      </x:c>
      <x:c r="D182" s="56" t="n">
        <x:v>9</x:v>
      </x:c>
      <x:c r="E182" s="61" t="n">
        <x:v>4000</x:v>
      </x:c>
      <x:c r="F182" s="61" t="n">
        <x:v>45</x:v>
      </x:c>
      <x:c r="G182" s="61" t="n">
        <x:v>88.9</x:v>
      </x:c>
      <x:c r="H182" s="48" t="str">
        <x:v>1室0厅1</x:v>
      </x:c>
      <x:c r="I182" s="48" t="str">
        <x:v>东</x:v>
      </x:c>
      <x:c r="J182" s="48" t="str">
        <x:v>精装</x:v>
      </x:c>
      <x:c r="K182" s="48" t="str">
        <x:v>普通住宅</x:v>
      </x:c>
      <x:c r="L182" s="48" t="str">
        <x:v>否</x:v>
      </x:c>
      <x:c r="M182" s="48" t="str">
        <x:v>疑似重复挂牌</x:v>
      </x:c>
      <x:c r="N182" s="48" t="str">
        <x:v>红岭大厦|1室0厅1|45|4000|东</x:v>
      </x:c>
      <x:c r="O182" s="48"/>
      <x:c r="P182" s="48" t="str">
        <x:v>未知（未逐条补齐）</x:v>
      </x:c>
      <x:c r="Q182" s="48" t="str">
        <x:v>https://shenzhen.leyoujia.com/zf/detail/PbovW1TifoUeZPPWpbBLgU.html</x:v>
      </x:c>
      <x:c r="R182" s="48" t="str">
        <x:v>2026-08-13</x:v>
      </x:c>
    </x:row>
    <x:row r="183">
      <x:c r="A183" s="48" t="str">
        <x:v>红岭大厦</x:v>
      </x:c>
      <x:c r="B183" s="48" t="str">
        <x:v>红岭大厦</x:v>
      </x:c>
      <x:c r="C183" s="48" t="str">
        <x:v>大剧院</x:v>
      </x:c>
      <x:c r="D183" s="56" t="n">
        <x:v>9</x:v>
      </x:c>
      <x:c r="E183" s="61" t="n">
        <x:v>4000</x:v>
      </x:c>
      <x:c r="F183" s="61" t="n">
        <x:v>45</x:v>
      </x:c>
      <x:c r="G183" s="61" t="n">
        <x:v>88.9</x:v>
      </x:c>
      <x:c r="H183" s="48" t="str">
        <x:v>1室0厅1</x:v>
      </x:c>
      <x:c r="I183" s="48" t="str">
        <x:v>东</x:v>
      </x:c>
      <x:c r="J183" s="48" t="str">
        <x:v>普装</x:v>
      </x:c>
      <x:c r="K183" s="48" t="str">
        <x:v>普通住宅</x:v>
      </x:c>
      <x:c r="L183" s="48" t="str">
        <x:v>否</x:v>
      </x:c>
      <x:c r="M183" s="48" t="str">
        <x:v>疑似重复挂牌</x:v>
      </x:c>
      <x:c r="N183" s="48" t="str">
        <x:v>红岭大厦|1室0厅1|45|4000|东</x:v>
      </x:c>
      <x:c r="O183" s="48"/>
      <x:c r="P183" s="48" t="str">
        <x:v>未知（未逐条补齐）</x:v>
      </x:c>
      <x:c r="Q183" s="48" t="str">
        <x:v>https://shenzhen.leyoujia.com/zf/detail/F4ZNvkC1aWajg13vsBBuv.html</x:v>
      </x:c>
      <x:c r="R183" s="48" t="str">
        <x:v>2026-08-13</x:v>
      </x:c>
    </x:row>
    <x:row r="184">
      <x:c r="A184" s="48" t="str">
        <x:v>红岭大厦</x:v>
      </x:c>
      <x:c r="B184" s="48" t="str">
        <x:v>红岭大厦</x:v>
      </x:c>
      <x:c r="C184" s="48" t="str">
        <x:v>大剧院</x:v>
      </x:c>
      <x:c r="D184" s="56" t="n">
        <x:v>9</x:v>
      </x:c>
      <x:c r="E184" s="61" t="n">
        <x:v>4000</x:v>
      </x:c>
      <x:c r="F184" s="61" t="n">
        <x:v>45</x:v>
      </x:c>
      <x:c r="G184" s="61" t="n">
        <x:v>88.9</x:v>
      </x:c>
      <x:c r="H184" s="48" t="str">
        <x:v>1室0厅1</x:v>
      </x:c>
      <x:c r="I184" s="48" t="str">
        <x:v>北</x:v>
      </x:c>
      <x:c r="J184" s="48" t="str">
        <x:v>精装</x:v>
      </x:c>
      <x:c r="K184" s="48" t="str">
        <x:v>公寓</x:v>
      </x:c>
      <x:c r="L184" s="48" t="str">
        <x:v>否</x:v>
      </x:c>
      <x:c r="M184" s="48" t="str">
        <x:v>疑似重复挂牌</x:v>
      </x:c>
      <x:c r="N184" s="48" t="str">
        <x:v>红岭大厦|1室0厅1|45|4000|北</x:v>
      </x:c>
      <x:c r="O184" s="48"/>
      <x:c r="P184" s="48" t="str">
        <x:v>未知（未逐条补齐）</x:v>
      </x:c>
      <x:c r="Q184" s="48" t="str">
        <x:v>https://shenzhen.leyoujia.com/zf/detail/Tx18GcAGX4x5jxaRTVdLJt.html</x:v>
      </x:c>
      <x:c r="R184" s="48" t="str">
        <x:v>2026-08-13</x:v>
      </x:c>
    </x:row>
    <x:row r="185">
      <x:c r="A185" s="48" t="str">
        <x:v>红岭大厦</x:v>
      </x:c>
      <x:c r="B185" s="48" t="str">
        <x:v>红岭大厦</x:v>
      </x:c>
      <x:c r="C185" s="48" t="str">
        <x:v>大剧院</x:v>
      </x:c>
      <x:c r="D185" s="56" t="n">
        <x:v>9</x:v>
      </x:c>
      <x:c r="E185" s="61" t="n">
        <x:v>4000</x:v>
      </x:c>
      <x:c r="F185" s="61" t="n">
        <x:v>45</x:v>
      </x:c>
      <x:c r="G185" s="61" t="n">
        <x:v>88.9</x:v>
      </x:c>
      <x:c r="H185" s="48" t="str">
        <x:v>1室0厅1</x:v>
      </x:c>
      <x:c r="I185" s="48" t="str">
        <x:v>东</x:v>
      </x:c>
      <x:c r="J185" s="48" t="str">
        <x:v>精装</x:v>
      </x:c>
      <x:c r="K185" s="48" t="str">
        <x:v>普通住宅</x:v>
      </x:c>
      <x:c r="L185" s="48" t="str">
        <x:v>否</x:v>
      </x:c>
      <x:c r="M185" s="48" t="str">
        <x:v>疑似重复挂牌</x:v>
      </x:c>
      <x:c r="N185" s="48" t="str">
        <x:v>红岭大厦|1室0厅1|45|4000|东</x:v>
      </x:c>
      <x:c r="O185" s="48"/>
      <x:c r="P185" s="48" t="str">
        <x:v>未知（未逐条补齐）</x:v>
      </x:c>
      <x:c r="Q185" s="48" t="str">
        <x:v>https://shenzhen.leyoujia.com/zf/detail/F7tzfSgsE98auFcFATmiVN.html</x:v>
      </x:c>
      <x:c r="R185" s="48" t="str">
        <x:v>2026-08-13</x:v>
      </x:c>
    </x:row>
    <x:row r="186">
      <x:c r="A186" s="48" t="str">
        <x:v>红岭大厦</x:v>
      </x:c>
      <x:c r="B186" s="48" t="str">
        <x:v>红岭大厦</x:v>
      </x:c>
      <x:c r="C186" s="48" t="str">
        <x:v>大剧院</x:v>
      </x:c>
      <x:c r="D186" s="56" t="n">
        <x:v>9</x:v>
      </x:c>
      <x:c r="E186" s="61" t="n">
        <x:v>4000</x:v>
      </x:c>
      <x:c r="F186" s="61" t="n">
        <x:v>45</x:v>
      </x:c>
      <x:c r="G186" s="61" t="n">
        <x:v>88.9</x:v>
      </x:c>
      <x:c r="H186" s="48" t="str">
        <x:v>1室0厅1</x:v>
      </x:c>
      <x:c r="I186" s="48" t="str">
        <x:v>南</x:v>
      </x:c>
      <x:c r="J186" s="48" t="str">
        <x:v>精装</x:v>
      </x:c>
      <x:c r="K186" s="48" t="str">
        <x:v>普通住宅</x:v>
      </x:c>
      <x:c r="L186" s="48" t="str">
        <x:v>否</x:v>
      </x:c>
      <x:c r="M186" s="48" t="str">
        <x:v>疑似重复挂牌</x:v>
      </x:c>
      <x:c r="N186" s="48" t="str">
        <x:v>红岭大厦|1室0厅1|45|4000|南</x:v>
      </x:c>
      <x:c r="O186" s="48"/>
      <x:c r="P186" s="48" t="str">
        <x:v>未知（未逐条补齐）</x:v>
      </x:c>
      <x:c r="Q186" s="48" t="str">
        <x:v>https://shenzhen.leyoujia.com/zf/detail/LFvxTo4DHXYQSDp2oPQLjZ.html</x:v>
      </x:c>
      <x:c r="R186" s="48" t="str">
        <x:v>2026-08-13</x:v>
      </x:c>
    </x:row>
    <x:row r="187">
      <x:c r="A187" s="48" t="str">
        <x:v>红岭大厦</x:v>
      </x:c>
      <x:c r="B187" s="48" t="str">
        <x:v>红岭大厦</x:v>
      </x:c>
      <x:c r="C187" s="48" t="str">
        <x:v>大剧院</x:v>
      </x:c>
      <x:c r="D187" s="56" t="n">
        <x:v>9</x:v>
      </x:c>
      <x:c r="E187" s="61" t="n">
        <x:v>4000</x:v>
      </x:c>
      <x:c r="F187" s="61" t="n">
        <x:v>45</x:v>
      </x:c>
      <x:c r="G187" s="61" t="n">
        <x:v>88.9</x:v>
      </x:c>
      <x:c r="H187" s="48" t="str">
        <x:v>1室0厅1</x:v>
      </x:c>
      <x:c r="I187" s="48" t="str">
        <x:v>北</x:v>
      </x:c>
      <x:c r="J187" s="48" t="str">
        <x:v>精装</x:v>
      </x:c>
      <x:c r="K187" s="48" t="str">
        <x:v>普通住宅</x:v>
      </x:c>
      <x:c r="L187" s="48" t="str">
        <x:v>否</x:v>
      </x:c>
      <x:c r="M187" s="48" t="str">
        <x:v>疑似重复挂牌</x:v>
      </x:c>
      <x:c r="N187" s="48" t="str">
        <x:v>红岭大厦|1室0厅1|45|4000|北</x:v>
      </x:c>
      <x:c r="O187" s="48"/>
      <x:c r="P187" s="48" t="str">
        <x:v>未知（未逐条补齐）</x:v>
      </x:c>
      <x:c r="Q187" s="48" t="str">
        <x:v>https://shenzhen.leyoujia.com/zf/detail/2XNcLfSJVe8paVHQboCKbB.html</x:v>
      </x:c>
      <x:c r="R187" s="48" t="str">
        <x:v>2026-08-13</x:v>
      </x:c>
    </x:row>
    <x:row r="188">
      <x:c r="A188" s="48" t="str">
        <x:v>红岭大厦</x:v>
      </x:c>
      <x:c r="B188" s="48" t="str">
        <x:v>红岭大厦</x:v>
      </x:c>
      <x:c r="C188" s="48" t="str">
        <x:v>大剧院</x:v>
      </x:c>
      <x:c r="D188" s="56" t="n">
        <x:v>9</x:v>
      </x:c>
      <x:c r="E188" s="61" t="n">
        <x:v>4000</x:v>
      </x:c>
      <x:c r="F188" s="61" t="n">
        <x:v>45</x:v>
      </x:c>
      <x:c r="G188" s="61" t="n">
        <x:v>88.9</x:v>
      </x:c>
      <x:c r="H188" s="48" t="str">
        <x:v>1室0厅1</x:v>
      </x:c>
      <x:c r="I188" s="48" t="str">
        <x:v>东</x:v>
      </x:c>
      <x:c r="J188" s="48" t="str">
        <x:v>普装</x:v>
      </x:c>
      <x:c r="K188" s="48" t="str">
        <x:v>普通住宅</x:v>
      </x:c>
      <x:c r="L188" s="48" t="str">
        <x:v>否</x:v>
      </x:c>
      <x:c r="M188" s="48" t="str">
        <x:v>疑似重复挂牌</x:v>
      </x:c>
      <x:c r="N188" s="48" t="str">
        <x:v>红岭大厦|1室0厅1|45|4000|东</x:v>
      </x:c>
      <x:c r="O188" s="48"/>
      <x:c r="P188" s="48" t="str">
        <x:v>未知（未逐条补齐）</x:v>
      </x:c>
      <x:c r="Q188" s="48" t="str">
        <x:v>https://shenzhen.leyoujia.com/zf/detail/MsNStn6dNGx77C5x91jLwh.html</x:v>
      </x:c>
      <x:c r="R188" s="48" t="str">
        <x:v>2026-08-13</x:v>
      </x:c>
    </x:row>
    <x:row r="189">
      <x:c r="A189" s="48" t="str">
        <x:v>红岭大厦</x:v>
      </x:c>
      <x:c r="B189" s="48" t="str">
        <x:v>红岭大厦</x:v>
      </x:c>
      <x:c r="C189" s="48" t="str">
        <x:v>大剧院</x:v>
      </x:c>
      <x:c r="D189" s="56" t="n">
        <x:v>9</x:v>
      </x:c>
      <x:c r="E189" s="61" t="n">
        <x:v>4000</x:v>
      </x:c>
      <x:c r="F189" s="61" t="n">
        <x:v>45</x:v>
      </x:c>
      <x:c r="G189" s="61" t="n">
        <x:v>88.9</x:v>
      </x:c>
      <x:c r="H189" s="48" t="str">
        <x:v>1室0厅1</x:v>
      </x:c>
      <x:c r="I189" s="48" t="str">
        <x:v>东</x:v>
      </x:c>
      <x:c r="J189" s="48" t="str">
        <x:v>精装</x:v>
      </x:c>
      <x:c r="K189" s="48" t="str">
        <x:v>普通住宅</x:v>
      </x:c>
      <x:c r="L189" s="48" t="str">
        <x:v>否</x:v>
      </x:c>
      <x:c r="M189" s="48" t="str">
        <x:v>疑似重复挂牌</x:v>
      </x:c>
      <x:c r="N189" s="48" t="str">
        <x:v>红岭大厦|1室0厅1|45|4000|东</x:v>
      </x:c>
      <x:c r="O189" s="48"/>
      <x:c r="P189" s="48" t="str">
        <x:v>未知（未逐条补齐）</x:v>
      </x:c>
      <x:c r="Q189" s="48" t="str">
        <x:v>https://shenzhen.leyoujia.com/zf/detail/5hULjnzpCzw5vujZdturCc.html</x:v>
      </x:c>
      <x:c r="R189" s="48" t="str">
        <x:v>2026-08-13</x:v>
      </x:c>
    </x:row>
    <x:row r="190">
      <x:c r="A190" s="48" t="str">
        <x:v>红岭大厦</x:v>
      </x:c>
      <x:c r="B190" s="48" t="str">
        <x:v>红岭大厦</x:v>
      </x:c>
      <x:c r="C190" s="48" t="str">
        <x:v>大剧院</x:v>
      </x:c>
      <x:c r="D190" s="56" t="n">
        <x:v>9</x:v>
      </x:c>
      <x:c r="E190" s="61" t="n">
        <x:v>4000</x:v>
      </x:c>
      <x:c r="F190" s="61" t="n">
        <x:v>49</x:v>
      </x:c>
      <x:c r="G190" s="61" t="n">
        <x:v>81.6</x:v>
      </x:c>
      <x:c r="H190" s="48" t="str">
        <x:v>1室0厅0</x:v>
      </x:c>
      <x:c r="I190" s="48" t="str">
        <x:v>西</x:v>
      </x:c>
      <x:c r="J190" s="48" t="str">
        <x:v>精装</x:v>
      </x:c>
      <x:c r="K190" s="48" t="str">
        <x:v>酒店式公寓</x:v>
      </x:c>
      <x:c r="L190" s="48" t="str">
        <x:v>是</x:v>
      </x:c>
      <x:c r="M190" s="48" t="str">
        <x:v>保留</x:v>
      </x:c>
      <x:c r="N190" s="48" t="str">
        <x:v>红岭大厦|1室0厅0|49|4000|西</x:v>
      </x:c>
      <x:c r="O190" s="48"/>
      <x:c r="P190" s="48" t="str">
        <x:v>未知（未逐条补齐）</x:v>
      </x:c>
      <x:c r="Q190" s="48" t="str">
        <x:v>https://shenzhen.leyoujia.com/zf/detail/RNFGXFi9feu3rjWZhJNWXe.html</x:v>
      </x:c>
      <x:c r="R190" s="48" t="str">
        <x:v>2026-08-13</x:v>
      </x:c>
    </x:row>
    <x:row r="191">
      <x:c r="A191" s="48" t="str">
        <x:v>红岭大厦</x:v>
      </x:c>
      <x:c r="B191" s="48" t="str">
        <x:v>红岭大厦</x:v>
      </x:c>
      <x:c r="C191" s="48" t="str">
        <x:v>大剧院</x:v>
      </x:c>
      <x:c r="D191" s="56" t="n">
        <x:v>9</x:v>
      </x:c>
      <x:c r="E191" s="61" t="n">
        <x:v>4000</x:v>
      </x:c>
      <x:c r="F191" s="61" t="n">
        <x:v>49</x:v>
      </x:c>
      <x:c r="G191" s="61" t="n">
        <x:v>81.6</x:v>
      </x:c>
      <x:c r="H191" s="48" t="str">
        <x:v>1室0厅1</x:v>
      </x:c>
      <x:c r="I191" s="48" t="str">
        <x:v>西</x:v>
      </x:c>
      <x:c r="J191" s="48" t="str">
        <x:v>精装</x:v>
      </x:c>
      <x:c r="K191" s="48" t="str">
        <x:v>普通住宅</x:v>
      </x:c>
      <x:c r="L191" s="48" t="str">
        <x:v>是</x:v>
      </x:c>
      <x:c r="M191" s="48" t="str">
        <x:v>保留</x:v>
      </x:c>
      <x:c r="N191" s="48" t="str">
        <x:v>红岭大厦|1室0厅1|49|4000|西</x:v>
      </x:c>
      <x:c r="O191" s="48"/>
      <x:c r="P191" s="48" t="str">
        <x:v>未知（未逐条补齐）</x:v>
      </x:c>
      <x:c r="Q191" s="48" t="str">
        <x:v>https://shenzhen.leyoujia.com/zf/detail/TZ7WV68SYUvtQRNQ8UAG7q.html</x:v>
      </x:c>
      <x:c r="R191" s="48" t="str">
        <x:v>2026-08-13</x:v>
      </x:c>
    </x:row>
    <x:row r="192">
      <x:c r="A192" s="48" t="str">
        <x:v>红岭大厦</x:v>
      </x:c>
      <x:c r="B192" s="48" t="str">
        <x:v>红岭大厦</x:v>
      </x:c>
      <x:c r="C192" s="48" t="str">
        <x:v>大剧院</x:v>
      </x:c>
      <x:c r="D192" s="56" t="n">
        <x:v>9</x:v>
      </x:c>
      <x:c r="E192" s="61" t="n">
        <x:v>4000</x:v>
      </x:c>
      <x:c r="F192" s="61" t="n">
        <x:v>45</x:v>
      </x:c>
      <x:c r="G192" s="61" t="n">
        <x:v>88.9</x:v>
      </x:c>
      <x:c r="H192" s="48" t="str">
        <x:v>1室0厅1</x:v>
      </x:c>
      <x:c r="I192" s="48" t="str">
        <x:v>西</x:v>
      </x:c>
      <x:c r="J192" s="48" t="str">
        <x:v>普装</x:v>
      </x:c>
      <x:c r="K192" s="48" t="str">
        <x:v>普通住宅</x:v>
      </x:c>
      <x:c r="L192" s="48" t="str">
        <x:v>否</x:v>
      </x:c>
      <x:c r="M192" s="48" t="str">
        <x:v>疑似重复挂牌</x:v>
      </x:c>
      <x:c r="N192" s="48" t="str">
        <x:v>红岭大厦|1室0厅1|45|4000|西</x:v>
      </x:c>
      <x:c r="O192" s="48"/>
      <x:c r="P192" s="48" t="str">
        <x:v>未知（未逐条补齐）</x:v>
      </x:c>
      <x:c r="Q192" s="48" t="str">
        <x:v>https://shenzhen.leyoujia.com/zf/detail/KPznoZNiLvAiMon3AFDhrN.html</x:v>
      </x:c>
      <x:c r="R192" s="48" t="str">
        <x:v>2026-08-13</x:v>
      </x:c>
    </x:row>
    <x:row r="193">
      <x:c r="A193" s="48" t="str">
        <x:v>红岭大厦</x:v>
      </x:c>
      <x:c r="B193" s="48" t="str">
        <x:v>红岭大厦</x:v>
      </x:c>
      <x:c r="C193" s="48" t="str">
        <x:v>大剧院</x:v>
      </x:c>
      <x:c r="D193" s="56" t="n">
        <x:v>9</x:v>
      </x:c>
      <x:c r="E193" s="61" t="n">
        <x:v>4000</x:v>
      </x:c>
      <x:c r="F193" s="61" t="n">
        <x:v>45</x:v>
      </x:c>
      <x:c r="G193" s="61" t="n">
        <x:v>88.9</x:v>
      </x:c>
      <x:c r="H193" s="48" t="str">
        <x:v>1室0厅1</x:v>
      </x:c>
      <x:c r="I193" s="48" t="str">
        <x:v>北</x:v>
      </x:c>
      <x:c r="J193" s="48" t="str">
        <x:v>精装</x:v>
      </x:c>
      <x:c r="K193" s="48" t="str">
        <x:v>普通住宅</x:v>
      </x:c>
      <x:c r="L193" s="48" t="str">
        <x:v>否</x:v>
      </x:c>
      <x:c r="M193" s="48" t="str">
        <x:v>疑似重复挂牌</x:v>
      </x:c>
      <x:c r="N193" s="48" t="str">
        <x:v>红岭大厦|1室0厅1|45|4000|北</x:v>
      </x:c>
      <x:c r="O193" s="48"/>
      <x:c r="P193" s="48" t="str">
        <x:v>未知（未逐条补齐）</x:v>
      </x:c>
      <x:c r="Q193" s="48" t="str">
        <x:v>https://shenzhen.leyoujia.com/zf/detail/5PEJ1QNhvdwVpibcTPnUW5.html</x:v>
      </x:c>
      <x:c r="R193" s="48" t="str">
        <x:v>2026-08-13</x:v>
      </x:c>
    </x:row>
    <x:row r="194">
      <x:c r="A194" s="48" t="str">
        <x:v>红岭大厦</x:v>
      </x:c>
      <x:c r="B194" s="48" t="str">
        <x:v>红岭大厦</x:v>
      </x:c>
      <x:c r="C194" s="48" t="str">
        <x:v>大剧院</x:v>
      </x:c>
      <x:c r="D194" s="56" t="n">
        <x:v>9</x:v>
      </x:c>
      <x:c r="E194" s="61" t="n">
        <x:v>4000</x:v>
      </x:c>
      <x:c r="F194" s="61" t="n">
        <x:v>45</x:v>
      </x:c>
      <x:c r="G194" s="61" t="n">
        <x:v>88.9</x:v>
      </x:c>
      <x:c r="H194" s="48" t="str">
        <x:v>1室0厅1</x:v>
      </x:c>
      <x:c r="I194" s="48" t="str">
        <x:v>北</x:v>
      </x:c>
      <x:c r="J194" s="48" t="str">
        <x:v>精装</x:v>
      </x:c>
      <x:c r="K194" s="48" t="str">
        <x:v>普通住宅</x:v>
      </x:c>
      <x:c r="L194" s="48" t="str">
        <x:v>否</x:v>
      </x:c>
      <x:c r="M194" s="48" t="str">
        <x:v>疑似重复挂牌</x:v>
      </x:c>
      <x:c r="N194" s="48" t="str">
        <x:v>红岭大厦|1室0厅1|45|4000|北</x:v>
      </x:c>
      <x:c r="O194" s="48"/>
      <x:c r="P194" s="48" t="str">
        <x:v>未知（未逐条补齐）</x:v>
      </x:c>
      <x:c r="Q194" s="48" t="str">
        <x:v>https://shenzhen.leyoujia.com/zf/detail/XNgWgCK8XZNMsEwpKFr4cy.html</x:v>
      </x:c>
      <x:c r="R194" s="48" t="str">
        <x:v>2026-08-13</x:v>
      </x:c>
    </x:row>
    <x:row r="195">
      <x:c r="A195" s="48" t="str">
        <x:v>红岭大厦</x:v>
      </x:c>
      <x:c r="B195" s="48" t="str">
        <x:v>红岭大厦</x:v>
      </x:c>
      <x:c r="C195" s="48" t="str">
        <x:v>大剧院</x:v>
      </x:c>
      <x:c r="D195" s="56" t="n">
        <x:v>9</x:v>
      </x:c>
      <x:c r="E195" s="61" t="n">
        <x:v>4300</x:v>
      </x:c>
      <x:c r="F195" s="61" t="n">
        <x:v>45</x:v>
      </x:c>
      <x:c r="G195" s="61" t="n">
        <x:v>95.6</x:v>
      </x:c>
      <x:c r="H195" s="48" t="str">
        <x:v>1室0厅1</x:v>
      </x:c>
      <x:c r="I195" s="48" t="str">
        <x:v>东</x:v>
      </x:c>
      <x:c r="J195" s="48" t="str">
        <x:v>普装</x:v>
      </x:c>
      <x:c r="K195" s="48" t="str">
        <x:v>酒店式公寓</x:v>
      </x:c>
      <x:c r="L195" s="48" t="str">
        <x:v>是</x:v>
      </x:c>
      <x:c r="M195" s="48" t="str">
        <x:v>保留</x:v>
      </x:c>
      <x:c r="N195" s="48" t="str">
        <x:v>红岭大厦|1室0厅1|45|4300|东</x:v>
      </x:c>
      <x:c r="O195" s="48"/>
      <x:c r="P195" s="48" t="str">
        <x:v>未知（未逐条补齐）</x:v>
      </x:c>
      <x:c r="Q195" s="48" t="str">
        <x:v>https://shenzhen.leyoujia.com/zf/detail/GZ1t1YF63QiiwzKVT1RJcV.html</x:v>
      </x:c>
      <x:c r="R195" s="48" t="str">
        <x:v>2026-08-13</x:v>
      </x:c>
    </x:row>
    <x:row r="196">
      <x:c r="A196" s="48" t="str">
        <x:v>红岭大厦</x:v>
      </x:c>
      <x:c r="B196" s="48" t="str">
        <x:v>红岭大厦</x:v>
      </x:c>
      <x:c r="C196" s="48" t="str">
        <x:v>大剧院</x:v>
      </x:c>
      <x:c r="D196" s="56" t="n">
        <x:v>9</x:v>
      </x:c>
      <x:c r="E196" s="61" t="n">
        <x:v>4300</x:v>
      </x:c>
      <x:c r="F196" s="61" t="n">
        <x:v>45</x:v>
      </x:c>
      <x:c r="G196" s="61" t="n">
        <x:v>95.6</x:v>
      </x:c>
      <x:c r="H196" s="48" t="str">
        <x:v>1室1厅1</x:v>
      </x:c>
      <x:c r="I196" s="48" t="str">
        <x:v>东</x:v>
      </x:c>
      <x:c r="J196" s="48" t="str">
        <x:v>待核</x:v>
      </x:c>
      <x:c r="K196" s="48" t="str">
        <x:v>普通住宅</x:v>
      </x:c>
      <x:c r="L196" s="48" t="str">
        <x:v>是</x:v>
      </x:c>
      <x:c r="M196" s="48" t="str">
        <x:v>保留</x:v>
      </x:c>
      <x:c r="N196" s="48" t="str">
        <x:v>红岭大厦|1室1厅1|45|4300|东</x:v>
      </x:c>
      <x:c r="O196" s="48"/>
      <x:c r="P196" s="48" t="str">
        <x:v>未知（未逐条补齐）</x:v>
      </x:c>
      <x:c r="Q196" s="48" t="str">
        <x:v>https://shenzhen.leyoujia.com/zf/detail/GqMqFGodPEh2UsRZgFGmPT.html</x:v>
      </x:c>
      <x:c r="R196" s="48" t="str">
        <x:v>2026-08-13</x:v>
      </x:c>
    </x:row>
    <x:row r="197">
      <x:c r="A197" s="48" t="str">
        <x:v>红岭大厦</x:v>
      </x:c>
      <x:c r="B197" s="48" t="str">
        <x:v>红岭大厦</x:v>
      </x:c>
      <x:c r="C197" s="48" t="str">
        <x:v>大剧院</x:v>
      </x:c>
      <x:c r="D197" s="56" t="n">
        <x:v>9</x:v>
      </x:c>
      <x:c r="E197" s="61" t="n">
        <x:v>4300</x:v>
      </x:c>
      <x:c r="F197" s="61" t="n">
        <x:v>45</x:v>
      </x:c>
      <x:c r="G197" s="61" t="n">
        <x:v>95.6</x:v>
      </x:c>
      <x:c r="H197" s="48" t="str">
        <x:v>1室0厅1</x:v>
      </x:c>
      <x:c r="I197" s="48" t="str">
        <x:v>东</x:v>
      </x:c>
      <x:c r="J197" s="48" t="str">
        <x:v>普装</x:v>
      </x:c>
      <x:c r="K197" s="48" t="str">
        <x:v>酒店式公寓</x:v>
      </x:c>
      <x:c r="L197" s="48" t="str">
        <x:v>否</x:v>
      </x:c>
      <x:c r="M197" s="48" t="str">
        <x:v>疑似重复挂牌</x:v>
      </x:c>
      <x:c r="N197" s="48" t="str">
        <x:v>红岭大厦|1室0厅1|45|4300|东</x:v>
      </x:c>
      <x:c r="O197" s="48"/>
      <x:c r="P197" s="48" t="str">
        <x:v>未知（未逐条补齐）</x:v>
      </x:c>
      <x:c r="Q197" s="48" t="str">
        <x:v>https://shenzhen.leyoujia.com/zf/detail/QGWFfCAzwrfEGGQeikARvV.html</x:v>
      </x:c>
      <x:c r="R197" s="48" t="str">
        <x:v>2026-08-13</x:v>
      </x:c>
    </x:row>
    <x:row r="198">
      <x:c r="A198" s="48" t="str">
        <x:v>红岭大厦</x:v>
      </x:c>
      <x:c r="B198" s="48" t="str">
        <x:v>红岭大厦</x:v>
      </x:c>
      <x:c r="C198" s="48" t="str">
        <x:v>大剧院</x:v>
      </x:c>
      <x:c r="D198" s="56" t="n">
        <x:v>9</x:v>
      </x:c>
      <x:c r="E198" s="61" t="n">
        <x:v>4500</x:v>
      </x:c>
      <x:c r="F198" s="61" t="n">
        <x:v>41</x:v>
      </x:c>
      <x:c r="G198" s="61" t="n">
        <x:v>109.8</x:v>
      </x:c>
      <x:c r="H198" s="48" t="str">
        <x:v>1室0厅1</x:v>
      </x:c>
      <x:c r="I198" s="48" t="str">
        <x:v>南</x:v>
      </x:c>
      <x:c r="J198" s="48" t="str">
        <x:v>待核</x:v>
      </x:c>
      <x:c r="K198" s="48" t="str">
        <x:v>酒店式公寓</x:v>
      </x:c>
      <x:c r="L198" s="48" t="str">
        <x:v>是</x:v>
      </x:c>
      <x:c r="M198" s="48" t="str">
        <x:v>保留</x:v>
      </x:c>
      <x:c r="N198" s="48" t="str">
        <x:v>红岭大厦|1室0厅1|41|4500|南</x:v>
      </x:c>
      <x:c r="O198" s="48"/>
      <x:c r="P198" s="48" t="str">
        <x:v>未知（未逐条补齐）</x:v>
      </x:c>
      <x:c r="Q198" s="48" t="str">
        <x:v>https://shenzhen.leyoujia.com/zf/detail/DxyaQYZNTwkxj5e3sBNisF.html</x:v>
      </x:c>
      <x:c r="R198" s="48" t="str">
        <x:v>2026-08-13</x:v>
      </x:c>
    </x:row>
    <x:row r="199">
      <x:c r="A199" s="48" t="str">
        <x:v>红岭大厦</x:v>
      </x:c>
      <x:c r="B199" s="48" t="str">
        <x:v>红岭大厦</x:v>
      </x:c>
      <x:c r="C199" s="48" t="str">
        <x:v>大剧院</x:v>
      </x:c>
      <x:c r="D199" s="56" t="n">
        <x:v>9</x:v>
      </x:c>
      <x:c r="E199" s="61" t="n">
        <x:v>4500</x:v>
      </x:c>
      <x:c r="F199" s="61" t="n">
        <x:v>45</x:v>
      </x:c>
      <x:c r="G199" s="61" t="n">
        <x:v>100</x:v>
      </x:c>
      <x:c r="H199" s="48" t="str">
        <x:v>1室0厅1</x:v>
      </x:c>
      <x:c r="I199" s="48" t="str">
        <x:v>东</x:v>
      </x:c>
      <x:c r="J199" s="48" t="str">
        <x:v>普装</x:v>
      </x:c>
      <x:c r="K199" s="48" t="str">
        <x:v>普通住宅</x:v>
      </x:c>
      <x:c r="L199" s="48" t="str">
        <x:v>是</x:v>
      </x:c>
      <x:c r="M199" s="48" t="str">
        <x:v>保留</x:v>
      </x:c>
      <x:c r="N199" s="48" t="str">
        <x:v>红岭大厦|1室0厅1|45|4500|东</x:v>
      </x:c>
      <x:c r="O199" s="48"/>
      <x:c r="P199" s="48" t="str">
        <x:v>未知（未逐条补齐）</x:v>
      </x:c>
      <x:c r="Q199" s="48" t="str">
        <x:v>https://shenzhen.leyoujia.com/zf/detail/WP1KZz6Z5dAdEyuMHfSm99.html</x:v>
      </x:c>
      <x:c r="R199" s="48" t="str">
        <x:v>2026-08-13</x:v>
      </x:c>
    </x:row>
    <x:row r="200">
      <x:c r="A200" s="48" t="str">
        <x:v>红岭大厦</x:v>
      </x:c>
      <x:c r="B200" s="48" t="str">
        <x:v>红岭大厦</x:v>
      </x:c>
      <x:c r="C200" s="48" t="str">
        <x:v>大剧院</x:v>
      </x:c>
      <x:c r="D200" s="56" t="n">
        <x:v>9</x:v>
      </x:c>
      <x:c r="E200" s="61" t="n">
        <x:v>4500</x:v>
      </x:c>
      <x:c r="F200" s="61" t="n">
        <x:v>45</x:v>
      </x:c>
      <x:c r="G200" s="61" t="n">
        <x:v>100</x:v>
      </x:c>
      <x:c r="H200" s="48" t="str">
        <x:v>1室0厅1</x:v>
      </x:c>
      <x:c r="I200" s="48" t="str">
        <x:v>东</x:v>
      </x:c>
      <x:c r="J200" s="48" t="str">
        <x:v>普装</x:v>
      </x:c>
      <x:c r="K200" s="48" t="str">
        <x:v>普通住宅</x:v>
      </x:c>
      <x:c r="L200" s="48" t="str">
        <x:v>否</x:v>
      </x:c>
      <x:c r="M200" s="48" t="str">
        <x:v>疑似重复挂牌</x:v>
      </x:c>
      <x:c r="N200" s="48" t="str">
        <x:v>红岭大厦|1室0厅1|45|4500|东</x:v>
      </x:c>
      <x:c r="O200" s="48"/>
      <x:c r="P200" s="48" t="str">
        <x:v>未知（未逐条补齐）</x:v>
      </x:c>
      <x:c r="Q200" s="48" t="str">
        <x:v>https://shenzhen.leyoujia.com/zf/detail/2AS6EH67Zwr2hKmj2XiL4b.html</x:v>
      </x:c>
      <x:c r="R200" s="48" t="str">
        <x:v>2026-08-13</x:v>
      </x:c>
    </x:row>
    <x:row r="201">
      <x:c r="A201" s="48" t="str">
        <x:v>红岭大厦</x:v>
      </x:c>
      <x:c r="B201" s="48" t="str">
        <x:v>红岭大厦</x:v>
      </x:c>
      <x:c r="C201" s="48" t="str">
        <x:v>大剧院</x:v>
      </x:c>
      <x:c r="D201" s="56" t="n">
        <x:v>9</x:v>
      </x:c>
      <x:c r="E201" s="61" t="n">
        <x:v>4600</x:v>
      </x:c>
      <x:c r="F201" s="61" t="n">
        <x:v>45</x:v>
      </x:c>
      <x:c r="G201" s="61" t="n">
        <x:v>102.2</x:v>
      </x:c>
      <x:c r="H201" s="48" t="str">
        <x:v>1室0厅1</x:v>
      </x:c>
      <x:c r="I201" s="48" t="str">
        <x:v>东</x:v>
      </x:c>
      <x:c r="J201" s="48" t="str">
        <x:v>精装</x:v>
      </x:c>
      <x:c r="K201" s="48" t="str">
        <x:v>普通住宅</x:v>
      </x:c>
      <x:c r="L201" s="48" t="str">
        <x:v>是</x:v>
      </x:c>
      <x:c r="M201" s="48" t="str">
        <x:v>保留</x:v>
      </x:c>
      <x:c r="N201" s="48" t="str">
        <x:v>红岭大厦|1室0厅1|45|4600|东</x:v>
      </x:c>
      <x:c r="O201" s="48"/>
      <x:c r="P201" s="48" t="str">
        <x:v>未知（未逐条补齐）</x:v>
      </x:c>
      <x:c r="Q201" s="48" t="str">
        <x:v>https://shenzhen.leyoujia.com/zf/detail/XoGe9SbJT654W1D6t5if1L.html</x:v>
      </x:c>
      <x:c r="R201" s="48" t="str">
        <x:v>2026-08-13</x:v>
      </x:c>
    </x:row>
    <x:row r="202">
      <x:c r="A202" s="48" t="str">
        <x:v>红岭大厦</x:v>
      </x:c>
      <x:c r="B202" s="48" t="str">
        <x:v>红岭大厦</x:v>
      </x:c>
      <x:c r="C202" s="48" t="str">
        <x:v>大剧院</x:v>
      </x:c>
      <x:c r="D202" s="56" t="n">
        <x:v>9</x:v>
      </x:c>
      <x:c r="E202" s="61" t="n">
        <x:v>5000</x:v>
      </x:c>
      <x:c r="F202" s="61" t="n">
        <x:v>40</x:v>
      </x:c>
      <x:c r="G202" s="61" t="n">
        <x:v>125</x:v>
      </x:c>
      <x:c r="H202" s="48" t="str">
        <x:v>1室0厅1</x:v>
      </x:c>
      <x:c r="I202" s="48" t="str">
        <x:v>北</x:v>
      </x:c>
      <x:c r="J202" s="48" t="str">
        <x:v>普装</x:v>
      </x:c>
      <x:c r="K202" s="48" t="str">
        <x:v>公寓</x:v>
      </x:c>
      <x:c r="L202" s="48" t="str">
        <x:v>否</x:v>
      </x:c>
      <x:c r="M202" s="48" t="str">
        <x:v>异常高价</x:v>
      </x:c>
      <x:c r="N202" s="48" t="str">
        <x:v>红岭大厦|1室0厅1|40|5000|北</x:v>
      </x:c>
      <x:c r="O202" s="48"/>
      <x:c r="P202" s="48" t="str">
        <x:v>未知（未逐条补齐）</x:v>
      </x:c>
      <x:c r="Q202" s="48" t="str">
        <x:v>https://shenzhen.leyoujia.com/zf/detail/Ns5QGZKdQ9inKEpaq2ZYBo.html</x:v>
      </x:c>
      <x:c r="R202" s="48" t="str">
        <x:v>2026-08-13</x:v>
      </x:c>
    </x:row>
    <x:row r="203">
      <x:c r="A203" s="48" t="str">
        <x:v>红岭大厦</x:v>
      </x:c>
      <x:c r="B203" s="48" t="str">
        <x:v>红岭大厦</x:v>
      </x:c>
      <x:c r="C203" s="48" t="str">
        <x:v>大剧院</x:v>
      </x:c>
      <x:c r="D203" s="56" t="n">
        <x:v>9</x:v>
      </x:c>
      <x:c r="E203" s="61" t="n">
        <x:v>5000</x:v>
      </x:c>
      <x:c r="F203" s="61" t="n">
        <x:v>32</x:v>
      </x:c>
      <x:c r="G203" s="61" t="n">
        <x:v>156.3</x:v>
      </x:c>
      <x:c r="H203" s="48" t="str">
        <x:v>1室0厅1</x:v>
      </x:c>
      <x:c r="I203" s="48" t="str">
        <x:v>东</x:v>
      </x:c>
      <x:c r="J203" s="48" t="str">
        <x:v>普装</x:v>
      </x:c>
      <x:c r="K203" s="48" t="str">
        <x:v>酒店式公寓</x:v>
      </x:c>
      <x:c r="L203" s="48" t="str">
        <x:v>否</x:v>
      </x:c>
      <x:c r="M203" s="48" t="str">
        <x:v>异常高价</x:v>
      </x:c>
      <x:c r="N203" s="48" t="str">
        <x:v>红岭大厦|1室0厅1|32|5000|东</x:v>
      </x:c>
      <x:c r="O203" s="48"/>
      <x:c r="P203" s="48" t="str">
        <x:v>未知（未逐条补齐）</x:v>
      </x:c>
      <x:c r="Q203" s="48" t="str">
        <x:v>https://shenzhen.leyoujia.com/zf/detail/WUERLQSpjGNnvy44ArZJrn.html</x:v>
      </x:c>
      <x:c r="R203" s="48" t="str">
        <x:v>2026-08-13</x:v>
      </x:c>
    </x:row>
    <x:row r="204">
      <x:c r="A204" s="48" t="str">
        <x:v>御河堤</x:v>
      </x:c>
      <x:c r="B204" s="48" t="str">
        <x:v>御河堤</x:v>
      </x:c>
      <x:c r="C204" s="48" t="str">
        <x:v>大剧院</x:v>
      </x:c>
      <x:c r="D204" s="56" t="n">
        <x:v>12.7</x:v>
      </x:c>
      <x:c r="E204" s="61" t="n">
        <x:v>3800</x:v>
      </x:c>
      <x:c r="F204" s="61" t="n">
        <x:v>33.21</x:v>
      </x:c>
      <x:c r="G204" s="61" t="n">
        <x:v>114.4</x:v>
      </x:c>
      <x:c r="H204" s="48" t="str">
        <x:v>1室0厅1</x:v>
      </x:c>
      <x:c r="I204" s="48" t="str">
        <x:v>南北</x:v>
      </x:c>
      <x:c r="J204" s="48" t="str">
        <x:v>精装</x:v>
      </x:c>
      <x:c r="K204" s="48" t="str">
        <x:v>普通住宅</x:v>
      </x:c>
      <x:c r="L204" s="48" t="str">
        <x:v>是</x:v>
      </x:c>
      <x:c r="M204" s="48" t="str">
        <x:v>保留</x:v>
      </x:c>
      <x:c r="N204" s="48" t="str">
        <x:v>御河堤|1室0厅1|33|3800|南北</x:v>
      </x:c>
      <x:c r="O204" s="48"/>
      <x:c r="P204" s="48" t="str">
        <x:v>未知（未逐条补齐）</x:v>
      </x:c>
      <x:c r="Q204" s="48" t="str">
        <x:v>https://shenzhen.leyoujia.com/zf/detail/QyTcfwUrk4n7YGQArHRrw3.html</x:v>
      </x:c>
      <x:c r="R204" s="48" t="str">
        <x:v>2026-08-13</x:v>
      </x:c>
    </x:row>
    <x:row r="205">
      <x:c r="A205" s="48" t="str">
        <x:v>御河堤</x:v>
      </x:c>
      <x:c r="B205" s="48" t="str">
        <x:v>御河堤</x:v>
      </x:c>
      <x:c r="C205" s="48" t="str">
        <x:v>大剧院</x:v>
      </x:c>
      <x:c r="D205" s="56" t="n">
        <x:v>12.7</x:v>
      </x:c>
      <x:c r="E205" s="61" t="n">
        <x:v>3800</x:v>
      </x:c>
      <x:c r="F205" s="61" t="n">
        <x:v>33.12</x:v>
      </x:c>
      <x:c r="G205" s="61" t="n">
        <x:v>114.7</x:v>
      </x:c>
      <x:c r="H205" s="48" t="str">
        <x:v>1室0厅1</x:v>
      </x:c>
      <x:c r="I205" s="48" t="str">
        <x:v>北</x:v>
      </x:c>
      <x:c r="J205" s="48" t="str">
        <x:v>精装</x:v>
      </x:c>
      <x:c r="K205" s="48" t="str">
        <x:v>普通住宅</x:v>
      </x:c>
      <x:c r="L205" s="48" t="str">
        <x:v>是</x:v>
      </x:c>
      <x:c r="M205" s="48" t="str">
        <x:v>保留</x:v>
      </x:c>
      <x:c r="N205" s="48" t="str">
        <x:v>御河堤|1室0厅1|33|3800|北</x:v>
      </x:c>
      <x:c r="O205" s="48"/>
      <x:c r="P205" s="48" t="str">
        <x:v>未知（未逐条补齐）</x:v>
      </x:c>
      <x:c r="Q205" s="48" t="str">
        <x:v>https://shenzhen.leyoujia.com/zf/detail/2VTJZPfrgzSWVQFN6WmR5j.html</x:v>
      </x:c>
      <x:c r="R205" s="48" t="str">
        <x:v>2026-08-13</x:v>
      </x:c>
    </x:row>
    <x:row r="206">
      <x:c r="A206" s="48" t="str">
        <x:v>御河堤</x:v>
      </x:c>
      <x:c r="B206" s="48" t="str">
        <x:v>御河堤</x:v>
      </x:c>
      <x:c r="C206" s="48" t="str">
        <x:v>大剧院</x:v>
      </x:c>
      <x:c r="D206" s="56" t="n">
        <x:v>12.7</x:v>
      </x:c>
      <x:c r="E206" s="61" t="n">
        <x:v>4000</x:v>
      </x:c>
      <x:c r="F206" s="61" t="n">
        <x:v>33.32</x:v>
      </x:c>
      <x:c r="G206" s="61" t="n">
        <x:v>120</x:v>
      </x:c>
      <x:c r="H206" s="48" t="str">
        <x:v>1室1厅1</x:v>
      </x:c>
      <x:c r="I206" s="48" t="str">
        <x:v>北</x:v>
      </x:c>
      <x:c r="J206" s="48" t="str">
        <x:v>普装</x:v>
      </x:c>
      <x:c r="K206" s="48" t="str">
        <x:v>普通住宅</x:v>
      </x:c>
      <x:c r="L206" s="48" t="str">
        <x:v>是</x:v>
      </x:c>
      <x:c r="M206" s="48" t="str">
        <x:v>保留</x:v>
      </x:c>
      <x:c r="N206" s="48" t="str">
        <x:v>御河堤|1室1厅1|33|4000|北</x:v>
      </x:c>
      <x:c r="O206" s="48"/>
      <x:c r="P206" s="48" t="str">
        <x:v>未知（未逐条补齐）</x:v>
      </x:c>
      <x:c r="Q206" s="48" t="str">
        <x:v>https://shenzhen.leyoujia.com/zf/detail/PsoXxNDL5EFuZ46NqCh7r4.html</x:v>
      </x:c>
      <x:c r="R206" s="48" t="str">
        <x:v>2026-08-13</x:v>
      </x:c>
    </x:row>
    <x:row r="207">
      <x:c r="A207" s="48" t="str">
        <x:v>御河堤</x:v>
      </x:c>
      <x:c r="B207" s="48" t="str">
        <x:v>御河堤</x:v>
      </x:c>
      <x:c r="C207" s="48" t="str">
        <x:v>大剧院</x:v>
      </x:c>
      <x:c r="D207" s="56" t="n">
        <x:v>12.7</x:v>
      </x:c>
      <x:c r="E207" s="61" t="n">
        <x:v>4000</x:v>
      </x:c>
      <x:c r="F207" s="61" t="n">
        <x:v>38.57</x:v>
      </x:c>
      <x:c r="G207" s="61" t="n">
        <x:v>103.7</x:v>
      </x:c>
      <x:c r="H207" s="48" t="str">
        <x:v>1室0厅1</x:v>
      </x:c>
      <x:c r="I207" s="48" t="str">
        <x:v>南北</x:v>
      </x:c>
      <x:c r="J207" s="48" t="str">
        <x:v>精装</x:v>
      </x:c>
      <x:c r="K207" s="48" t="str">
        <x:v>普通住宅</x:v>
      </x:c>
      <x:c r="L207" s="48" t="str">
        <x:v>是</x:v>
      </x:c>
      <x:c r="M207" s="48" t="str">
        <x:v>保留</x:v>
      </x:c>
      <x:c r="N207" s="48" t="str">
        <x:v>御河堤|1室0厅1|39|4000|南北</x:v>
      </x:c>
      <x:c r="O207" s="48"/>
      <x:c r="P207" s="48" t="str">
        <x:v>未知（未逐条补齐）</x:v>
      </x:c>
      <x:c r="Q207" s="48" t="str">
        <x:v>https://shenzhen.leyoujia.com/zf/detail/9d2QxAUQwzpyU2oMM7Tfsh.html</x:v>
      </x:c>
      <x:c r="R207" s="48" t="str">
        <x:v>2026-08-13</x:v>
      </x:c>
    </x:row>
    <x:row r="208">
      <x:c r="A208" s="48" t="str">
        <x:v>御河堤</x:v>
      </x:c>
      <x:c r="B208" s="48" t="str">
        <x:v>御河堤</x:v>
      </x:c>
      <x:c r="C208" s="48" t="str">
        <x:v>大剧院</x:v>
      </x:c>
      <x:c r="D208" s="56" t="n">
        <x:v>12.7</x:v>
      </x:c>
      <x:c r="E208" s="61" t="n">
        <x:v>4000</x:v>
      </x:c>
      <x:c r="F208" s="61" t="n">
        <x:v>33.09</x:v>
      </x:c>
      <x:c r="G208" s="61" t="n">
        <x:v>120.9</x:v>
      </x:c>
      <x:c r="H208" s="48" t="str">
        <x:v>1室0厅1</x:v>
      </x:c>
      <x:c r="I208" s="48" t="str">
        <x:v>南北</x:v>
      </x:c>
      <x:c r="J208" s="48" t="str">
        <x:v>精装</x:v>
      </x:c>
      <x:c r="K208" s="48" t="str">
        <x:v>普通住宅</x:v>
      </x:c>
      <x:c r="L208" s="48" t="str">
        <x:v>是</x:v>
      </x:c>
      <x:c r="M208" s="48" t="str">
        <x:v>保留</x:v>
      </x:c>
      <x:c r="N208" s="48" t="str">
        <x:v>御河堤|1室0厅1|33|4000|南北</x:v>
      </x:c>
      <x:c r="O208" s="48"/>
      <x:c r="P208" s="48" t="str">
        <x:v>未知（未逐条补齐）</x:v>
      </x:c>
      <x:c r="Q208" s="48" t="str">
        <x:v>https://shenzhen.leyoujia.com/zf/detail/714eMDM6bfsxSCz7zdczn4.html</x:v>
      </x:c>
      <x:c r="R208" s="48" t="str">
        <x:v>2026-08-13</x:v>
      </x:c>
    </x:row>
    <x:row r="209">
      <x:c r="A209" s="48" t="str">
        <x:v>御河堤</x:v>
      </x:c>
      <x:c r="B209" s="48" t="str">
        <x:v>御河堤</x:v>
      </x:c>
      <x:c r="C209" s="48" t="str">
        <x:v>大剧院</x:v>
      </x:c>
      <x:c r="D209" s="56" t="n">
        <x:v>12.7</x:v>
      </x:c>
      <x:c r="E209" s="61" t="n">
        <x:v>4000</x:v>
      </x:c>
      <x:c r="F209" s="61" t="n">
        <x:v>30.83</x:v>
      </x:c>
      <x:c r="G209" s="61" t="n">
        <x:v>129.7</x:v>
      </x:c>
      <x:c r="H209" s="48" t="str">
        <x:v>1室0厅1</x:v>
      </x:c>
      <x:c r="I209" s="48" t="str">
        <x:v>南北</x:v>
      </x:c>
      <x:c r="J209" s="48" t="str">
        <x:v>普装</x:v>
      </x:c>
      <x:c r="K209" s="48" t="str">
        <x:v>普通住宅</x:v>
      </x:c>
      <x:c r="L209" s="48" t="str">
        <x:v>是</x:v>
      </x:c>
      <x:c r="M209" s="48" t="str">
        <x:v>保留</x:v>
      </x:c>
      <x:c r="N209" s="48" t="str">
        <x:v>御河堤|1室0厅1|31|4000|南北</x:v>
      </x:c>
      <x:c r="O209" s="48"/>
      <x:c r="P209" s="48" t="str">
        <x:v>未知（未逐条补齐）</x:v>
      </x:c>
      <x:c r="Q209" s="48" t="str">
        <x:v>https://shenzhen.leyoujia.com/zf/detail/TuvYYa62CMiofimn3Xwp67.html</x:v>
      </x:c>
      <x:c r="R209" s="48" t="str">
        <x:v>2026-08-13</x:v>
      </x:c>
    </x:row>
    <x:row r="210">
      <x:c r="A210" s="48" t="str">
        <x:v>御河堤</x:v>
      </x:c>
      <x:c r="B210" s="48" t="str">
        <x:v>御河堤</x:v>
      </x:c>
      <x:c r="C210" s="48" t="str">
        <x:v>大剧院</x:v>
      </x:c>
      <x:c r="D210" s="56" t="n">
        <x:v>12.7</x:v>
      </x:c>
      <x:c r="E210" s="61" t="n">
        <x:v>4000</x:v>
      </x:c>
      <x:c r="F210" s="61" t="n">
        <x:v>33.21</x:v>
      </x:c>
      <x:c r="G210" s="61" t="n">
        <x:v>120.4</x:v>
      </x:c>
      <x:c r="H210" s="48" t="str">
        <x:v>1室0厅1</x:v>
      </x:c>
      <x:c r="I210" s="48" t="str">
        <x:v>南北</x:v>
      </x:c>
      <x:c r="J210" s="48" t="str">
        <x:v>普装</x:v>
      </x:c>
      <x:c r="K210" s="48" t="str">
        <x:v>普通住宅</x:v>
      </x:c>
      <x:c r="L210" s="48" t="str">
        <x:v>否</x:v>
      </x:c>
      <x:c r="M210" s="48" t="str">
        <x:v>疑似重复挂牌</x:v>
      </x:c>
      <x:c r="N210" s="48" t="str">
        <x:v>御河堤|1室0厅1|33|4000|南北</x:v>
      </x:c>
      <x:c r="O210" s="48"/>
      <x:c r="P210" s="48" t="str">
        <x:v>未知（未逐条补齐）</x:v>
      </x:c>
      <x:c r="Q210" s="48" t="str">
        <x:v>https://shenzhen.leyoujia.com/zf/detail/FUHoWixz2x4Gnao9AUhYRA.html</x:v>
      </x:c>
      <x:c r="R210" s="48" t="str">
        <x:v>2026-08-13</x:v>
      </x:c>
    </x:row>
    <x:row r="211">
      <x:c r="A211" s="48" t="str">
        <x:v>御河堤</x:v>
      </x:c>
      <x:c r="B211" s="48" t="str">
        <x:v>御河堤</x:v>
      </x:c>
      <x:c r="C211" s="48" t="str">
        <x:v>大剧院</x:v>
      </x:c>
      <x:c r="D211" s="56" t="n">
        <x:v>12.7</x:v>
      </x:c>
      <x:c r="E211" s="61" t="n">
        <x:v>4500</x:v>
      </x:c>
      <x:c r="F211" s="61" t="n">
        <x:v>30.83</x:v>
      </x:c>
      <x:c r="G211" s="61" t="n">
        <x:v>146</x:v>
      </x:c>
      <x:c r="H211" s="48" t="str">
        <x:v>1室0厅1</x:v>
      </x:c>
      <x:c r="I211" s="48" t="str">
        <x:v>南北</x:v>
      </x:c>
      <x:c r="J211" s="48" t="str">
        <x:v>精装</x:v>
      </x:c>
      <x:c r="K211" s="48" t="str">
        <x:v>普通住宅</x:v>
      </x:c>
      <x:c r="L211" s="48" t="str">
        <x:v>是</x:v>
      </x:c>
      <x:c r="M211" s="48" t="str">
        <x:v>保留</x:v>
      </x:c>
      <x:c r="N211" s="48" t="str">
        <x:v>御河堤|1室0厅1|31|4500|南北</x:v>
      </x:c>
      <x:c r="O211" s="48"/>
      <x:c r="P211" s="48" t="str">
        <x:v>未知（未逐条补齐）</x:v>
      </x:c>
      <x:c r="Q211" s="48" t="str">
        <x:v>https://shenzhen.leyoujia.com/zf/detail/M2FvTYwFGbKvJVnjg6cUMd.html</x:v>
      </x:c>
      <x:c r="R211" s="48" t="str">
        <x:v>2026-08-13</x:v>
      </x:c>
    </x:row>
    <x:row r="212">
      <x:c r="A212" s="48" t="str">
        <x:v>御河堤</x:v>
      </x:c>
      <x:c r="B212" s="48" t="str">
        <x:v>御河堤</x:v>
      </x:c>
      <x:c r="C212" s="48" t="str">
        <x:v>大剧院</x:v>
      </x:c>
      <x:c r="D212" s="56" t="n">
        <x:v>12.7</x:v>
      </x:c>
      <x:c r="E212" s="61" t="n">
        <x:v>4800</x:v>
      </x:c>
      <x:c r="F212" s="61" t="n">
        <x:v>37.23</x:v>
      </x:c>
      <x:c r="G212" s="61" t="n">
        <x:v>128.9</x:v>
      </x:c>
      <x:c r="H212" s="48" t="str">
        <x:v>1室1厅1</x:v>
      </x:c>
      <x:c r="I212" s="48" t="str">
        <x:v>南北</x:v>
      </x:c>
      <x:c r="J212" s="48" t="str">
        <x:v>普装</x:v>
      </x:c>
      <x:c r="K212" s="48" t="str">
        <x:v>酒店式公寓</x:v>
      </x:c>
      <x:c r="L212" s="48" t="str">
        <x:v>是</x:v>
      </x:c>
      <x:c r="M212" s="48" t="str">
        <x:v>保留</x:v>
      </x:c>
      <x:c r="N212" s="48" t="str">
        <x:v>御河堤|1室1厅1|37|4800|南北</x:v>
      </x:c>
      <x:c r="O212" s="48"/>
      <x:c r="P212" s="48" t="str">
        <x:v>未知（未逐条补齐）</x:v>
      </x:c>
      <x:c r="Q212" s="48" t="str">
        <x:v>https://shenzhen.leyoujia.com/zf/detail/NX8rtbrpZaoJMLQPiXt3s5.html</x:v>
      </x:c>
      <x:c r="R212" s="48" t="str">
        <x:v>2026-08-13</x:v>
      </x:c>
    </x:row>
    <x:row r="213">
      <x:c r="A213" s="48" t="str">
        <x:v>御河堤</x:v>
      </x:c>
      <x:c r="B213" s="48" t="str">
        <x:v>御河堤</x:v>
      </x:c>
      <x:c r="C213" s="48" t="str">
        <x:v>大剧院</x:v>
      </x:c>
      <x:c r="D213" s="56" t="n">
        <x:v>12.7</x:v>
      </x:c>
      <x:c r="E213" s="61" t="n">
        <x:v>4800</x:v>
      </x:c>
      <x:c r="F213" s="61" t="n">
        <x:v>33.1</x:v>
      </x:c>
      <x:c r="G213" s="61" t="n">
        <x:v>145</x:v>
      </x:c>
      <x:c r="H213" s="48" t="str">
        <x:v>1室0厅1</x:v>
      </x:c>
      <x:c r="I213" s="48" t="str">
        <x:v>南北</x:v>
      </x:c>
      <x:c r="J213" s="48" t="str">
        <x:v>精装</x:v>
      </x:c>
      <x:c r="K213" s="48" t="str">
        <x:v>普通住宅</x:v>
      </x:c>
      <x:c r="L213" s="48" t="str">
        <x:v>是</x:v>
      </x:c>
      <x:c r="M213" s="48" t="str">
        <x:v>保留</x:v>
      </x:c>
      <x:c r="N213" s="48" t="str">
        <x:v>御河堤|1室0厅1|33|4800|南北</x:v>
      </x:c>
      <x:c r="O213" s="48"/>
      <x:c r="P213" s="48" t="str">
        <x:v>未知（未逐条补齐）</x:v>
      </x:c>
      <x:c r="Q213" s="48" t="str">
        <x:v>https://shenzhen.leyoujia.com/zf/detail/Ln9NxDSg1UxL5ZVKiLxHqF.html</x:v>
      </x:c>
      <x:c r="R213" s="48" t="str">
        <x:v>2026-08-13</x:v>
      </x:c>
    </x:row>
    <x:row r="214">
      <x:c r="A214" s="48" t="str">
        <x:v>御河堤</x:v>
      </x:c>
      <x:c r="B214" s="48" t="str">
        <x:v>御河堤</x:v>
      </x:c>
      <x:c r="C214" s="48" t="str">
        <x:v>大剧院</x:v>
      </x:c>
      <x:c r="D214" s="56" t="n">
        <x:v>12.7</x:v>
      </x:c>
      <x:c r="E214" s="61" t="n">
        <x:v>4800</x:v>
      </x:c>
      <x:c r="F214" s="61" t="n">
        <x:v>39.09</x:v>
      </x:c>
      <x:c r="G214" s="61" t="n">
        <x:v>122.8</x:v>
      </x:c>
      <x:c r="H214" s="48" t="str">
        <x:v>1室1厅1</x:v>
      </x:c>
      <x:c r="I214" s="48" t="str">
        <x:v>东</x:v>
      </x:c>
      <x:c r="J214" s="48" t="str">
        <x:v>普装</x:v>
      </x:c>
      <x:c r="K214" s="48" t="str">
        <x:v>普通住宅</x:v>
      </x:c>
      <x:c r="L214" s="48" t="str">
        <x:v>是</x:v>
      </x:c>
      <x:c r="M214" s="48" t="str">
        <x:v>保留</x:v>
      </x:c>
      <x:c r="N214" s="48" t="str">
        <x:v>御河堤|1室1厅1|39|4800|东</x:v>
      </x:c>
      <x:c r="O214" s="48"/>
      <x:c r="P214" s="48" t="str">
        <x:v>未知（未逐条补齐）</x:v>
      </x:c>
      <x:c r="Q214" s="48" t="str">
        <x:v>https://shenzhen.leyoujia.com/zf/detail/XnmPQnEoLeH2xTB746tcfn.html</x:v>
      </x:c>
      <x:c r="R214" s="48" t="str">
        <x:v>2026-08-13</x:v>
      </x:c>
    </x:row>
    <x:row r="215">
      <x:c r="A215" s="48" t="str">
        <x:v>御河堤</x:v>
      </x:c>
      <x:c r="B215" s="48" t="str">
        <x:v>御河堤</x:v>
      </x:c>
      <x:c r="C215" s="48" t="str">
        <x:v>大剧院</x:v>
      </x:c>
      <x:c r="D215" s="56" t="n">
        <x:v>12.7</x:v>
      </x:c>
      <x:c r="E215" s="61" t="n">
        <x:v>4800</x:v>
      </x:c>
      <x:c r="F215" s="61" t="n">
        <x:v>37.43</x:v>
      </x:c>
      <x:c r="G215" s="61" t="n">
        <x:v>128.2</x:v>
      </x:c>
      <x:c r="H215" s="48" t="str">
        <x:v>1室1厅1</x:v>
      </x:c>
      <x:c r="I215" s="48" t="str">
        <x:v>西北</x:v>
      </x:c>
      <x:c r="J215" s="48" t="str">
        <x:v>精装</x:v>
      </x:c>
      <x:c r="K215" s="48" t="str">
        <x:v>普通住宅</x:v>
      </x:c>
      <x:c r="L215" s="48" t="str">
        <x:v>是</x:v>
      </x:c>
      <x:c r="M215" s="48" t="str">
        <x:v>保留</x:v>
      </x:c>
      <x:c r="N215" s="48" t="str">
        <x:v>御河堤|1室1厅1|37|4800|西北</x:v>
      </x:c>
      <x:c r="O215" s="48"/>
      <x:c r="P215" s="48" t="str">
        <x:v>未知（未逐条补齐）</x:v>
      </x:c>
      <x:c r="Q215" s="48" t="str">
        <x:v>https://shenzhen.leyoujia.com/zf/detail/Ah1E7eD8tUNupHg7P7AnXS.html</x:v>
      </x:c>
      <x:c r="R215" s="48" t="str">
        <x:v>2026-08-13</x:v>
      </x:c>
    </x:row>
    <x:row r="216">
      <x:c r="A216" s="48" t="str">
        <x:v>御河堤</x:v>
      </x:c>
      <x:c r="B216" s="48" t="str">
        <x:v>御河堤</x:v>
      </x:c>
      <x:c r="C216" s="48" t="str">
        <x:v>大剧院</x:v>
      </x:c>
      <x:c r="D216" s="56" t="n">
        <x:v>12.7</x:v>
      </x:c>
      <x:c r="E216" s="61" t="n">
        <x:v>4800</x:v>
      </x:c>
      <x:c r="F216" s="61" t="n">
        <x:v>39.44</x:v>
      </x:c>
      <x:c r="G216" s="61" t="n">
        <x:v>121.7</x:v>
      </x:c>
      <x:c r="H216" s="48" t="str">
        <x:v>1室1厅1</x:v>
      </x:c>
      <x:c r="I216" s="48" t="str">
        <x:v>东</x:v>
      </x:c>
      <x:c r="J216" s="48" t="str">
        <x:v>精装</x:v>
      </x:c>
      <x:c r="K216" s="48" t="str">
        <x:v>普通住宅</x:v>
      </x:c>
      <x:c r="L216" s="48" t="str">
        <x:v>否</x:v>
      </x:c>
      <x:c r="M216" s="48" t="str">
        <x:v>疑似重复挂牌</x:v>
      </x:c>
      <x:c r="N216" s="48" t="str">
        <x:v>御河堤|1室1厅1|39|4800|东</x:v>
      </x:c>
      <x:c r="O216" s="48"/>
      <x:c r="P216" s="48" t="str">
        <x:v>未知（未逐条补齐）</x:v>
      </x:c>
      <x:c r="Q216" s="48" t="str">
        <x:v>https://shenzhen.leyoujia.com/zf/detail/8vMSpbbRUCdUxxfnY2R25A.html</x:v>
      </x:c>
      <x:c r="R216" s="48" t="str">
        <x:v>2026-08-13</x:v>
      </x:c>
    </x:row>
    <x:row r="217">
      <x:c r="A217" s="48" t="str">
        <x:v>御河堤</x:v>
      </x:c>
      <x:c r="B217" s="48" t="str">
        <x:v>御河堤</x:v>
      </x:c>
      <x:c r="C217" s="48" t="str">
        <x:v>大剧院</x:v>
      </x:c>
      <x:c r="D217" s="56" t="n">
        <x:v>12.7</x:v>
      </x:c>
      <x:c r="E217" s="61" t="n">
        <x:v>4800</x:v>
      </x:c>
      <x:c r="F217" s="61" t="n">
        <x:v>39.09</x:v>
      </x:c>
      <x:c r="G217" s="61" t="n">
        <x:v>122.8</x:v>
      </x:c>
      <x:c r="H217" s="48" t="str">
        <x:v>1室0厅1</x:v>
      </x:c>
      <x:c r="I217" s="48" t="str">
        <x:v>东</x:v>
      </x:c>
      <x:c r="J217" s="48" t="str">
        <x:v>精装</x:v>
      </x:c>
      <x:c r="K217" s="48" t="str">
        <x:v>普通住宅</x:v>
      </x:c>
      <x:c r="L217" s="48" t="str">
        <x:v>是</x:v>
      </x:c>
      <x:c r="M217" s="48" t="str">
        <x:v>保留</x:v>
      </x:c>
      <x:c r="N217" s="48" t="str">
        <x:v>御河堤|1室0厅1|39|4800|东</x:v>
      </x:c>
      <x:c r="O217" s="48"/>
      <x:c r="P217" s="48" t="str">
        <x:v>未知（未逐条补齐）</x:v>
      </x:c>
      <x:c r="Q217" s="48" t="str">
        <x:v>https://shenzhen.leyoujia.com/zf/detail/W5Y7qcHy5ZZEhLAmrjMyuy.html</x:v>
      </x:c>
      <x:c r="R217" s="48" t="str">
        <x:v>2026-08-13</x:v>
      </x:c>
    </x:row>
    <x:row r="218">
      <x:c r="A218" s="48" t="str">
        <x:v>御河堤</x:v>
      </x:c>
      <x:c r="B218" s="48" t="str">
        <x:v>御河堤</x:v>
      </x:c>
      <x:c r="C218" s="48" t="str">
        <x:v>大剧院</x:v>
      </x:c>
      <x:c r="D218" s="56" t="n">
        <x:v>12.7</x:v>
      </x:c>
      <x:c r="E218" s="61" t="n">
        <x:v>5000</x:v>
      </x:c>
      <x:c r="F218" s="61" t="n">
        <x:v>39.09</x:v>
      </x:c>
      <x:c r="G218" s="61" t="n">
        <x:v>127.9</x:v>
      </x:c>
      <x:c r="H218" s="48" t="str">
        <x:v>1室1厅1</x:v>
      </x:c>
      <x:c r="I218" s="48" t="str">
        <x:v>东</x:v>
      </x:c>
      <x:c r="J218" s="48" t="str">
        <x:v>普装</x:v>
      </x:c>
      <x:c r="K218" s="48" t="str">
        <x:v>普通住宅</x:v>
      </x:c>
      <x:c r="L218" s="48" t="str">
        <x:v>是</x:v>
      </x:c>
      <x:c r="M218" s="48" t="str">
        <x:v>保留</x:v>
      </x:c>
      <x:c r="N218" s="48" t="str">
        <x:v>御河堤|1室1厅1|39|5000|东</x:v>
      </x:c>
      <x:c r="O218" s="48"/>
      <x:c r="P218" s="48" t="str">
        <x:v>未知（未逐条补齐）</x:v>
      </x:c>
      <x:c r="Q218" s="48" t="str">
        <x:v>https://shenzhen.leyoujia.com/zf/detail/3DAXMfPB9VomK7gdBRp48V.html</x:v>
      </x:c>
      <x:c r="R218" s="48" t="str">
        <x:v>2026-08-13</x:v>
      </x:c>
    </x:row>
    <x:row r="219">
      <x:c r="A219" s="48" t="str">
        <x:v>东园新村</x:v>
      </x:c>
      <x:c r="B219" s="48" t="str">
        <x:v>东园新村</x:v>
      </x:c>
      <x:c r="C219" s="48" t="str">
        <x:v>大剧院</x:v>
      </x:c>
      <x:c r="D219" s="56" t="n">
        <x:v>12.3</x:v>
      </x:c>
      <x:c r="E219" s="61" t="n">
        <x:v>3300</x:v>
      </x:c>
      <x:c r="F219" s="61" t="n">
        <x:v>20</x:v>
      </x:c>
      <x:c r="G219" s="61" t="n">
        <x:v>165</x:v>
      </x:c>
      <x:c r="H219" s="48" t="str">
        <x:v>1室0厅1</x:v>
      </x:c>
      <x:c r="I219" s="48" t="str">
        <x:v>南北</x:v>
      </x:c>
      <x:c r="J219" s="48" t="str">
        <x:v>精装</x:v>
      </x:c>
      <x:c r="K219" s="48" t="str">
        <x:v>普通住宅</x:v>
      </x:c>
      <x:c r="L219" s="48" t="str">
        <x:v>是</x:v>
      </x:c>
      <x:c r="M219" s="48" t="str">
        <x:v>保留</x:v>
      </x:c>
      <x:c r="N219" s="48" t="str">
        <x:v>东园新村|1室0厅1|20|3300|南北</x:v>
      </x:c>
      <x:c r="O219" s="48"/>
      <x:c r="P219" s="48" t="str">
        <x:v>未知（未逐条补齐）</x:v>
      </x:c>
      <x:c r="Q219" s="48" t="str">
        <x:v>https://shenzhen.leyoujia.com/zf/detail/2gUGYEsksS7WCsuLzFfspL.html</x:v>
      </x:c>
      <x:c r="R219" s="48" t="str">
        <x:v>2026-08-13</x:v>
      </x:c>
    </x:row>
    <x:row r="220">
      <x:c r="A220" s="48" t="str">
        <x:v>华瑞大厦</x:v>
      </x:c>
      <x:c r="B220" s="48" t="str">
        <x:v>华瑞大厦</x:v>
      </x:c>
      <x:c r="C220" s="48" t="str">
        <x:v>大剧院</x:v>
      </x:c>
      <x:c r="D220" s="56" t="n">
        <x:v>16.4</x:v>
      </x:c>
      <x:c r="E220" s="61" t="n">
        <x:v>2950</x:v>
      </x:c>
      <x:c r="F220" s="61" t="n">
        <x:v>30</x:v>
      </x:c>
      <x:c r="G220" s="61" t="n">
        <x:v>98.3</x:v>
      </x:c>
      <x:c r="H220" s="48" t="str">
        <x:v>1室0厅1</x:v>
      </x:c>
      <x:c r="I220" s="48" t="str">
        <x:v>东</x:v>
      </x:c>
      <x:c r="J220" s="48" t="str">
        <x:v>普装</x:v>
      </x:c>
      <x:c r="K220" s="48" t="str">
        <x:v>普通住宅</x:v>
      </x:c>
      <x:c r="L220" s="48" t="str">
        <x:v>是</x:v>
      </x:c>
      <x:c r="M220" s="48" t="str">
        <x:v>保留</x:v>
      </x:c>
      <x:c r="N220" s="48" t="str">
        <x:v>华瑞大厦|1室0厅1|30|2950|东</x:v>
      </x:c>
      <x:c r="O220" s="48"/>
      <x:c r="P220" s="48" t="str">
        <x:v>未知（未逐条补齐）</x:v>
      </x:c>
      <x:c r="Q220" s="48" t="str">
        <x:v>https://shenzhen.leyoujia.com/zf/detail/4VRm2jAMXCPiiXqw72a9qe.html</x:v>
      </x:c>
      <x:c r="R220" s="48" t="str">
        <x:v>2026-08-13</x:v>
      </x:c>
    </x:row>
    <x:row r="221">
      <x:c r="A221" s="48" t="str">
        <x:v>鹿苑小区</x:v>
      </x:c>
      <x:c r="B221" s="48" t="str">
        <x:v>鹿苑小区</x:v>
      </x:c>
      <x:c r="C221" s="48" t="str">
        <x:v>大剧院</x:v>
      </x:c>
      <x:c r="D221" s="56" t="n">
        <x:v>22.3</x:v>
      </x:c>
      <x:c r="E221" s="61" t="n">
        <x:v>2400</x:v>
      </x:c>
      <x:c r="F221" s="61" t="n">
        <x:v>25</x:v>
      </x:c>
      <x:c r="G221" s="61" t="n">
        <x:v>96</x:v>
      </x:c>
      <x:c r="H221" s="48" t="str">
        <x:v>1室0厅1</x:v>
      </x:c>
      <x:c r="I221" s="48" t="str">
        <x:v>南</x:v>
      </x:c>
      <x:c r="J221" s="48" t="str">
        <x:v>待核</x:v>
      </x:c>
      <x:c r="K221" s="48" t="str">
        <x:v>住宅</x:v>
      </x:c>
      <x:c r="L221" s="48" t="str">
        <x:v>否</x:v>
      </x:c>
      <x:c r="M221" s="48" t="str">
        <x:v>异常低价待核</x:v>
      </x:c>
      <x:c r="N221" s="48" t="str">
        <x:v>鹿苑小区|1室0厅1|25|2400|南</x:v>
      </x:c>
      <x:c r="O221" s="48"/>
      <x:c r="P221" s="48" t="str">
        <x:v>未知（未逐条补齐）</x:v>
      </x:c>
      <x:c r="Q221" s="48" t="str">
        <x:v>https://shenzhen.leyoujia.com/zf/detail/XEFBdAQ5Udj2vTKQWVim4z.html</x:v>
      </x:c>
      <x:c r="R221" s="48" t="str">
        <x:v>2026-08-13</x:v>
      </x:c>
    </x:row>
    <x:row r="222">
      <x:c r="A222" s="48" t="str">
        <x:v>鹿苑小区</x:v>
      </x:c>
      <x:c r="B222" s="48" t="str">
        <x:v>鹿苑小区</x:v>
      </x:c>
      <x:c r="C222" s="48" t="str">
        <x:v>大剧院</x:v>
      </x:c>
      <x:c r="D222" s="56" t="n">
        <x:v>22.3</x:v>
      </x:c>
      <x:c r="E222" s="61" t="n">
        <x:v>2450</x:v>
      </x:c>
      <x:c r="F222" s="61" t="n">
        <x:v>25</x:v>
      </x:c>
      <x:c r="G222" s="61" t="n">
        <x:v>98</x:v>
      </x:c>
      <x:c r="H222" s="48" t="str">
        <x:v>1室0厅1</x:v>
      </x:c>
      <x:c r="I222" s="48" t="str">
        <x:v>南</x:v>
      </x:c>
      <x:c r="J222" s="48" t="str">
        <x:v>待核</x:v>
      </x:c>
      <x:c r="K222" s="48" t="str">
        <x:v>普通住宅</x:v>
      </x:c>
      <x:c r="L222" s="48" t="str">
        <x:v>是</x:v>
      </x:c>
      <x:c r="M222" s="48" t="str">
        <x:v>保留</x:v>
      </x:c>
      <x:c r="N222" s="48" t="str">
        <x:v>鹿苑小区|1室0厅1|25|2450|南</x:v>
      </x:c>
      <x:c r="O222" s="48"/>
      <x:c r="P222" s="48" t="str">
        <x:v>未知（未逐条补齐）</x:v>
      </x:c>
      <x:c r="Q222" s="48" t="str">
        <x:v>https://shenzhen.leyoujia.com/zf/detail/WRuzfazW75Y8fqgWj9rFHy.html</x:v>
      </x:c>
      <x:c r="R222" s="48" t="str">
        <x:v>2026-08-13</x:v>
      </x:c>
    </x:row>
    <x:row r="223">
      <x:c r="A223" s="48" t="str">
        <x:v>鹿苑小区</x:v>
      </x:c>
      <x:c r="B223" s="48" t="str">
        <x:v>鹿苑小区</x:v>
      </x:c>
      <x:c r="C223" s="48" t="str">
        <x:v>大剧院</x:v>
      </x:c>
      <x:c r="D223" s="56" t="n">
        <x:v>22.3</x:v>
      </x:c>
      <x:c r="E223" s="61" t="n">
        <x:v>2450</x:v>
      </x:c>
      <x:c r="F223" s="61" t="n">
        <x:v>20</x:v>
      </x:c>
      <x:c r="G223" s="61" t="n">
        <x:v>122.5</x:v>
      </x:c>
      <x:c r="H223" s="48" t="str">
        <x:v>1室0厅1</x:v>
      </x:c>
      <x:c r="I223" s="48" t="str">
        <x:v>南</x:v>
      </x:c>
      <x:c r="J223" s="48" t="str">
        <x:v>普装</x:v>
      </x:c>
      <x:c r="K223" s="48" t="str">
        <x:v>普通住宅</x:v>
      </x:c>
      <x:c r="L223" s="48" t="str">
        <x:v>是</x:v>
      </x:c>
      <x:c r="M223" s="48" t="str">
        <x:v>保留</x:v>
      </x:c>
      <x:c r="N223" s="48" t="str">
        <x:v>鹿苑小区|1室0厅1|20|2450|南</x:v>
      </x:c>
      <x:c r="O223" s="48"/>
      <x:c r="P223" s="48" t="str">
        <x:v>未知（未逐条补齐）</x:v>
      </x:c>
      <x:c r="Q223" s="48" t="str">
        <x:v>https://shenzhen.leyoujia.com/zf/detail/UfAJCMWbcaWAcbnYthwSgi.html</x:v>
      </x:c>
      <x:c r="R223" s="48" t="str">
        <x:v>2026-08-13</x:v>
      </x:c>
    </x:row>
    <x:row r="224">
      <x:c r="A224" s="48" t="str">
        <x:v>鹿苑小区</x:v>
      </x:c>
      <x:c r="B224" s="48" t="str">
        <x:v>鹿苑小区</x:v>
      </x:c>
      <x:c r="C224" s="48" t="str">
        <x:v>大剧院</x:v>
      </x:c>
      <x:c r="D224" s="56" t="n">
        <x:v>22.3</x:v>
      </x:c>
      <x:c r="E224" s="61" t="n">
        <x:v>2450</x:v>
      </x:c>
      <x:c r="F224" s="61" t="n">
        <x:v>25</x:v>
      </x:c>
      <x:c r="G224" s="61" t="n">
        <x:v>98</x:v>
      </x:c>
      <x:c r="H224" s="48" t="str">
        <x:v>1室0厅1</x:v>
      </x:c>
      <x:c r="I224" s="48" t="str">
        <x:v>南</x:v>
      </x:c>
      <x:c r="J224" s="48" t="str">
        <x:v>普装</x:v>
      </x:c>
      <x:c r="K224" s="48" t="str">
        <x:v>普通住宅</x:v>
      </x:c>
      <x:c r="L224" s="48" t="str">
        <x:v>否</x:v>
      </x:c>
      <x:c r="M224" s="48" t="str">
        <x:v>疑似重复挂牌</x:v>
      </x:c>
      <x:c r="N224" s="48" t="str">
        <x:v>鹿苑小区|1室0厅1|25|2450|南</x:v>
      </x:c>
      <x:c r="O224" s="48"/>
      <x:c r="P224" s="48" t="str">
        <x:v>未知（未逐条补齐）</x:v>
      </x:c>
      <x:c r="Q224" s="48" t="str">
        <x:v>https://shenzhen.leyoujia.com/zf/detail/LuKx89Fbw4BPJq4a4KPBQg.html</x:v>
      </x:c>
      <x:c r="R224" s="48" t="str">
        <x:v>2026-08-13</x:v>
      </x:c>
    </x:row>
    <x:row r="225">
      <x:c r="A225" s="48" t="str">
        <x:v>鹿苑小区</x:v>
      </x:c>
      <x:c r="B225" s="48" t="str">
        <x:v>鹿苑小区</x:v>
      </x:c>
      <x:c r="C225" s="48" t="str">
        <x:v>大剧院</x:v>
      </x:c>
      <x:c r="D225" s="56" t="n">
        <x:v>22.3</x:v>
      </x:c>
      <x:c r="E225" s="61" t="n">
        <x:v>2500</x:v>
      </x:c>
      <x:c r="F225" s="61" t="n">
        <x:v>25</x:v>
      </x:c>
      <x:c r="G225" s="61" t="n">
        <x:v>100</x:v>
      </x:c>
      <x:c r="H225" s="48" t="str">
        <x:v>1室0厅1</x:v>
      </x:c>
      <x:c r="I225" s="48" t="str">
        <x:v>南</x:v>
      </x:c>
      <x:c r="J225" s="48" t="str">
        <x:v>待核</x:v>
      </x:c>
      <x:c r="K225" s="48" t="str">
        <x:v>住宅</x:v>
      </x:c>
      <x:c r="L225" s="48" t="str">
        <x:v>是</x:v>
      </x:c>
      <x:c r="M225" s="48" t="str">
        <x:v>保留</x:v>
      </x:c>
      <x:c r="N225" s="48" t="str">
        <x:v>鹿苑小区|1室0厅1|25|2500|南</x:v>
      </x:c>
      <x:c r="O225" s="48"/>
      <x:c r="P225" s="48" t="str">
        <x:v>未知（未逐条补齐）</x:v>
      </x:c>
      <x:c r="Q225" s="48" t="str">
        <x:v>https://shenzhen.leyoujia.com/zf/detail/UQtu6DUsAVwbygHFCykoJ6.html</x:v>
      </x:c>
      <x:c r="R225" s="48" t="str">
        <x:v>2026-08-13</x:v>
      </x:c>
    </x:row>
    <x:row r="226">
      <x:c r="A226" s="48" t="str">
        <x:v>鹿苑小区</x:v>
      </x:c>
      <x:c r="B226" s="48" t="str">
        <x:v>鹿苑小区</x:v>
      </x:c>
      <x:c r="C226" s="48" t="str">
        <x:v>大剧院</x:v>
      </x:c>
      <x:c r="D226" s="56" t="n">
        <x:v>22.3</x:v>
      </x:c>
      <x:c r="E226" s="61" t="n">
        <x:v>2500</x:v>
      </x:c>
      <x:c r="F226" s="61" t="n">
        <x:v>25</x:v>
      </x:c>
      <x:c r="G226" s="61" t="n">
        <x:v>100</x:v>
      </x:c>
      <x:c r="H226" s="48" t="str">
        <x:v>1室0厅1</x:v>
      </x:c>
      <x:c r="I226" s="48" t="str">
        <x:v>南</x:v>
      </x:c>
      <x:c r="J226" s="48" t="str">
        <x:v>待核</x:v>
      </x:c>
      <x:c r="K226" s="48" t="str">
        <x:v>普通住宅</x:v>
      </x:c>
      <x:c r="L226" s="48" t="str">
        <x:v>否</x:v>
      </x:c>
      <x:c r="M226" s="48" t="str">
        <x:v>疑似重复挂牌</x:v>
      </x:c>
      <x:c r="N226" s="48" t="str">
        <x:v>鹿苑小区|1室0厅1|25|2500|南</x:v>
      </x:c>
      <x:c r="O226" s="48"/>
      <x:c r="P226" s="48" t="str">
        <x:v>未知（未逐条补齐）</x:v>
      </x:c>
      <x:c r="Q226" s="48" t="str">
        <x:v>https://shenzhen.leyoujia.com/zf/detail/GCSDcNDBAt2ycyiWFu6oBF.html</x:v>
      </x:c>
      <x:c r="R226" s="48" t="str">
        <x:v>2026-08-13</x:v>
      </x:c>
    </x:row>
    <x:row r="227">
      <x:c r="A227" s="48" t="str">
        <x:v>鹿苑小区</x:v>
      </x:c>
      <x:c r="B227" s="48" t="str">
        <x:v>鹿苑小区</x:v>
      </x:c>
      <x:c r="C227" s="48" t="str">
        <x:v>大剧院</x:v>
      </x:c>
      <x:c r="D227" s="56" t="n">
        <x:v>22.3</x:v>
      </x:c>
      <x:c r="E227" s="61" t="n">
        <x:v>2500</x:v>
      </x:c>
      <x:c r="F227" s="61" t="n">
        <x:v>25</x:v>
      </x:c>
      <x:c r="G227" s="61" t="n">
        <x:v>100</x:v>
      </x:c>
      <x:c r="H227" s="48" t="str">
        <x:v>1室0厅1</x:v>
      </x:c>
      <x:c r="I227" s="48" t="str">
        <x:v>南</x:v>
      </x:c>
      <x:c r="J227" s="48" t="str">
        <x:v>待核</x:v>
      </x:c>
      <x:c r="K227" s="48" t="str">
        <x:v>普通住宅</x:v>
      </x:c>
      <x:c r="L227" s="48" t="str">
        <x:v>否</x:v>
      </x:c>
      <x:c r="M227" s="48" t="str">
        <x:v>疑似重复挂牌</x:v>
      </x:c>
      <x:c r="N227" s="48" t="str">
        <x:v>鹿苑小区|1室0厅1|25|2500|南</x:v>
      </x:c>
      <x:c r="O227" s="48"/>
      <x:c r="P227" s="48" t="str">
        <x:v>未知（未逐条补齐）</x:v>
      </x:c>
      <x:c r="Q227" s="48" t="str">
        <x:v>https://shenzhen.leyoujia.com/zf/detail/CZjtWdhGdniGPgQL8SH1ua.html</x:v>
      </x:c>
      <x:c r="R227" s="48" t="str">
        <x:v>2026-08-13</x:v>
      </x:c>
    </x:row>
    <x:row r="228">
      <x:c r="A228" s="48" t="str">
        <x:v>鹿苑小区</x:v>
      </x:c>
      <x:c r="B228" s="48" t="str">
        <x:v>鹿苑小区</x:v>
      </x:c>
      <x:c r="C228" s="48" t="str">
        <x:v>大剧院</x:v>
      </x:c>
      <x:c r="D228" s="56" t="n">
        <x:v>22.3</x:v>
      </x:c>
      <x:c r="E228" s="61" t="n">
        <x:v>2500</x:v>
      </x:c>
      <x:c r="F228" s="61" t="n">
        <x:v>25</x:v>
      </x:c>
      <x:c r="G228" s="61" t="n">
        <x:v>100</x:v>
      </x:c>
      <x:c r="H228" s="48" t="str">
        <x:v>1室0厅1</x:v>
      </x:c>
      <x:c r="I228" s="48" t="str">
        <x:v>南</x:v>
      </x:c>
      <x:c r="J228" s="48" t="str">
        <x:v>普装</x:v>
      </x:c>
      <x:c r="K228" s="48" t="str">
        <x:v>普通住宅</x:v>
      </x:c>
      <x:c r="L228" s="48" t="str">
        <x:v>否</x:v>
      </x:c>
      <x:c r="M228" s="48" t="str">
        <x:v>疑似重复挂牌</x:v>
      </x:c>
      <x:c r="N228" s="48" t="str">
        <x:v>鹿苑小区|1室0厅1|25|2500|南</x:v>
      </x:c>
      <x:c r="O228" s="48"/>
      <x:c r="P228" s="48" t="str">
        <x:v>未知（未逐条补齐）</x:v>
      </x:c>
      <x:c r="Q228" s="48" t="str">
        <x:v>https://shenzhen.leyoujia.com/zf/detail/PL7pEcgnKYvemZzwJgX21H.html</x:v>
      </x:c>
      <x:c r="R228" s="48" t="str">
        <x:v>2026-08-13</x:v>
      </x:c>
    </x:row>
    <x:row r="229">
      <x:c r="A229" s="48" t="str">
        <x:v>鹿苑小区</x:v>
      </x:c>
      <x:c r="B229" s="48" t="str">
        <x:v>鹿苑小区</x:v>
      </x:c>
      <x:c r="C229" s="48" t="str">
        <x:v>大剧院</x:v>
      </x:c>
      <x:c r="D229" s="56" t="n">
        <x:v>22.3</x:v>
      </x:c>
      <x:c r="E229" s="61" t="n">
        <x:v>2500</x:v>
      </x:c>
      <x:c r="F229" s="61" t="n">
        <x:v>25</x:v>
      </x:c>
      <x:c r="G229" s="61" t="n">
        <x:v>100</x:v>
      </x:c>
      <x:c r="H229" s="48" t="str">
        <x:v>1室0厅1</x:v>
      </x:c>
      <x:c r="I229" s="48" t="str">
        <x:v>东</x:v>
      </x:c>
      <x:c r="J229" s="48" t="str">
        <x:v>待核</x:v>
      </x:c>
      <x:c r="K229" s="48" t="str">
        <x:v>住宅</x:v>
      </x:c>
      <x:c r="L229" s="48" t="str">
        <x:v>是</x:v>
      </x:c>
      <x:c r="M229" s="48" t="str">
        <x:v>保留</x:v>
      </x:c>
      <x:c r="N229" s="48" t="str">
        <x:v>鹿苑小区|1室0厅1|25|2500|东</x:v>
      </x:c>
      <x:c r="O229" s="48"/>
      <x:c r="P229" s="48" t="str">
        <x:v>未知（未逐条补齐）</x:v>
      </x:c>
      <x:c r="Q229" s="48" t="str">
        <x:v>https://shenzhen.leyoujia.com/zf/detail/SpeFvYFaWHJWSv6D5rgjaA.html</x:v>
      </x:c>
      <x:c r="R229" s="48" t="str">
        <x:v>2026-08-13</x:v>
      </x:c>
    </x:row>
    <x:row r="230">
      <x:c r="A230" s="48" t="str">
        <x:v>鹿苑小区</x:v>
      </x:c>
      <x:c r="B230" s="48" t="str">
        <x:v>鹿苑小区</x:v>
      </x:c>
      <x:c r="C230" s="48" t="str">
        <x:v>大剧院</x:v>
      </x:c>
      <x:c r="D230" s="56" t="n">
        <x:v>22.3</x:v>
      </x:c>
      <x:c r="E230" s="61" t="n">
        <x:v>2500</x:v>
      </x:c>
      <x:c r="F230" s="61" t="n">
        <x:v>25</x:v>
      </x:c>
      <x:c r="G230" s="61" t="n">
        <x:v>100</x:v>
      </x:c>
      <x:c r="H230" s="48" t="str">
        <x:v>1室0厅1</x:v>
      </x:c>
      <x:c r="I230" s="48" t="str">
        <x:v>南</x:v>
      </x:c>
      <x:c r="J230" s="48" t="str">
        <x:v>待核</x:v>
      </x:c>
      <x:c r="K230" s="48" t="str">
        <x:v>住宅</x:v>
      </x:c>
      <x:c r="L230" s="48" t="str">
        <x:v>否</x:v>
      </x:c>
      <x:c r="M230" s="48" t="str">
        <x:v>疑似重复挂牌</x:v>
      </x:c>
      <x:c r="N230" s="48" t="str">
        <x:v>鹿苑小区|1室0厅1|25|2500|南</x:v>
      </x:c>
      <x:c r="O230" s="48"/>
      <x:c r="P230" s="48" t="str">
        <x:v>未知（未逐条补齐）</x:v>
      </x:c>
      <x:c r="Q230" s="48" t="str">
        <x:v>https://shenzhen.leyoujia.com/zf/detail/ME7v93ssTGk1BtsxpbRWUo.html</x:v>
      </x:c>
      <x:c r="R230" s="48" t="str">
        <x:v>2026-08-13</x:v>
      </x:c>
    </x:row>
    <x:row r="231">
      <x:c r="A231" s="48" t="str">
        <x:v>鹿苑小区</x:v>
      </x:c>
      <x:c r="B231" s="48" t="str">
        <x:v>鹿苑小区</x:v>
      </x:c>
      <x:c r="C231" s="48" t="str">
        <x:v>大剧院</x:v>
      </x:c>
      <x:c r="D231" s="56" t="n">
        <x:v>22.3</x:v>
      </x:c>
      <x:c r="E231" s="61" t="n">
        <x:v>2500</x:v>
      </x:c>
      <x:c r="F231" s="61" t="n">
        <x:v>25</x:v>
      </x:c>
      <x:c r="G231" s="61" t="n">
        <x:v>100</x:v>
      </x:c>
      <x:c r="H231" s="48" t="str">
        <x:v>1室0厅1</x:v>
      </x:c>
      <x:c r="I231" s="48" t="str">
        <x:v>南</x:v>
      </x:c>
      <x:c r="J231" s="48" t="str">
        <x:v>待核</x:v>
      </x:c>
      <x:c r="K231" s="48" t="str">
        <x:v>住宅</x:v>
      </x:c>
      <x:c r="L231" s="48" t="str">
        <x:v>否</x:v>
      </x:c>
      <x:c r="M231" s="48" t="str">
        <x:v>疑似重复挂牌</x:v>
      </x:c>
      <x:c r="N231" s="48" t="str">
        <x:v>鹿苑小区|1室0厅1|25|2500|南</x:v>
      </x:c>
      <x:c r="O231" s="48"/>
      <x:c r="P231" s="48" t="str">
        <x:v>未知（未逐条补齐）</x:v>
      </x:c>
      <x:c r="Q231" s="48" t="str">
        <x:v>https://shenzhen.leyoujia.com/zf/detail/KBdukA4bFmKmZHb7Aee3jy.html</x:v>
      </x:c>
      <x:c r="R231" s="48" t="str">
        <x:v>2026-08-13</x:v>
      </x:c>
    </x:row>
    <x:row r="232">
      <x:c r="A232" s="48" t="str">
        <x:v>鹿苑小区</x:v>
      </x:c>
      <x:c r="B232" s="48" t="str">
        <x:v>鹿苑小区</x:v>
      </x:c>
      <x:c r="C232" s="48" t="str">
        <x:v>大剧院</x:v>
      </x:c>
      <x:c r="D232" s="56" t="n">
        <x:v>22.3</x:v>
      </x:c>
      <x:c r="E232" s="61" t="n">
        <x:v>2500</x:v>
      </x:c>
      <x:c r="F232" s="61" t="n">
        <x:v>25</x:v>
      </x:c>
      <x:c r="G232" s="61" t="n">
        <x:v>100</x:v>
      </x:c>
      <x:c r="H232" s="48" t="str">
        <x:v>1室0厅1</x:v>
      </x:c>
      <x:c r="I232" s="48" t="str">
        <x:v>南</x:v>
      </x:c>
      <x:c r="J232" s="48" t="str">
        <x:v>待核</x:v>
      </x:c>
      <x:c r="K232" s="48" t="str">
        <x:v>住宅</x:v>
      </x:c>
      <x:c r="L232" s="48" t="str">
        <x:v>否</x:v>
      </x:c>
      <x:c r="M232" s="48" t="str">
        <x:v>疑似重复挂牌</x:v>
      </x:c>
      <x:c r="N232" s="48" t="str">
        <x:v>鹿苑小区|1室0厅1|25|2500|南</x:v>
      </x:c>
      <x:c r="O232" s="48"/>
      <x:c r="P232" s="48" t="str">
        <x:v>未知（未逐条补齐）</x:v>
      </x:c>
      <x:c r="Q232" s="48" t="str">
        <x:v>https://shenzhen.leyoujia.com/zf/detail/WpjdVU6qh7hvL1swUy9sUR.html</x:v>
      </x:c>
      <x:c r="R232" s="48" t="str">
        <x:v>2026-08-13</x:v>
      </x:c>
    </x:row>
    <x:row r="233">
      <x:c r="A233" s="48" t="str">
        <x:v>鹿苑小区</x:v>
      </x:c>
      <x:c r="B233" s="48" t="str">
        <x:v>鹿苑小区</x:v>
      </x:c>
      <x:c r="C233" s="48" t="str">
        <x:v>大剧院</x:v>
      </x:c>
      <x:c r="D233" s="56" t="n">
        <x:v>22.3</x:v>
      </x:c>
      <x:c r="E233" s="61" t="n">
        <x:v>2500</x:v>
      </x:c>
      <x:c r="F233" s="61" t="n">
        <x:v>25</x:v>
      </x:c>
      <x:c r="G233" s="61" t="n">
        <x:v>100</x:v>
      </x:c>
      <x:c r="H233" s="48" t="str">
        <x:v>1室0厅1</x:v>
      </x:c>
      <x:c r="I233" s="48" t="str">
        <x:v>南</x:v>
      </x:c>
      <x:c r="J233" s="48" t="str">
        <x:v>待核</x:v>
      </x:c>
      <x:c r="K233" s="48" t="str">
        <x:v>普通住宅</x:v>
      </x:c>
      <x:c r="L233" s="48" t="str">
        <x:v>否</x:v>
      </x:c>
      <x:c r="M233" s="48" t="str">
        <x:v>疑似重复挂牌</x:v>
      </x:c>
      <x:c r="N233" s="48" t="str">
        <x:v>鹿苑小区|1室0厅1|25|2500|南</x:v>
      </x:c>
      <x:c r="O233" s="48"/>
      <x:c r="P233" s="48" t="str">
        <x:v>未知（未逐条补齐）</x:v>
      </x:c>
      <x:c r="Q233" s="48" t="str">
        <x:v>https://shenzhen.leyoujia.com/zf/detail/3MAB7V9UhPTtTeEHxU9waA.html</x:v>
      </x:c>
      <x:c r="R233" s="48" t="str">
        <x:v>2026-08-13</x:v>
      </x:c>
    </x:row>
    <x:row r="234">
      <x:c r="A234" s="48" t="str">
        <x:v>鹿苑小区</x:v>
      </x:c>
      <x:c r="B234" s="48" t="str">
        <x:v>鹿苑小区</x:v>
      </x:c>
      <x:c r="C234" s="48" t="str">
        <x:v>大剧院</x:v>
      </x:c>
      <x:c r="D234" s="56" t="n">
        <x:v>22.3</x:v>
      </x:c>
      <x:c r="E234" s="61" t="n">
        <x:v>2500</x:v>
      </x:c>
      <x:c r="F234" s="61" t="n">
        <x:v>25</x:v>
      </x:c>
      <x:c r="G234" s="61" t="n">
        <x:v>100</x:v>
      </x:c>
      <x:c r="H234" s="48" t="str">
        <x:v>1室0厅1</x:v>
      </x:c>
      <x:c r="I234" s="48" t="str">
        <x:v>南</x:v>
      </x:c>
      <x:c r="J234" s="48" t="str">
        <x:v>待核</x:v>
      </x:c>
      <x:c r="K234" s="48" t="str">
        <x:v>普通住宅</x:v>
      </x:c>
      <x:c r="L234" s="48" t="str">
        <x:v>否</x:v>
      </x:c>
      <x:c r="M234" s="48" t="str">
        <x:v>疑似重复挂牌</x:v>
      </x:c>
      <x:c r="N234" s="48" t="str">
        <x:v>鹿苑小区|1室0厅1|25|2500|南</x:v>
      </x:c>
      <x:c r="O234" s="48"/>
      <x:c r="P234" s="48" t="str">
        <x:v>未知（未逐条补齐）</x:v>
      </x:c>
      <x:c r="Q234" s="48" t="str">
        <x:v>https://shenzhen.leyoujia.com/zf/detail/R7C7eLBCUqrQCEGPPZCt5G.html</x:v>
      </x:c>
      <x:c r="R234" s="48" t="str">
        <x:v>2026-08-13</x:v>
      </x:c>
    </x:row>
    <x:row r="235">
      <x:c r="A235" s="48" t="str">
        <x:v>鹿苑小区</x:v>
      </x:c>
      <x:c r="B235" s="48" t="str">
        <x:v>鹿苑小区</x:v>
      </x:c>
      <x:c r="C235" s="48" t="str">
        <x:v>大剧院</x:v>
      </x:c>
      <x:c r="D235" s="56" t="n">
        <x:v>22.3</x:v>
      </x:c>
      <x:c r="E235" s="61" t="n">
        <x:v>2500</x:v>
      </x:c>
      <x:c r="F235" s="61" t="n">
        <x:v>15</x:v>
      </x:c>
      <x:c r="G235" s="61" t="n">
        <x:v>166.7</x:v>
      </x:c>
      <x:c r="H235" s="48" t="str">
        <x:v>1室0厅1</x:v>
      </x:c>
      <x:c r="I235" s="48" t="str">
        <x:v>南</x:v>
      </x:c>
      <x:c r="J235" s="48" t="str">
        <x:v>待核</x:v>
      </x:c>
      <x:c r="K235" s="48" t="str">
        <x:v>住宅</x:v>
      </x:c>
      <x:c r="L235" s="48" t="str">
        <x:v>是</x:v>
      </x:c>
      <x:c r="M235" s="48" t="str">
        <x:v>保留</x:v>
      </x:c>
      <x:c r="N235" s="48" t="str">
        <x:v>鹿苑小区|1室0厅1|15|2500|南</x:v>
      </x:c>
      <x:c r="O235" s="48"/>
      <x:c r="P235" s="48" t="str">
        <x:v>未知（未逐条补齐）</x:v>
      </x:c>
      <x:c r="Q235" s="48" t="str">
        <x:v>https://shenzhen.leyoujia.com/zf/detail/8UFVjhhmszfEEUBg4B4Wym.html</x:v>
      </x:c>
      <x:c r="R235" s="48" t="str">
        <x:v>2026-08-13</x:v>
      </x:c>
    </x:row>
    <x:row r="236">
      <x:c r="A236" s="48" t="str">
        <x:v>鹿苑小区</x:v>
      </x:c>
      <x:c r="B236" s="48" t="str">
        <x:v>鹿苑小区</x:v>
      </x:c>
      <x:c r="C236" s="48" t="str">
        <x:v>大剧院</x:v>
      </x:c>
      <x:c r="D236" s="56" t="n">
        <x:v>22.3</x:v>
      </x:c>
      <x:c r="E236" s="61" t="n">
        <x:v>2500</x:v>
      </x:c>
      <x:c r="F236" s="61" t="n">
        <x:v>20</x:v>
      </x:c>
      <x:c r="G236" s="61" t="n">
        <x:v>125</x:v>
      </x:c>
      <x:c r="H236" s="48" t="str">
        <x:v>1室0厅1</x:v>
      </x:c>
      <x:c r="I236" s="48" t="str">
        <x:v>南</x:v>
      </x:c>
      <x:c r="J236" s="48" t="str">
        <x:v>待核</x:v>
      </x:c>
      <x:c r="K236" s="48" t="str">
        <x:v>住宅</x:v>
      </x:c>
      <x:c r="L236" s="48" t="str">
        <x:v>是</x:v>
      </x:c>
      <x:c r="M236" s="48" t="str">
        <x:v>保留</x:v>
      </x:c>
      <x:c r="N236" s="48" t="str">
        <x:v>鹿苑小区|1室0厅1|20|2500|南</x:v>
      </x:c>
      <x:c r="O236" s="48"/>
      <x:c r="P236" s="48" t="str">
        <x:v>未知（未逐条补齐）</x:v>
      </x:c>
      <x:c r="Q236" s="48" t="str">
        <x:v>https://shenzhen.leyoujia.com/zf/detail/TiK5WQNuqegMHPHf2iAGQb.html</x:v>
      </x:c>
      <x:c r="R236" s="48" t="str">
        <x:v>2026-08-13</x:v>
      </x:c>
    </x:row>
    <x:row r="237">
      <x:c r="A237" s="48" t="str">
        <x:v>鹿苑小区</x:v>
      </x:c>
      <x:c r="B237" s="48" t="str">
        <x:v>鹿苑小区</x:v>
      </x:c>
      <x:c r="C237" s="48" t="str">
        <x:v>大剧院</x:v>
      </x:c>
      <x:c r="D237" s="56" t="n">
        <x:v>22.3</x:v>
      </x:c>
      <x:c r="E237" s="61" t="n">
        <x:v>2580</x:v>
      </x:c>
      <x:c r="F237" s="61" t="n">
        <x:v>25</x:v>
      </x:c>
      <x:c r="G237" s="61" t="n">
        <x:v>103.2</x:v>
      </x:c>
      <x:c r="H237" s="48" t="str">
        <x:v>1室0厅0</x:v>
      </x:c>
      <x:c r="I237" s="48" t="str">
        <x:v>南</x:v>
      </x:c>
      <x:c r="J237" s="48" t="str">
        <x:v>普装</x:v>
      </x:c>
      <x:c r="K237" s="48" t="str">
        <x:v>普通住宅</x:v>
      </x:c>
      <x:c r="L237" s="48" t="str">
        <x:v>是</x:v>
      </x:c>
      <x:c r="M237" s="48" t="str">
        <x:v>保留</x:v>
      </x:c>
      <x:c r="N237" s="48" t="str">
        <x:v>鹿苑小区|1室0厅0|25|2580|南</x:v>
      </x:c>
      <x:c r="O237" s="48"/>
      <x:c r="P237" s="48" t="str">
        <x:v>未知（未逐条补齐）</x:v>
      </x:c>
      <x:c r="Q237" s="48" t="str">
        <x:v>https://shenzhen.leyoujia.com/zf/detail/KRnbRK2xFxwrv4VfZjG6dS.html</x:v>
      </x:c>
      <x:c r="R237" s="48" t="str">
        <x:v>2026-08-13</x:v>
      </x:c>
    </x:row>
    <x:row r="238">
      <x:c r="A238" s="48" t="str">
        <x:v>鹿苑小区</x:v>
      </x:c>
      <x:c r="B238" s="48" t="str">
        <x:v>鹿苑小区</x:v>
      </x:c>
      <x:c r="C238" s="48" t="str">
        <x:v>大剧院</x:v>
      </x:c>
      <x:c r="D238" s="56" t="n">
        <x:v>22.3</x:v>
      </x:c>
      <x:c r="E238" s="61" t="n">
        <x:v>2750</x:v>
      </x:c>
      <x:c r="F238" s="61" t="n">
        <x:v>25</x:v>
      </x:c>
      <x:c r="G238" s="61" t="n">
        <x:v>110</x:v>
      </x:c>
      <x:c r="H238" s="48" t="str">
        <x:v>1室0厅1</x:v>
      </x:c>
      <x:c r="I238" s="48" t="str">
        <x:v>南</x:v>
      </x:c>
      <x:c r="J238" s="48" t="str">
        <x:v>普装</x:v>
      </x:c>
      <x:c r="K238" s="48" t="str">
        <x:v>普通住宅</x:v>
      </x:c>
      <x:c r="L238" s="48" t="str">
        <x:v>否</x:v>
      </x:c>
      <x:c r="M238" s="48" t="str">
        <x:v>异常高价</x:v>
      </x:c>
      <x:c r="N238" s="48" t="str">
        <x:v>鹿苑小区|1室0厅1|25|2750|南</x:v>
      </x:c>
      <x:c r="O238" s="48"/>
      <x:c r="P238" s="48" t="str">
        <x:v>未知（未逐条补齐）</x:v>
      </x:c>
      <x:c r="Q238" s="48" t="str">
        <x:v>https://shenzhen.leyoujia.com/zf/detail/DqbWAY24frhbJuh8AbzrYw.html</x:v>
      </x:c>
      <x:c r="R238" s="48" t="str">
        <x:v>2026-08-13</x:v>
      </x:c>
    </x:row>
    <x:row r="239">
      <x:c r="A239" s="48" t="str">
        <x:v>鹿苑小区</x:v>
      </x:c>
      <x:c r="B239" s="48" t="str">
        <x:v>鹿苑小区</x:v>
      </x:c>
      <x:c r="C239" s="48" t="str">
        <x:v>大剧院</x:v>
      </x:c>
      <x:c r="D239" s="56" t="n">
        <x:v>22.3</x:v>
      </x:c>
      <x:c r="E239" s="61" t="n">
        <x:v>2900</x:v>
      </x:c>
      <x:c r="F239" s="61" t="n">
        <x:v>24</x:v>
      </x:c>
      <x:c r="G239" s="61" t="n">
        <x:v>120.8</x:v>
      </x:c>
      <x:c r="H239" s="48" t="str">
        <x:v>1室0厅1</x:v>
      </x:c>
      <x:c r="I239" s="48" t="str">
        <x:v>南</x:v>
      </x:c>
      <x:c r="J239" s="48" t="str">
        <x:v>精装</x:v>
      </x:c>
      <x:c r="K239" s="48" t="str">
        <x:v>普通住宅</x:v>
      </x:c>
      <x:c r="L239" s="48" t="str">
        <x:v>否</x:v>
      </x:c>
      <x:c r="M239" s="48" t="str">
        <x:v>异常高价</x:v>
      </x:c>
      <x:c r="N239" s="48" t="str">
        <x:v>鹿苑小区|1室0厅1|24|2900|南</x:v>
      </x:c>
      <x:c r="O239" s="48"/>
      <x:c r="P239" s="48" t="str">
        <x:v>未知（未逐条补齐）</x:v>
      </x:c>
      <x:c r="Q239" s="48" t="str">
        <x:v>https://shenzhen.leyoujia.com/zf/detail/FhqMNzQkRS5YHR7pNdeLWc.html</x:v>
      </x:c>
      <x:c r="R239" s="48" t="str">
        <x:v>2026-08-13</x:v>
      </x:c>
    </x:row>
    <x:row r="240">
      <x:c r="A240" s="48" t="str">
        <x:v>鹿苑小区</x:v>
      </x:c>
      <x:c r="B240" s="48" t="str">
        <x:v>鹿苑小区</x:v>
      </x:c>
      <x:c r="C240" s="48" t="str">
        <x:v>大剧院</x:v>
      </x:c>
      <x:c r="D240" s="56" t="n">
        <x:v>22.3</x:v>
      </x:c>
      <x:c r="E240" s="61" t="n">
        <x:v>2900</x:v>
      </x:c>
      <x:c r="F240" s="61" t="n">
        <x:v>25</x:v>
      </x:c>
      <x:c r="G240" s="61" t="n">
        <x:v>116</x:v>
      </x:c>
      <x:c r="H240" s="48" t="str">
        <x:v>1室0厅1</x:v>
      </x:c>
      <x:c r="I240" s="48" t="str">
        <x:v>南</x:v>
      </x:c>
      <x:c r="J240" s="48" t="str">
        <x:v>普装</x:v>
      </x:c>
      <x:c r="K240" s="48" t="str">
        <x:v>普通住宅</x:v>
      </x:c>
      <x:c r="L240" s="48" t="str">
        <x:v>否</x:v>
      </x:c>
      <x:c r="M240" s="48" t="str">
        <x:v>异常高价</x:v>
      </x:c>
      <x:c r="N240" s="48" t="str">
        <x:v>鹿苑小区|1室0厅1|25|2900|南</x:v>
      </x:c>
      <x:c r="O240" s="48"/>
      <x:c r="P240" s="48" t="str">
        <x:v>未知（未逐条补齐）</x:v>
      </x:c>
      <x:c r="Q240" s="48" t="str">
        <x:v>https://shenzhen.leyoujia.com/zf/detail/Y593XJbiUqaJo4bjgDaSSN.html</x:v>
      </x:c>
      <x:c r="R240" s="48" t="str">
        <x:v>2026-08-13</x:v>
      </x:c>
    </x:row>
    <x:row r="241">
      <x:c r="A241" s="48" t="str">
        <x:v>鹿苑小区</x:v>
      </x:c>
      <x:c r="B241" s="48" t="str">
        <x:v>鹿苑小区</x:v>
      </x:c>
      <x:c r="C241" s="48" t="str">
        <x:v>大剧院</x:v>
      </x:c>
      <x:c r="D241" s="56" t="n">
        <x:v>22.3</x:v>
      </x:c>
      <x:c r="E241" s="61" t="n">
        <x:v>2950</x:v>
      </x:c>
      <x:c r="F241" s="61" t="n">
        <x:v>25</x:v>
      </x:c>
      <x:c r="G241" s="61" t="n">
        <x:v>118</x:v>
      </x:c>
      <x:c r="H241" s="48" t="str">
        <x:v>1室0厅1</x:v>
      </x:c>
      <x:c r="I241" s="48" t="str">
        <x:v>南</x:v>
      </x:c>
      <x:c r="J241" s="48" t="str">
        <x:v>待核</x:v>
      </x:c>
      <x:c r="K241" s="48" t="str">
        <x:v>住宅</x:v>
      </x:c>
      <x:c r="L241" s="48" t="str">
        <x:v>否</x:v>
      </x:c>
      <x:c r="M241" s="48" t="str">
        <x:v>异常高价</x:v>
      </x:c>
      <x:c r="N241" s="48" t="str">
        <x:v>鹿苑小区|1室0厅1|25|2950|南</x:v>
      </x:c>
      <x:c r="O241" s="48"/>
      <x:c r="P241" s="48" t="str">
        <x:v>未知（未逐条补齐）</x:v>
      </x:c>
      <x:c r="Q241" s="48" t="str">
        <x:v>https://shenzhen.leyoujia.com/zf/detail/GKRAVQ3Lug8jf1QrXBb6ev.html</x:v>
      </x:c>
      <x:c r="R241" s="48" t="str">
        <x:v>2026-08-13</x:v>
      </x:c>
    </x:row>
    <x:row r="242">
      <x:c r="A242" s="48" t="str">
        <x:v>鹿苑小区</x:v>
      </x:c>
      <x:c r="B242" s="48" t="str">
        <x:v>鹿苑小区</x:v>
      </x:c>
      <x:c r="C242" s="48" t="str">
        <x:v>大剧院</x:v>
      </x:c>
      <x:c r="D242" s="56" t="n">
        <x:v>22.3</x:v>
      </x:c>
      <x:c r="E242" s="61" t="n">
        <x:v>3000</x:v>
      </x:c>
      <x:c r="F242" s="61" t="n">
        <x:v>25</x:v>
      </x:c>
      <x:c r="G242" s="61" t="n">
        <x:v>120</x:v>
      </x:c>
      <x:c r="H242" s="48" t="str">
        <x:v>1室0厅1</x:v>
      </x:c>
      <x:c r="I242" s="48" t="str">
        <x:v>南</x:v>
      </x:c>
      <x:c r="J242" s="48" t="str">
        <x:v>待核</x:v>
      </x:c>
      <x:c r="K242" s="48" t="str">
        <x:v>住宅</x:v>
      </x:c>
      <x:c r="L242" s="48" t="str">
        <x:v>否</x:v>
      </x:c>
      <x:c r="M242" s="48" t="str">
        <x:v>异常高价</x:v>
      </x:c>
      <x:c r="N242" s="48" t="str">
        <x:v>鹿苑小区|1室0厅1|25|3000|南</x:v>
      </x:c>
      <x:c r="O242" s="48"/>
      <x:c r="P242" s="48" t="str">
        <x:v>未知（未逐条补齐）</x:v>
      </x:c>
      <x:c r="Q242" s="48" t="str">
        <x:v>https://shenzhen.leyoujia.com/zf/detail/Q7TZqwb9gKxeoc4axJQero.html</x:v>
      </x:c>
      <x:c r="R242" s="48" t="str">
        <x:v>2026-08-13</x:v>
      </x:c>
    </x:row>
    <x:row r="243">
      <x:c r="A243" s="48" t="str">
        <x:v>滨河新村(东园路)</x:v>
      </x:c>
      <x:c r="B243" s="48" t="str">
        <x:v>滨河新村</x:v>
      </x:c>
      <x:c r="C243" s="48" t="str">
        <x:v>大剧院</x:v>
      </x:c>
      <x:c r="D243" s="56" t="n">
        <x:v>15.4</x:v>
      </x:c>
      <x:c r="E243" s="61" t="n">
        <x:v>2800</x:v>
      </x:c>
      <x:c r="F243" s="61" t="n">
        <x:v>30</x:v>
      </x:c>
      <x:c r="G243" s="61" t="n">
        <x:v>93.3</x:v>
      </x:c>
      <x:c r="H243" s="48" t="str">
        <x:v>1室0厅1</x:v>
      </x:c>
      <x:c r="I243" s="48" t="str">
        <x:v>南</x:v>
      </x:c>
      <x:c r="J243" s="48" t="str">
        <x:v>待核</x:v>
      </x:c>
      <x:c r="K243" s="48" t="str">
        <x:v>住宅</x:v>
      </x:c>
      <x:c r="L243" s="48" t="str">
        <x:v>是</x:v>
      </x:c>
      <x:c r="M243" s="48" t="str">
        <x:v>保留</x:v>
      </x:c>
      <x:c r="N243" s="48" t="str">
        <x:v>滨河新村|1室0厅1|30|2800|南</x:v>
      </x:c>
      <x:c r="O243" s="48"/>
      <x:c r="P243" s="48" t="str">
        <x:v>未知（未逐条补齐）</x:v>
      </x:c>
      <x:c r="Q243" s="48" t="str">
        <x:v>https://shenzhen.leyoujia.com/zf/detail/Mximxx8XmMTYxVBHxMmvuZ.html</x:v>
      </x:c>
      <x:c r="R243" s="48" t="str">
        <x:v>2026-08-13</x:v>
      </x:c>
    </x:row>
    <x:row r="244">
      <x:c r="A244" s="48" t="str">
        <x:v>南洋大厦</x:v>
      </x:c>
      <x:c r="B244" s="48" t="str">
        <x:v>南洋大厦</x:v>
      </x:c>
      <x:c r="C244" s="48" t="str">
        <x:v>国贸</x:v>
      </x:c>
      <x:c r="D244" s="56" t="n">
        <x:v>2.9</x:v>
      </x:c>
      <x:c r="E244" s="61" t="n">
        <x:v>3880</x:v>
      </x:c>
      <x:c r="F244" s="61" t="n">
        <x:v>35</x:v>
      </x:c>
      <x:c r="G244" s="61" t="n">
        <x:v>110.9</x:v>
      </x:c>
      <x:c r="H244" s="48" t="str">
        <x:v>1室0厅0</x:v>
      </x:c>
      <x:c r="I244" s="48" t="str">
        <x:v>西</x:v>
      </x:c>
      <x:c r="J244" s="48" t="str">
        <x:v>普装</x:v>
      </x:c>
      <x:c r="K244" s="48" t="str">
        <x:v>普通住宅</x:v>
      </x:c>
      <x:c r="L244" s="48" t="str">
        <x:v>是</x:v>
      </x:c>
      <x:c r="M244" s="48" t="str">
        <x:v>保留</x:v>
      </x:c>
      <x:c r="N244" s="48" t="str">
        <x:v>南洋大厦|1室0厅0|35|3880|西</x:v>
      </x:c>
      <x:c r="O244" s="48"/>
      <x:c r="P244" s="48" t="str">
        <x:v>未知（未逐条补齐）</x:v>
      </x:c>
      <x:c r="Q244" s="48" t="str">
        <x:v>https://shenzhen.leyoujia.com/zf/detail/3rFYFQv8L8tnxsekWACwej.html</x:v>
      </x:c>
      <x:c r="R244" s="48" t="str">
        <x:v>2026-08-13</x:v>
      </x:c>
    </x:row>
    <x:row r="245">
      <x:c r="A245" s="48" t="str">
        <x:v>南洋大厦</x:v>
      </x:c>
      <x:c r="B245" s="48" t="str">
        <x:v>南洋大厦</x:v>
      </x:c>
      <x:c r="C245" s="48" t="str">
        <x:v>国贸</x:v>
      </x:c>
      <x:c r="D245" s="56" t="n">
        <x:v>2.9</x:v>
      </x:c>
      <x:c r="E245" s="61" t="n">
        <x:v>3880</x:v>
      </x:c>
      <x:c r="F245" s="61" t="n">
        <x:v>35</x:v>
      </x:c>
      <x:c r="G245" s="61" t="n">
        <x:v>110.9</x:v>
      </x:c>
      <x:c r="H245" s="48" t="str">
        <x:v>1室1厅0</x:v>
      </x:c>
      <x:c r="I245" s="48" t="str">
        <x:v>北</x:v>
      </x:c>
      <x:c r="J245" s="48" t="str">
        <x:v>精装</x:v>
      </x:c>
      <x:c r="K245" s="48" t="str">
        <x:v>公寓</x:v>
      </x:c>
      <x:c r="L245" s="48" t="str">
        <x:v>是</x:v>
      </x:c>
      <x:c r="M245" s="48" t="str">
        <x:v>保留</x:v>
      </x:c>
      <x:c r="N245" s="48" t="str">
        <x:v>南洋大厦|1室1厅0|35|3880|北</x:v>
      </x:c>
      <x:c r="O245" s="48"/>
      <x:c r="P245" s="48" t="str">
        <x:v>未知（未逐条补齐）</x:v>
      </x:c>
      <x:c r="Q245" s="48" t="str">
        <x:v>https://shenzhen.leyoujia.com/zf/detail/3jeJmtN1empv3JZXhXe4fn.html</x:v>
      </x:c>
      <x:c r="R245" s="48" t="str">
        <x:v>2026-08-13</x:v>
      </x:c>
    </x:row>
    <x:row r="246">
      <x:c r="A246" s="48" t="str">
        <x:v>南洋大厦</x:v>
      </x:c>
      <x:c r="B246" s="48" t="str">
        <x:v>南洋大厦</x:v>
      </x:c>
      <x:c r="C246" s="48" t="str">
        <x:v>国贸</x:v>
      </x:c>
      <x:c r="D246" s="56" t="n">
        <x:v>2.9</x:v>
      </x:c>
      <x:c r="E246" s="61" t="n">
        <x:v>4880</x:v>
      </x:c>
      <x:c r="F246" s="61" t="n">
        <x:v>50</x:v>
      </x:c>
      <x:c r="G246" s="61" t="n">
        <x:v>97.6</x:v>
      </x:c>
      <x:c r="H246" s="48" t="str">
        <x:v>1室0厅1</x:v>
      </x:c>
      <x:c r="I246" s="48" t="str">
        <x:v>南</x:v>
      </x:c>
      <x:c r="J246" s="48" t="str">
        <x:v>普装</x:v>
      </x:c>
      <x:c r="K246" s="48" t="str">
        <x:v>公寓</x:v>
      </x:c>
      <x:c r="L246" s="48" t="str">
        <x:v>是</x:v>
      </x:c>
      <x:c r="M246" s="48" t="str">
        <x:v>保留</x:v>
      </x:c>
      <x:c r="N246" s="48" t="str">
        <x:v>南洋大厦|1室0厅1|50|4880|南</x:v>
      </x:c>
      <x:c r="O246" s="48"/>
      <x:c r="P246" s="48" t="str">
        <x:v>未知（未逐条补齐）</x:v>
      </x:c>
      <x:c r="Q246" s="48" t="str">
        <x:v>https://shenzhen.leyoujia.com/zf/detail/FMGTmfbiXV21ZZi6BCbgj9.html</x:v>
      </x:c>
      <x:c r="R246" s="48" t="str">
        <x:v>2026-08-13</x:v>
      </x:c>
    </x:row>
    <x:row r="247">
      <x:c r="A247" s="48" t="str">
        <x:v>友谊大厦</x:v>
      </x:c>
      <x:c r="B247" s="48" t="str">
        <x:v>友谊大厦</x:v>
      </x:c>
      <x:c r="C247" s="48" t="str">
        <x:v>国贸</x:v>
      </x:c>
      <x:c r="D247" s="56" t="n">
        <x:v>5.7</x:v>
      </x:c>
      <x:c r="E247" s="61" t="n">
        <x:v>2480</x:v>
      </x:c>
      <x:c r="F247" s="61" t="n">
        <x:v>15</x:v>
      </x:c>
      <x:c r="G247" s="61" t="n">
        <x:v>165.3</x:v>
      </x:c>
      <x:c r="H247" s="48" t="str">
        <x:v>1室0厅1</x:v>
      </x:c>
      <x:c r="I247" s="48" t="str">
        <x:v>北</x:v>
      </x:c>
      <x:c r="J247" s="48" t="str">
        <x:v>精装</x:v>
      </x:c>
      <x:c r="K247" s="48" t="str">
        <x:v>普通住宅</x:v>
      </x:c>
      <x:c r="L247" s="48" t="str">
        <x:v>是</x:v>
      </x:c>
      <x:c r="M247" s="48" t="str">
        <x:v>保留</x:v>
      </x:c>
      <x:c r="N247" s="48" t="str">
        <x:v>友谊大厦|1室0厅1|15|2480|北</x:v>
      </x:c>
      <x:c r="O247" s="48"/>
      <x:c r="P247" s="48" t="str">
        <x:v>未知（未逐条补齐）</x:v>
      </x:c>
      <x:c r="Q247" s="48" t="str">
        <x:v>https://shenzhen.leyoujia.com/zf/detail/SCNS7vgoSMRD63kWsgMVqu.html</x:v>
      </x:c>
      <x:c r="R247" s="48" t="str">
        <x:v>2026-08-13</x:v>
      </x:c>
    </x:row>
    <x:row r="248">
      <x:c r="A248" s="48" t="str">
        <x:v>友谊大厦</x:v>
      </x:c>
      <x:c r="B248" s="48" t="str">
        <x:v>友谊大厦</x:v>
      </x:c>
      <x:c r="C248" s="48" t="str">
        <x:v>国贸</x:v>
      </x:c>
      <x:c r="D248" s="56" t="n">
        <x:v>5.7</x:v>
      </x:c>
      <x:c r="E248" s="61" t="n">
        <x:v>2580</x:v>
      </x:c>
      <x:c r="F248" s="61" t="n">
        <x:v>15</x:v>
      </x:c>
      <x:c r="G248" s="61" t="n">
        <x:v>172</x:v>
      </x:c>
      <x:c r="H248" s="48" t="str">
        <x:v>1室0厅1</x:v>
      </x:c>
      <x:c r="I248" s="48" t="str">
        <x:v>北</x:v>
      </x:c>
      <x:c r="J248" s="48" t="str">
        <x:v>待核</x:v>
      </x:c>
      <x:c r="K248" s="48" t="str">
        <x:v>普通住宅</x:v>
      </x:c>
      <x:c r="L248" s="48" t="str">
        <x:v>是</x:v>
      </x:c>
      <x:c r="M248" s="48" t="str">
        <x:v>保留</x:v>
      </x:c>
      <x:c r="N248" s="48" t="str">
        <x:v>友谊大厦|1室0厅1|15|2580|北</x:v>
      </x:c>
      <x:c r="O248" s="48"/>
      <x:c r="P248" s="48" t="str">
        <x:v>未知（未逐条补齐）</x:v>
      </x:c>
      <x:c r="Q248" s="48" t="str">
        <x:v>https://shenzhen.leyoujia.com/zf/detail/35prGQowc2cs5VMqe83Lbx.html</x:v>
      </x:c>
      <x:c r="R248" s="48" t="str">
        <x:v>2026-08-13</x:v>
      </x:c>
    </x:row>
    <x:row r="249">
      <x:c r="A249" s="48" t="str">
        <x:v>友谊大厦</x:v>
      </x:c>
      <x:c r="B249" s="48" t="str">
        <x:v>友谊大厦</x:v>
      </x:c>
      <x:c r="C249" s="48" t="str">
        <x:v>国贸</x:v>
      </x:c>
      <x:c r="D249" s="56" t="n">
        <x:v>5.7</x:v>
      </x:c>
      <x:c r="E249" s="61" t="n">
        <x:v>3000</x:v>
      </x:c>
      <x:c r="F249" s="61" t="n">
        <x:v>15</x:v>
      </x:c>
      <x:c r="G249" s="61" t="n">
        <x:v>200</x:v>
      </x:c>
      <x:c r="H249" s="48" t="str">
        <x:v>1室0厅1</x:v>
      </x:c>
      <x:c r="I249" s="48" t="str">
        <x:v>北</x:v>
      </x:c>
      <x:c r="J249" s="48" t="str">
        <x:v>待核</x:v>
      </x:c>
      <x:c r="K249" s="48" t="str">
        <x:v>普通住宅</x:v>
      </x:c>
      <x:c r="L249" s="48" t="str">
        <x:v>是</x:v>
      </x:c>
      <x:c r="M249" s="48" t="str">
        <x:v>保留</x:v>
      </x:c>
      <x:c r="N249" s="48" t="str">
        <x:v>友谊大厦|1室0厅1|15|3000|北</x:v>
      </x:c>
      <x:c r="O249" s="48"/>
      <x:c r="P249" s="48" t="str">
        <x:v>未知（未逐条补齐）</x:v>
      </x:c>
      <x:c r="Q249" s="48" t="str">
        <x:v>https://shenzhen.leyoujia.com/zf/detail/P2JeEpv14Dzb33EGZDhqPQ.html</x:v>
      </x:c>
      <x:c r="R249" s="48" t="str">
        <x:v>2026-08-13</x:v>
      </x:c>
    </x:row>
    <x:row r="250">
      <x:c r="A250" s="48" t="str">
        <x:v>友谊大厦</x:v>
      </x:c>
      <x:c r="B250" s="48" t="str">
        <x:v>友谊大厦</x:v>
      </x:c>
      <x:c r="C250" s="48" t="str">
        <x:v>国贸</x:v>
      </x:c>
      <x:c r="D250" s="56" t="n">
        <x:v>5.7</x:v>
      </x:c>
      <x:c r="E250" s="61" t="n">
        <x:v>3000</x:v>
      </x:c>
      <x:c r="F250" s="61" t="n">
        <x:v>15</x:v>
      </x:c>
      <x:c r="G250" s="61" t="n">
        <x:v>200</x:v>
      </x:c>
      <x:c r="H250" s="48" t="str">
        <x:v>1室0厅1</x:v>
      </x:c>
      <x:c r="I250" s="48" t="str">
        <x:v>北</x:v>
      </x:c>
      <x:c r="J250" s="48" t="str">
        <x:v>待核</x:v>
      </x:c>
      <x:c r="K250" s="48" t="str">
        <x:v>普通住宅</x:v>
      </x:c>
      <x:c r="L250" s="48" t="str">
        <x:v>否</x:v>
      </x:c>
      <x:c r="M250" s="48" t="str">
        <x:v>疑似重复挂牌</x:v>
      </x:c>
      <x:c r="N250" s="48" t="str">
        <x:v>友谊大厦|1室0厅1|15|3000|北</x:v>
      </x:c>
      <x:c r="O250" s="48"/>
      <x:c r="P250" s="48" t="str">
        <x:v>未知（未逐条补齐）</x:v>
      </x:c>
      <x:c r="Q250" s="48" t="str">
        <x:v>https://shenzhen.leyoujia.com/zf/detail/UtqnqoPy5L4W8WSTf7rkxG.html</x:v>
      </x:c>
      <x:c r="R250" s="48" t="str">
        <x:v>2026-08-13</x:v>
      </x:c>
    </x:row>
    <x:row r="251">
      <x:c r="A251" s="48" t="str">
        <x:v>银座金钻</x:v>
      </x:c>
      <x:c r="B251" s="48" t="str">
        <x:v>银座金钻</x:v>
      </x:c>
      <x:c r="C251" s="48" t="str">
        <x:v>国贸</x:v>
      </x:c>
      <x:c r="D251" s="56" t="n">
        <x:v>6</x:v>
      </x:c>
      <x:c r="E251" s="61" t="n">
        <x:v>4000</x:v>
      </x:c>
      <x:c r="F251" s="61" t="n">
        <x:v>37.57</x:v>
      </x:c>
      <x:c r="G251" s="61" t="n">
        <x:v>106.5</x:v>
      </x:c>
      <x:c r="H251" s="48" t="str">
        <x:v>1室1厅1</x:v>
      </x:c>
      <x:c r="I251" s="48" t="str">
        <x:v>东北</x:v>
      </x:c>
      <x:c r="J251" s="48" t="str">
        <x:v>精装</x:v>
      </x:c>
      <x:c r="K251" s="48" t="str">
        <x:v>普通住宅</x:v>
      </x:c>
      <x:c r="L251" s="48" t="str">
        <x:v>是</x:v>
      </x:c>
      <x:c r="M251" s="48" t="str">
        <x:v>保留</x:v>
      </x:c>
      <x:c r="N251" s="48" t="str">
        <x:v>银座金钻|1室1厅1|38|4000|东北</x:v>
      </x:c>
      <x:c r="O251" s="48"/>
      <x:c r="P251" s="48" t="str">
        <x:v>未知（未逐条补齐）</x:v>
      </x:c>
      <x:c r="Q251" s="48" t="str">
        <x:v>https://shenzhen.leyoujia.com/zf/detail/TeLgAmKBRWuCrGv5LkDM9A.html</x:v>
      </x:c>
      <x:c r="R251" s="48" t="str">
        <x:v>2026-08-13</x:v>
      </x:c>
    </x:row>
    <x:row r="252">
      <x:c r="A252" s="48" t="str">
        <x:v>银座金钻</x:v>
      </x:c>
      <x:c r="B252" s="48" t="str">
        <x:v>银座金钻</x:v>
      </x:c>
      <x:c r="C252" s="48" t="str">
        <x:v>国贸</x:v>
      </x:c>
      <x:c r="D252" s="56" t="n">
        <x:v>6</x:v>
      </x:c>
      <x:c r="E252" s="61" t="n">
        <x:v>4500</x:v>
      </x:c>
      <x:c r="F252" s="61" t="n">
        <x:v>56</x:v>
      </x:c>
      <x:c r="G252" s="61" t="n">
        <x:v>80.4</x:v>
      </x:c>
      <x:c r="H252" s="48" t="str">
        <x:v>1室0厅1</x:v>
      </x:c>
      <x:c r="I252" s="48" t="str">
        <x:v>南</x:v>
      </x:c>
      <x:c r="J252" s="48" t="str">
        <x:v>普装</x:v>
      </x:c>
      <x:c r="K252" s="48" t="str">
        <x:v>普通住宅</x:v>
      </x:c>
      <x:c r="L252" s="48" t="str">
        <x:v>是</x:v>
      </x:c>
      <x:c r="M252" s="48" t="str">
        <x:v>保留</x:v>
      </x:c>
      <x:c r="N252" s="48" t="str">
        <x:v>银座金钻|1室0厅1|56|4500|南</x:v>
      </x:c>
      <x:c r="O252" s="48"/>
      <x:c r="P252" s="48" t="str">
        <x:v>未知（未逐条补齐）</x:v>
      </x:c>
      <x:c r="Q252" s="48" t="str">
        <x:v>https://shenzhen.leyoujia.com/zf/detail/4KfpBjfZKtFkZrnF4oUeZk.html</x:v>
      </x:c>
      <x:c r="R252" s="48" t="str">
        <x:v>2026-08-13</x:v>
      </x:c>
    </x:row>
    <x:row r="253">
      <x:c r="A253" s="48" t="str">
        <x:v>银座金钻</x:v>
      </x:c>
      <x:c r="B253" s="48" t="str">
        <x:v>银座金钻</x:v>
      </x:c>
      <x:c r="C253" s="48" t="str">
        <x:v>国贸</x:v>
      </x:c>
      <x:c r="D253" s="56" t="n">
        <x:v>6</x:v>
      </x:c>
      <x:c r="E253" s="61" t="n">
        <x:v>4800</x:v>
      </x:c>
      <x:c r="F253" s="61" t="n">
        <x:v>41.29</x:v>
      </x:c>
      <x:c r="G253" s="61" t="n">
        <x:v>116.3</x:v>
      </x:c>
      <x:c r="H253" s="48" t="str">
        <x:v>1室1厅1</x:v>
      </x:c>
      <x:c r="I253" s="48" t="str">
        <x:v>南</x:v>
      </x:c>
      <x:c r="J253" s="48" t="str">
        <x:v>精装</x:v>
      </x:c>
      <x:c r="K253" s="48" t="str">
        <x:v>普通住宅</x:v>
      </x:c>
      <x:c r="L253" s="48" t="str">
        <x:v>是</x:v>
      </x:c>
      <x:c r="M253" s="48" t="str">
        <x:v>保留</x:v>
      </x:c>
      <x:c r="N253" s="48" t="str">
        <x:v>银座金钻|1室1厅1|41|4800|南</x:v>
      </x:c>
      <x:c r="O253" s="48"/>
      <x:c r="P253" s="48" t="str">
        <x:v>未知（未逐条补齐）</x:v>
      </x:c>
      <x:c r="Q253" s="48" t="str">
        <x:v>https://shenzhen.leyoujia.com/zf/detail/MYjQ8E6urfSCEPXvtS8zWe.html</x:v>
      </x:c>
      <x:c r="R253" s="48" t="str">
        <x:v>2026-08-13</x:v>
      </x:c>
    </x:row>
    <x:row r="254">
      <x:c r="A254" s="48" t="str">
        <x:v>置地逸轩</x:v>
      </x:c>
      <x:c r="B254" s="48" t="str">
        <x:v>置地逸轩</x:v>
      </x:c>
      <x:c r="C254" s="48" t="str">
        <x:v>国贸</x:v>
      </x:c>
      <x:c r="D254" s="56" t="n">
        <x:v>7.3</x:v>
      </x:c>
      <x:c r="E254" s="61" t="n">
        <x:v>4800</x:v>
      </x:c>
      <x:c r="F254" s="61" t="n">
        <x:v>38.75</x:v>
      </x:c>
      <x:c r="G254" s="61" t="n">
        <x:v>123.9</x:v>
      </x:c>
      <x:c r="H254" s="48" t="str">
        <x:v>1室1厅1</x:v>
      </x:c>
      <x:c r="I254" s="48" t="str">
        <x:v>西</x:v>
      </x:c>
      <x:c r="J254" s="48" t="str">
        <x:v>精装</x:v>
      </x:c>
      <x:c r="K254" s="48" t="str">
        <x:v>普通住宅</x:v>
      </x:c>
      <x:c r="L254" s="48" t="str">
        <x:v>是</x:v>
      </x:c>
      <x:c r="M254" s="48" t="str">
        <x:v>保留</x:v>
      </x:c>
      <x:c r="N254" s="48" t="str">
        <x:v>置地逸轩|1室1厅1|39|4800|西</x:v>
      </x:c>
      <x:c r="O254" s="48"/>
      <x:c r="P254" s="48" t="str">
        <x:v>未知（未逐条补齐）</x:v>
      </x:c>
      <x:c r="Q254" s="48" t="str">
        <x:v>https://shenzhen.leyoujia.com/zf/detail/Ge1waE8wLQjb8CwDimBJ1z.html</x:v>
      </x:c>
      <x:c r="R254" s="48" t="str">
        <x:v>2026-08-13</x:v>
      </x:c>
    </x:row>
    <x:row r="255">
      <x:c r="A255" s="48" t="str">
        <x:v>天俊大厦</x:v>
      </x:c>
      <x:c r="B255" s="48" t="str">
        <x:v>天俊大厦</x:v>
      </x:c>
      <x:c r="C255" s="48" t="str">
        <x:v>国贸</x:v>
      </x:c>
      <x:c r="D255" s="56" t="n">
        <x:v>7.8</x:v>
      </x:c>
      <x:c r="E255" s="61" t="n">
        <x:v>2500</x:v>
      </x:c>
      <x:c r="F255" s="61" t="n">
        <x:v>25</x:v>
      </x:c>
      <x:c r="G255" s="61" t="n">
        <x:v>100</x:v>
      </x:c>
      <x:c r="H255" s="48" t="str">
        <x:v>1室0厅1</x:v>
      </x:c>
      <x:c r="I255" s="48" t="str">
        <x:v>东</x:v>
      </x:c>
      <x:c r="J255" s="48" t="str">
        <x:v>精装</x:v>
      </x:c>
      <x:c r="K255" s="48" t="str">
        <x:v>公寓</x:v>
      </x:c>
      <x:c r="L255" s="48" t="str">
        <x:v>是</x:v>
      </x:c>
      <x:c r="M255" s="48" t="str">
        <x:v>保留</x:v>
      </x:c>
      <x:c r="N255" s="48" t="str">
        <x:v>天俊大厦|1室0厅1|25|2500|东</x:v>
      </x:c>
      <x:c r="O255" s="48"/>
      <x:c r="P255" s="48" t="str">
        <x:v>未知（未逐条补齐）</x:v>
      </x:c>
      <x:c r="Q255" s="48" t="str">
        <x:v>https://shenzhen.leyoujia.com/zf/detail/PYwuETerMndarqt9KqiNc1.html</x:v>
      </x:c>
      <x:c r="R255" s="48" t="str">
        <x:v>2026-08-13</x:v>
      </x:c>
    </x:row>
    <x:row r="256">
      <x:c r="A256" s="48" t="str">
        <x:v>天俊大厦</x:v>
      </x:c>
      <x:c r="B256" s="48" t="str">
        <x:v>天俊大厦</x:v>
      </x:c>
      <x:c r="C256" s="48" t="str">
        <x:v>国贸</x:v>
      </x:c>
      <x:c r="D256" s="56" t="n">
        <x:v>7.8</x:v>
      </x:c>
      <x:c r="E256" s="61" t="n">
        <x:v>2500</x:v>
      </x:c>
      <x:c r="F256" s="61" t="n">
        <x:v>25</x:v>
      </x:c>
      <x:c r="G256" s="61" t="n">
        <x:v>100</x:v>
      </x:c>
      <x:c r="H256" s="48" t="str">
        <x:v>1室0厅1</x:v>
      </x:c>
      <x:c r="I256" s="48" t="str">
        <x:v>东</x:v>
      </x:c>
      <x:c r="J256" s="48" t="str">
        <x:v>精装</x:v>
      </x:c>
      <x:c r="K256" s="48" t="str">
        <x:v>公寓</x:v>
      </x:c>
      <x:c r="L256" s="48" t="str">
        <x:v>否</x:v>
      </x:c>
      <x:c r="M256" s="48" t="str">
        <x:v>疑似重复挂牌</x:v>
      </x:c>
      <x:c r="N256" s="48" t="str">
        <x:v>天俊大厦|1室0厅1|25|2500|东</x:v>
      </x:c>
      <x:c r="O256" s="48"/>
      <x:c r="P256" s="48" t="str">
        <x:v>未知（未逐条补齐）</x:v>
      </x:c>
      <x:c r="Q256" s="48" t="str">
        <x:v>https://shenzhen.leyoujia.com/zf/detail/GnWxc7rHY6eEJZ2yLVUaW9.html</x:v>
      </x:c>
      <x:c r="R256" s="48" t="str">
        <x:v>2026-08-13</x:v>
      </x:c>
    </x:row>
    <x:row r="257">
      <x:c r="A257" s="48" t="str">
        <x:v>天俊大厦</x:v>
      </x:c>
      <x:c r="B257" s="48" t="str">
        <x:v>天俊大厦</x:v>
      </x:c>
      <x:c r="C257" s="48" t="str">
        <x:v>国贸</x:v>
      </x:c>
      <x:c r="D257" s="56" t="n">
        <x:v>7.8</x:v>
      </x:c>
      <x:c r="E257" s="61" t="n">
        <x:v>2900</x:v>
      </x:c>
      <x:c r="F257" s="61" t="n">
        <x:v>20</x:v>
      </x:c>
      <x:c r="G257" s="61" t="n">
        <x:v>145</x:v>
      </x:c>
      <x:c r="H257" s="48" t="str">
        <x:v>1室0厅1</x:v>
      </x:c>
      <x:c r="I257" s="48" t="str">
        <x:v>北</x:v>
      </x:c>
      <x:c r="J257" s="48" t="str">
        <x:v>精装</x:v>
      </x:c>
      <x:c r="K257" s="48" t="str">
        <x:v>公寓</x:v>
      </x:c>
      <x:c r="L257" s="48" t="str">
        <x:v>是</x:v>
      </x:c>
      <x:c r="M257" s="48" t="str">
        <x:v>保留</x:v>
      </x:c>
      <x:c r="N257" s="48" t="str">
        <x:v>天俊大厦|1室0厅1|20|2900|北</x:v>
      </x:c>
      <x:c r="O257" s="48"/>
      <x:c r="P257" s="48" t="str">
        <x:v>未知（未逐条补齐）</x:v>
      </x:c>
      <x:c r="Q257" s="48" t="str">
        <x:v>https://shenzhen.leyoujia.com/zf/detail/8mhENMMp2EqxMaUarEXiEq.html</x:v>
      </x:c>
      <x:c r="R257" s="48" t="str">
        <x:v>2026-08-13</x:v>
      </x:c>
    </x:row>
    <x:row r="258">
      <x:c r="A258" s="48" t="str">
        <x:v>天俊大厦</x:v>
      </x:c>
      <x:c r="B258" s="48" t="str">
        <x:v>天俊大厦</x:v>
      </x:c>
      <x:c r="C258" s="48" t="str">
        <x:v>国贸</x:v>
      </x:c>
      <x:c r="D258" s="56" t="n">
        <x:v>7.8</x:v>
      </x:c>
      <x:c r="E258" s="61" t="n">
        <x:v>3000</x:v>
      </x:c>
      <x:c r="F258" s="61" t="n">
        <x:v>20</x:v>
      </x:c>
      <x:c r="G258" s="61" t="n">
        <x:v>150</x:v>
      </x:c>
      <x:c r="H258" s="48" t="str">
        <x:v>1室0厅1</x:v>
      </x:c>
      <x:c r="I258" s="48" t="str">
        <x:v>北</x:v>
      </x:c>
      <x:c r="J258" s="48" t="str">
        <x:v>精装</x:v>
      </x:c>
      <x:c r="K258" s="48" t="str">
        <x:v>公寓</x:v>
      </x:c>
      <x:c r="L258" s="48" t="str">
        <x:v>是</x:v>
      </x:c>
      <x:c r="M258" s="48" t="str">
        <x:v>保留</x:v>
      </x:c>
      <x:c r="N258" s="48" t="str">
        <x:v>天俊大厦|1室0厅1|20|3000|北</x:v>
      </x:c>
      <x:c r="O258" s="48"/>
      <x:c r="P258" s="48" t="str">
        <x:v>未知（未逐条补齐）</x:v>
      </x:c>
      <x:c r="Q258" s="48" t="str">
        <x:v>https://shenzhen.leyoujia.com/zf/detail/EXCQd2mJXY9ZwJjMrudisM.html</x:v>
      </x:c>
      <x:c r="R258" s="48" t="str">
        <x:v>2026-08-13</x:v>
      </x:c>
    </x:row>
    <x:row r="259">
      <x:c r="A259" s="48" t="str">
        <x:v>天俊大厦</x:v>
      </x:c>
      <x:c r="B259" s="48" t="str">
        <x:v>天俊大厦</x:v>
      </x:c>
      <x:c r="C259" s="48" t="str">
        <x:v>国贸</x:v>
      </x:c>
      <x:c r="D259" s="56" t="n">
        <x:v>7.8</x:v>
      </x:c>
      <x:c r="E259" s="61" t="n">
        <x:v>3350</x:v>
      </x:c>
      <x:c r="F259" s="61" t="n">
        <x:v>26</x:v>
      </x:c>
      <x:c r="G259" s="61" t="n">
        <x:v>128.8</x:v>
      </x:c>
      <x:c r="H259" s="48" t="str">
        <x:v>1室0厅1</x:v>
      </x:c>
      <x:c r="I259" s="48" t="str">
        <x:v>南</x:v>
      </x:c>
      <x:c r="J259" s="48" t="str">
        <x:v>普装</x:v>
      </x:c>
      <x:c r="K259" s="48" t="str">
        <x:v>公寓</x:v>
      </x:c>
      <x:c r="L259" s="48" t="str">
        <x:v>是</x:v>
      </x:c>
      <x:c r="M259" s="48" t="str">
        <x:v>保留</x:v>
      </x:c>
      <x:c r="N259" s="48" t="str">
        <x:v>天俊大厦|1室0厅1|26|3350|南</x:v>
      </x:c>
      <x:c r="O259" s="48"/>
      <x:c r="P259" s="48" t="str">
        <x:v>未知（未逐条补齐）</x:v>
      </x:c>
      <x:c r="Q259" s="48" t="str">
        <x:v>https://shenzhen.leyoujia.com/zf/detail/7FFvX2BgpJSz83dtnn3ehp.html</x:v>
      </x:c>
      <x:c r="R259" s="48" t="str">
        <x:v>2026-08-13</x:v>
      </x:c>
    </x:row>
    <x:row r="260">
      <x:c r="A260" s="48" t="str">
        <x:v>粤海花园</x:v>
      </x:c>
      <x:c r="B260" s="48" t="str">
        <x:v>阳光粤海花园</x:v>
      </x:c>
      <x:c r="C260" s="48" t="str">
        <x:v>国贸</x:v>
      </x:c>
      <x:c r="D260" s="56" t="n">
        <x:v>7.4</x:v>
      </x:c>
      <x:c r="E260" s="61" t="n">
        <x:v>2890</x:v>
      </x:c>
      <x:c r="F260" s="61" t="n">
        <x:v>22.6</x:v>
      </x:c>
      <x:c r="G260" s="61" t="n">
        <x:v>127.9</x:v>
      </x:c>
      <x:c r="H260" s="48" t="str">
        <x:v>1室0厅1</x:v>
      </x:c>
      <x:c r="I260" s="48" t="str">
        <x:v>南</x:v>
      </x:c>
      <x:c r="J260" s="48" t="str">
        <x:v>待核</x:v>
      </x:c>
      <x:c r="K260" s="48" t="str">
        <x:v>住宅</x:v>
      </x:c>
      <x:c r="L260" s="48" t="str">
        <x:v>是</x:v>
      </x:c>
      <x:c r="M260" s="48" t="str">
        <x:v>保留</x:v>
      </x:c>
      <x:c r="N260" s="48" t="str">
        <x:v>阳光粤海花园|1室0厅1|23|2890|南</x:v>
      </x:c>
      <x:c r="O260" s="48"/>
      <x:c r="P260" s="48" t="str">
        <x:v>未知（未逐条补齐）</x:v>
      </x:c>
      <x:c r="Q260" s="48" t="str">
        <x:v>https://shenzhen.leyoujia.com/zf/detail/HSjh3iAUyuZXsPLANcCBrd.html</x:v>
      </x:c>
      <x:c r="R260" s="48" t="str">
        <x:v>2026-08-13</x:v>
      </x:c>
    </x:row>
    <x:row r="261">
      <x:c r="A261" s="48" t="str">
        <x:v>粤海花园</x:v>
      </x:c>
      <x:c r="B261" s="48" t="str">
        <x:v>阳光粤海花园</x:v>
      </x:c>
      <x:c r="C261" s="48" t="str">
        <x:v>国贸</x:v>
      </x:c>
      <x:c r="D261" s="56" t="n">
        <x:v>7.4</x:v>
      </x:c>
      <x:c r="E261" s="61" t="n">
        <x:v>2900</x:v>
      </x:c>
      <x:c r="F261" s="61" t="n">
        <x:v>15</x:v>
      </x:c>
      <x:c r="G261" s="61" t="n">
        <x:v>193.3</x:v>
      </x:c>
      <x:c r="H261" s="48" t="str">
        <x:v>1室0厅1</x:v>
      </x:c>
      <x:c r="I261" s="48" t="str">
        <x:v>南北</x:v>
      </x:c>
      <x:c r="J261" s="48" t="str">
        <x:v>精装</x:v>
      </x:c>
      <x:c r="K261" s="48" t="str">
        <x:v>公寓</x:v>
      </x:c>
      <x:c r="L261" s="48" t="str">
        <x:v>是</x:v>
      </x:c>
      <x:c r="M261" s="48" t="str">
        <x:v>保留</x:v>
      </x:c>
      <x:c r="N261" s="48" t="str">
        <x:v>阳光粤海花园|1室0厅1|15|2900|南北</x:v>
      </x:c>
      <x:c r="O261" s="48"/>
      <x:c r="P261" s="48" t="str">
        <x:v>未知（未逐条补齐）</x:v>
      </x:c>
      <x:c r="Q261" s="48" t="str">
        <x:v>https://shenzhen.leyoujia.com/zf/detail/JX5TrYkrwX5HF1a8rKwduc.html</x:v>
      </x:c>
      <x:c r="R261" s="48" t="str">
        <x:v>2026-08-13</x:v>
      </x:c>
    </x:row>
    <x:row r="262">
      <x:c r="A262" s="48" t="str">
        <x:v>寸金大厦</x:v>
      </x:c>
      <x:c r="B262" s="48" t="str">
        <x:v>寸金大厦</x:v>
      </x:c>
      <x:c r="C262" s="48" t="str">
        <x:v>国贸</x:v>
      </x:c>
      <x:c r="D262" s="56" t="n">
        <x:v>7.2</x:v>
      </x:c>
      <x:c r="E262" s="61" t="n">
        <x:v>2580</x:v>
      </x:c>
      <x:c r="F262" s="61" t="n">
        <x:v>35</x:v>
      </x:c>
      <x:c r="G262" s="61" t="n">
        <x:v>73.7</x:v>
      </x:c>
      <x:c r="H262" s="48" t="str">
        <x:v>1室0厅1</x:v>
      </x:c>
      <x:c r="I262" s="48" t="str">
        <x:v>南</x:v>
      </x:c>
      <x:c r="J262" s="48" t="str">
        <x:v>精装</x:v>
      </x:c>
      <x:c r="K262" s="48" t="str">
        <x:v>公寓</x:v>
      </x:c>
      <x:c r="L262" s="48" t="str">
        <x:v>否</x:v>
      </x:c>
      <x:c r="M262" s="48" t="str">
        <x:v>异常低价待核</x:v>
      </x:c>
      <x:c r="N262" s="48" t="str">
        <x:v>寸金大厦|1室0厅1|35|2580|南</x:v>
      </x:c>
      <x:c r="O262" s="48"/>
      <x:c r="P262" s="48" t="str">
        <x:v>未知（未逐条补齐）</x:v>
      </x:c>
      <x:c r="Q262" s="48" t="str">
        <x:v>https://shenzhen.leyoujia.com/zf/detail/LPi9d91KXSiwgAc2PRdhv5.html</x:v>
      </x:c>
      <x:c r="R262" s="48" t="str">
        <x:v>2026-08-13</x:v>
      </x:c>
    </x:row>
    <x:row r="263">
      <x:c r="A263" s="48" t="str">
        <x:v>寸金大厦</x:v>
      </x:c>
      <x:c r="B263" s="48" t="str">
        <x:v>寸金大厦</x:v>
      </x:c>
      <x:c r="C263" s="48" t="str">
        <x:v>国贸</x:v>
      </x:c>
      <x:c r="D263" s="56" t="n">
        <x:v>7.2</x:v>
      </x:c>
      <x:c r="E263" s="61" t="n">
        <x:v>2600</x:v>
      </x:c>
      <x:c r="F263" s="61" t="n">
        <x:v>40</x:v>
      </x:c>
      <x:c r="G263" s="61" t="n">
        <x:v>65</x:v>
      </x:c>
      <x:c r="H263" s="48" t="str">
        <x:v>1室1厅1</x:v>
      </x:c>
      <x:c r="I263" s="48" t="str">
        <x:v>北</x:v>
      </x:c>
      <x:c r="J263" s="48" t="str">
        <x:v>精装</x:v>
      </x:c>
      <x:c r="K263" s="48" t="str">
        <x:v>公寓</x:v>
      </x:c>
      <x:c r="L263" s="48" t="str">
        <x:v>否</x:v>
      </x:c>
      <x:c r="M263" s="48" t="str">
        <x:v>异常低价待核</x:v>
      </x:c>
      <x:c r="N263" s="48" t="str">
        <x:v>寸金大厦|1室1厅1|40|2600|北</x:v>
      </x:c>
      <x:c r="O263" s="48"/>
      <x:c r="P263" s="48" t="str">
        <x:v>未知（未逐条补齐）</x:v>
      </x:c>
      <x:c r="Q263" s="48" t="str">
        <x:v>https://shenzhen.leyoujia.com/zf/detail/ByNSnQRPzCqkZDCVEuL6K1.html</x:v>
      </x:c>
      <x:c r="R263" s="48" t="str">
        <x:v>2026-08-13</x:v>
      </x:c>
    </x:row>
    <x:row r="264">
      <x:c r="A264" s="48" t="str">
        <x:v>寸金大厦</x:v>
      </x:c>
      <x:c r="B264" s="48" t="str">
        <x:v>寸金大厦</x:v>
      </x:c>
      <x:c r="C264" s="48" t="str">
        <x:v>国贸</x:v>
      </x:c>
      <x:c r="D264" s="56" t="n">
        <x:v>7.2</x:v>
      </x:c>
      <x:c r="E264" s="61" t="n">
        <x:v>2980</x:v>
      </x:c>
      <x:c r="F264" s="61" t="n">
        <x:v>38</x:v>
      </x:c>
      <x:c r="G264" s="61" t="n">
        <x:v>78.4</x:v>
      </x:c>
      <x:c r="H264" s="48" t="str">
        <x:v>1室0厅1</x:v>
      </x:c>
      <x:c r="I264" s="48" t="str">
        <x:v>东南</x:v>
      </x:c>
      <x:c r="J264" s="48" t="str">
        <x:v>普装</x:v>
      </x:c>
      <x:c r="K264" s="48" t="str">
        <x:v>公寓</x:v>
      </x:c>
      <x:c r="L264" s="48" t="str">
        <x:v>否</x:v>
      </x:c>
      <x:c r="M264" s="48" t="str">
        <x:v>异常低价待核</x:v>
      </x:c>
      <x:c r="N264" s="48" t="str">
        <x:v>寸金大厦|1室0厅1|38|2980|东南</x:v>
      </x:c>
      <x:c r="O264" s="48"/>
      <x:c r="P264" s="48" t="str">
        <x:v>未知（未逐条补齐）</x:v>
      </x:c>
      <x:c r="Q264" s="48" t="str">
        <x:v>https://shenzhen.leyoujia.com/zf/detail/JuJmhCBRJLJMxrZWj4jPAJ.html</x:v>
      </x:c>
      <x:c r="R264" s="48" t="str">
        <x:v>2026-08-13</x:v>
      </x:c>
    </x:row>
    <x:row r="265">
      <x:c r="A265" s="48" t="str">
        <x:v>寸金大厦</x:v>
      </x:c>
      <x:c r="B265" s="48" t="str">
        <x:v>寸金大厦</x:v>
      </x:c>
      <x:c r="C265" s="48" t="str">
        <x:v>国贸</x:v>
      </x:c>
      <x:c r="D265" s="56" t="n">
        <x:v>7.2</x:v>
      </x:c>
      <x:c r="E265" s="61" t="n">
        <x:v>2980</x:v>
      </x:c>
      <x:c r="F265" s="61" t="n">
        <x:v>25</x:v>
      </x:c>
      <x:c r="G265" s="61" t="n">
        <x:v>119.2</x:v>
      </x:c>
      <x:c r="H265" s="48" t="str">
        <x:v>1室0厅1</x:v>
      </x:c>
      <x:c r="I265" s="48" t="str">
        <x:v>南</x:v>
      </x:c>
      <x:c r="J265" s="48" t="str">
        <x:v>普装</x:v>
      </x:c>
      <x:c r="K265" s="48" t="str">
        <x:v>普通住宅</x:v>
      </x:c>
      <x:c r="L265" s="48" t="str">
        <x:v>否</x:v>
      </x:c>
      <x:c r="M265" s="48" t="str">
        <x:v>异常低价待核</x:v>
      </x:c>
      <x:c r="N265" s="48" t="str">
        <x:v>寸金大厦|1室0厅1|25|2980|南</x:v>
      </x:c>
      <x:c r="O265" s="48"/>
      <x:c r="P265" s="48" t="str">
        <x:v>未知（未逐条补齐）</x:v>
      </x:c>
      <x:c r="Q265" s="48" t="str">
        <x:v>https://shenzhen.leyoujia.com/zf/detail/qg7tqJD8WLF5k6sBFfBvf.html</x:v>
      </x:c>
      <x:c r="R265" s="48" t="str">
        <x:v>2026-08-13</x:v>
      </x:c>
    </x:row>
    <x:row r="266">
      <x:c r="A266" s="48" t="str">
        <x:v>寸金大厦</x:v>
      </x:c>
      <x:c r="B266" s="48" t="str">
        <x:v>寸金大厦</x:v>
      </x:c>
      <x:c r="C266" s="48" t="str">
        <x:v>国贸</x:v>
      </x:c>
      <x:c r="D266" s="56" t="n">
        <x:v>7.2</x:v>
      </x:c>
      <x:c r="E266" s="61" t="n">
        <x:v>2980</x:v>
      </x:c>
      <x:c r="F266" s="61" t="n">
        <x:v>25</x:v>
      </x:c>
      <x:c r="G266" s="61" t="n">
        <x:v>119.2</x:v>
      </x:c>
      <x:c r="H266" s="48" t="str">
        <x:v>1室0厅1</x:v>
      </x:c>
      <x:c r="I266" s="48" t="str">
        <x:v>南</x:v>
      </x:c>
      <x:c r="J266" s="48" t="str">
        <x:v>精装</x:v>
      </x:c>
      <x:c r="K266" s="48" t="str">
        <x:v>公寓</x:v>
      </x:c>
      <x:c r="L266" s="48" t="str">
        <x:v>否</x:v>
      </x:c>
      <x:c r="M266" s="48" t="str">
        <x:v>疑似重复挂牌；异常低价待核</x:v>
      </x:c>
      <x:c r="N266" s="48" t="str">
        <x:v>寸金大厦|1室0厅1|25|2980|南</x:v>
      </x:c>
      <x:c r="O266" s="48"/>
      <x:c r="P266" s="48" t="str">
        <x:v>未知（未逐条补齐）</x:v>
      </x:c>
      <x:c r="Q266" s="48" t="str">
        <x:v>https://shenzhen.leyoujia.com/zf/detail/AG22uNwy4Bnsgsu3yvLShC.html</x:v>
      </x:c>
      <x:c r="R266" s="48" t="str">
        <x:v>2026-08-13</x:v>
      </x:c>
    </x:row>
    <x:row r="267">
      <x:c r="A267" s="48" t="str">
        <x:v>寸金大厦</x:v>
      </x:c>
      <x:c r="B267" s="48" t="str">
        <x:v>寸金大厦</x:v>
      </x:c>
      <x:c r="C267" s="48" t="str">
        <x:v>国贸</x:v>
      </x:c>
      <x:c r="D267" s="56" t="n">
        <x:v>7.2</x:v>
      </x:c>
      <x:c r="E267" s="61" t="n">
        <x:v>2980</x:v>
      </x:c>
      <x:c r="F267" s="61" t="n">
        <x:v>25</x:v>
      </x:c>
      <x:c r="G267" s="61" t="n">
        <x:v>119.2</x:v>
      </x:c>
      <x:c r="H267" s="48" t="str">
        <x:v>1室0厅1</x:v>
      </x:c>
      <x:c r="I267" s="48" t="str">
        <x:v>东</x:v>
      </x:c>
      <x:c r="J267" s="48" t="str">
        <x:v>精装</x:v>
      </x:c>
      <x:c r="K267" s="48" t="str">
        <x:v>普通住宅</x:v>
      </x:c>
      <x:c r="L267" s="48" t="str">
        <x:v>否</x:v>
      </x:c>
      <x:c r="M267" s="48" t="str">
        <x:v>异常低价待核</x:v>
      </x:c>
      <x:c r="N267" s="48" t="str">
        <x:v>寸金大厦|1室0厅1|25|2980|东</x:v>
      </x:c>
      <x:c r="O267" s="48"/>
      <x:c r="P267" s="48" t="str">
        <x:v>未知（未逐条补齐）</x:v>
      </x:c>
      <x:c r="Q267" s="48" t="str">
        <x:v>https://shenzhen.leyoujia.com/zf/detail/9KoSjBLhAKgMSeFxooxhoo.html</x:v>
      </x:c>
      <x:c r="R267" s="48" t="str">
        <x:v>2026-08-13</x:v>
      </x:c>
    </x:row>
    <x:row r="268">
      <x:c r="A268" s="48" t="str">
        <x:v>寸金大厦</x:v>
      </x:c>
      <x:c r="B268" s="48" t="str">
        <x:v>寸金大厦</x:v>
      </x:c>
      <x:c r="C268" s="48" t="str">
        <x:v>国贸</x:v>
      </x:c>
      <x:c r="D268" s="56" t="n">
        <x:v>7.2</x:v>
      </x:c>
      <x:c r="E268" s="61" t="n">
        <x:v>2980</x:v>
      </x:c>
      <x:c r="F268" s="61" t="n">
        <x:v>25</x:v>
      </x:c>
      <x:c r="G268" s="61" t="n">
        <x:v>119.2</x:v>
      </x:c>
      <x:c r="H268" s="48" t="str">
        <x:v>1室0厅1</x:v>
      </x:c>
      <x:c r="I268" s="48" t="str">
        <x:v>南</x:v>
      </x:c>
      <x:c r="J268" s="48" t="str">
        <x:v>待核</x:v>
      </x:c>
      <x:c r="K268" s="48" t="str">
        <x:v>普通住宅</x:v>
      </x:c>
      <x:c r="L268" s="48" t="str">
        <x:v>否</x:v>
      </x:c>
      <x:c r="M268" s="48" t="str">
        <x:v>疑似重复挂牌；异常低价待核</x:v>
      </x:c>
      <x:c r="N268" s="48" t="str">
        <x:v>寸金大厦|1室0厅1|25|2980|南</x:v>
      </x:c>
      <x:c r="O268" s="48"/>
      <x:c r="P268" s="48" t="str">
        <x:v>未知（未逐条补齐）</x:v>
      </x:c>
      <x:c r="Q268" s="48" t="str">
        <x:v>https://shenzhen.leyoujia.com/zf/detail/JAMngV2YaFFAcHVoXSREit.html</x:v>
      </x:c>
      <x:c r="R268" s="48" t="str">
        <x:v>2026-08-13</x:v>
      </x:c>
    </x:row>
    <x:row r="269">
      <x:c r="A269" s="48" t="str">
        <x:v>寸金大厦</x:v>
      </x:c>
      <x:c r="B269" s="48" t="str">
        <x:v>寸金大厦</x:v>
      </x:c>
      <x:c r="C269" s="48" t="str">
        <x:v>国贸</x:v>
      </x:c>
      <x:c r="D269" s="56" t="n">
        <x:v>7.2</x:v>
      </x:c>
      <x:c r="E269" s="61" t="n">
        <x:v>2980</x:v>
      </x:c>
      <x:c r="F269" s="61" t="n">
        <x:v>25</x:v>
      </x:c>
      <x:c r="G269" s="61" t="n">
        <x:v>119.2</x:v>
      </x:c>
      <x:c r="H269" s="48" t="str">
        <x:v>1室0厅1</x:v>
      </x:c>
      <x:c r="I269" s="48" t="str">
        <x:v>东</x:v>
      </x:c>
      <x:c r="J269" s="48" t="str">
        <x:v>待核</x:v>
      </x:c>
      <x:c r="K269" s="48" t="str">
        <x:v>普通住宅</x:v>
      </x:c>
      <x:c r="L269" s="48" t="str">
        <x:v>否</x:v>
      </x:c>
      <x:c r="M269" s="48" t="str">
        <x:v>疑似重复挂牌；异常低价待核</x:v>
      </x:c>
      <x:c r="N269" s="48" t="str">
        <x:v>寸金大厦|1室0厅1|25|2980|东</x:v>
      </x:c>
      <x:c r="O269" s="48"/>
      <x:c r="P269" s="48" t="str">
        <x:v>未知（未逐条补齐）</x:v>
      </x:c>
      <x:c r="Q269" s="48" t="str">
        <x:v>https://shenzhen.leyoujia.com/zf/detail/Q9P1P3A7BtPhdbbAav1QHy.html</x:v>
      </x:c>
      <x:c r="R269" s="48" t="str">
        <x:v>2026-08-13</x:v>
      </x:c>
    </x:row>
    <x:row r="270">
      <x:c r="A270" s="48" t="str">
        <x:v>寸金大厦</x:v>
      </x:c>
      <x:c r="B270" s="48" t="str">
        <x:v>寸金大厦</x:v>
      </x:c>
      <x:c r="C270" s="48" t="str">
        <x:v>国贸</x:v>
      </x:c>
      <x:c r="D270" s="56" t="n">
        <x:v>7.2</x:v>
      </x:c>
      <x:c r="E270" s="61" t="n">
        <x:v>3000</x:v>
      </x:c>
      <x:c r="F270" s="61" t="n">
        <x:v>40</x:v>
      </x:c>
      <x:c r="G270" s="61" t="n">
        <x:v>75</x:v>
      </x:c>
      <x:c r="H270" s="48" t="str">
        <x:v>1室0厅1</x:v>
      </x:c>
      <x:c r="I270" s="48" t="str">
        <x:v>东</x:v>
      </x:c>
      <x:c r="J270" s="48" t="str">
        <x:v>待核</x:v>
      </x:c>
      <x:c r="K270" s="48" t="str">
        <x:v>普通住宅</x:v>
      </x:c>
      <x:c r="L270" s="48" t="str">
        <x:v>否</x:v>
      </x:c>
      <x:c r="M270" s="48" t="str">
        <x:v>异常低价待核</x:v>
      </x:c>
      <x:c r="N270" s="48" t="str">
        <x:v>寸金大厦|1室0厅1|40|3000|东</x:v>
      </x:c>
      <x:c r="O270" s="48"/>
      <x:c r="P270" s="48" t="str">
        <x:v>未知（未逐条补齐）</x:v>
      </x:c>
      <x:c r="Q270" s="48" t="str">
        <x:v>https://shenzhen.leyoujia.com/zf/detail/YL5sT5gEyBqjSBhuoHTTUJ.html</x:v>
      </x:c>
      <x:c r="R270" s="48" t="str">
        <x:v>2026-08-13</x:v>
      </x:c>
    </x:row>
    <x:row r="271">
      <x:c r="A271" s="48" t="str">
        <x:v>寸金大厦</x:v>
      </x:c>
      <x:c r="B271" s="48" t="str">
        <x:v>寸金大厦</x:v>
      </x:c>
      <x:c r="C271" s="48" t="str">
        <x:v>国贸</x:v>
      </x:c>
      <x:c r="D271" s="56" t="n">
        <x:v>7.2</x:v>
      </x:c>
      <x:c r="E271" s="61" t="n">
        <x:v>3480</x:v>
      </x:c>
      <x:c r="F271" s="61" t="n">
        <x:v>40</x:v>
      </x:c>
      <x:c r="G271" s="61" t="n">
        <x:v>87</x:v>
      </x:c>
      <x:c r="H271" s="48" t="str">
        <x:v>1室0厅1</x:v>
      </x:c>
      <x:c r="I271" s="48" t="str">
        <x:v>南</x:v>
      </x:c>
      <x:c r="J271" s="48" t="str">
        <x:v>待核</x:v>
      </x:c>
      <x:c r="K271" s="48" t="str">
        <x:v>普通住宅</x:v>
      </x:c>
      <x:c r="L271" s="48" t="str">
        <x:v>是</x:v>
      </x:c>
      <x:c r="M271" s="48" t="str">
        <x:v>保留</x:v>
      </x:c>
      <x:c r="N271" s="48" t="str">
        <x:v>寸金大厦|1室0厅1|40|3480|南</x:v>
      </x:c>
      <x:c r="O271" s="48"/>
      <x:c r="P271" s="48" t="str">
        <x:v>未知（未逐条补齐）</x:v>
      </x:c>
      <x:c r="Q271" s="48" t="str">
        <x:v>https://shenzhen.leyoujia.com/zf/detail/3pJnSx8jFjeycf5EeEpedA.html</x:v>
      </x:c>
      <x:c r="R271" s="48" t="str">
        <x:v>2026-08-13</x:v>
      </x:c>
    </x:row>
    <x:row r="272">
      <x:c r="A272" s="48" t="str">
        <x:v>寸金大厦</x:v>
      </x:c>
      <x:c r="B272" s="48" t="str">
        <x:v>寸金大厦</x:v>
      </x:c>
      <x:c r="C272" s="48" t="str">
        <x:v>国贸</x:v>
      </x:c>
      <x:c r="D272" s="56" t="n">
        <x:v>7.2</x:v>
      </x:c>
      <x:c r="E272" s="61" t="n">
        <x:v>3480</x:v>
      </x:c>
      <x:c r="F272" s="61" t="n">
        <x:v>168</x:v>
      </x:c>
      <x:c r="G272" s="61" t="n">
        <x:v>20.7</x:v>
      </x:c>
      <x:c r="H272" s="48" t="str">
        <x:v>1室0厅0</x:v>
      </x:c>
      <x:c r="I272" s="48" t="str">
        <x:v>西北</x:v>
      </x:c>
      <x:c r="J272" s="48" t="str">
        <x:v>精装</x:v>
      </x:c>
      <x:c r="K272" s="48" t="str">
        <x:v>公寓</x:v>
      </x:c>
      <x:c r="L272" s="48" t="str">
        <x:v>否</x:v>
      </x:c>
      <x:c r="M272" s="48" t="str">
        <x:v>异常低价待核；面积异常</x:v>
      </x:c>
      <x:c r="N272" s="48" t="str">
        <x:v>寸金大厦|1室0厅0|168|3480|西北</x:v>
      </x:c>
      <x:c r="O272" s="48"/>
      <x:c r="P272" s="48" t="str">
        <x:v>未知（未逐条补齐）</x:v>
      </x:c>
      <x:c r="Q272" s="48" t="str">
        <x:v>https://shenzhen.leyoujia.com/zf/detail/LCDg29mqZq4vvwRWQ2EWBj.html</x:v>
      </x:c>
      <x:c r="R272" s="48" t="str">
        <x:v>2026-08-13</x:v>
      </x:c>
    </x:row>
    <x:row r="273">
      <x:c r="A273" s="48" t="str">
        <x:v>寸金大厦</x:v>
      </x:c>
      <x:c r="B273" s="48" t="str">
        <x:v>寸金大厦</x:v>
      </x:c>
      <x:c r="C273" s="48" t="str">
        <x:v>国贸</x:v>
      </x:c>
      <x:c r="D273" s="56" t="n">
        <x:v>7.2</x:v>
      </x:c>
      <x:c r="E273" s="61" t="n">
        <x:v>3500</x:v>
      </x:c>
      <x:c r="F273" s="61" t="n">
        <x:v>35</x:v>
      </x:c>
      <x:c r="G273" s="61" t="n">
        <x:v>100</x:v>
      </x:c>
      <x:c r="H273" s="48" t="str">
        <x:v>1室0厅0</x:v>
      </x:c>
      <x:c r="I273" s="48" t="str">
        <x:v>北</x:v>
      </x:c>
      <x:c r="J273" s="48" t="str">
        <x:v>普装</x:v>
      </x:c>
      <x:c r="K273" s="48" t="str">
        <x:v>公寓</x:v>
      </x:c>
      <x:c r="L273" s="48" t="str">
        <x:v>是</x:v>
      </x:c>
      <x:c r="M273" s="48" t="str">
        <x:v>保留</x:v>
      </x:c>
      <x:c r="N273" s="48" t="str">
        <x:v>寸金大厦|1室0厅0|35|3500|北</x:v>
      </x:c>
      <x:c r="O273" s="48"/>
      <x:c r="P273" s="48" t="str">
        <x:v>未知（未逐条补齐）</x:v>
      </x:c>
      <x:c r="Q273" s="48" t="str">
        <x:v>https://shenzhen.leyoujia.com/zf/detail/D1Fvs3wAJwWgm16Tmr1V8t.html</x:v>
      </x:c>
      <x:c r="R273" s="48" t="str">
        <x:v>2026-08-13</x:v>
      </x:c>
    </x:row>
    <x:row r="274">
      <x:c r="A274" s="48" t="str">
        <x:v>寸金大厦</x:v>
      </x:c>
      <x:c r="B274" s="48" t="str">
        <x:v>寸金大厦</x:v>
      </x:c>
      <x:c r="C274" s="48" t="str">
        <x:v>国贸</x:v>
      </x:c>
      <x:c r="D274" s="56" t="n">
        <x:v>7.2</x:v>
      </x:c>
      <x:c r="E274" s="61" t="n">
        <x:v>3500</x:v>
      </x:c>
      <x:c r="F274" s="61" t="n">
        <x:v>35</x:v>
      </x:c>
      <x:c r="G274" s="61" t="n">
        <x:v>100</x:v>
      </x:c>
      <x:c r="H274" s="48" t="str">
        <x:v>1室0厅1</x:v>
      </x:c>
      <x:c r="I274" s="48" t="str">
        <x:v>西</x:v>
      </x:c>
      <x:c r="J274" s="48" t="str">
        <x:v>普装</x:v>
      </x:c>
      <x:c r="K274" s="48" t="str">
        <x:v>公寓</x:v>
      </x:c>
      <x:c r="L274" s="48" t="str">
        <x:v>是</x:v>
      </x:c>
      <x:c r="M274" s="48" t="str">
        <x:v>保留</x:v>
      </x:c>
      <x:c r="N274" s="48" t="str">
        <x:v>寸金大厦|1室0厅1|35|3500|西</x:v>
      </x:c>
      <x:c r="O274" s="48"/>
      <x:c r="P274" s="48" t="str">
        <x:v>未知（未逐条补齐）</x:v>
      </x:c>
      <x:c r="Q274" s="48" t="str">
        <x:v>https://shenzhen.leyoujia.com/zf/detail/FWsYZfoKFpkVSTHhksjP8p.html</x:v>
      </x:c>
      <x:c r="R274" s="48" t="str">
        <x:v>2026-08-13</x:v>
      </x:c>
    </x:row>
    <x:row r="275">
      <x:c r="A275" s="48" t="str">
        <x:v>寸金大厦</x:v>
      </x:c>
      <x:c r="B275" s="48" t="str">
        <x:v>寸金大厦</x:v>
      </x:c>
      <x:c r="C275" s="48" t="str">
        <x:v>国贸</x:v>
      </x:c>
      <x:c r="D275" s="56" t="n">
        <x:v>7.2</x:v>
      </x:c>
      <x:c r="E275" s="61" t="n">
        <x:v>3500</x:v>
      </x:c>
      <x:c r="F275" s="61" t="n">
        <x:v>35</x:v>
      </x:c>
      <x:c r="G275" s="61" t="n">
        <x:v>100</x:v>
      </x:c>
      <x:c r="H275" s="48" t="str">
        <x:v>1室1厅1</x:v>
      </x:c>
      <x:c r="I275" s="48" t="str">
        <x:v>南</x:v>
      </x:c>
      <x:c r="J275" s="48" t="str">
        <x:v>精装</x:v>
      </x:c>
      <x:c r="K275" s="48" t="str">
        <x:v>公寓</x:v>
      </x:c>
      <x:c r="L275" s="48" t="str">
        <x:v>是</x:v>
      </x:c>
      <x:c r="M275" s="48" t="str">
        <x:v>保留</x:v>
      </x:c>
      <x:c r="N275" s="48" t="str">
        <x:v>寸金大厦|1室1厅1|35|3500|南</x:v>
      </x:c>
      <x:c r="O275" s="48"/>
      <x:c r="P275" s="48" t="str">
        <x:v>未知（未逐条补齐）</x:v>
      </x:c>
      <x:c r="Q275" s="48" t="str">
        <x:v>https://shenzhen.leyoujia.com/zf/detail/xCZLNvaCL6BCsjMSPys6i.html</x:v>
      </x:c>
      <x:c r="R275" s="48" t="str">
        <x:v>2026-08-13</x:v>
      </x:c>
    </x:row>
    <x:row r="276">
      <x:c r="A276" s="48" t="str">
        <x:v>寸金大厦</x:v>
      </x:c>
      <x:c r="B276" s="48" t="str">
        <x:v>寸金大厦</x:v>
      </x:c>
      <x:c r="C276" s="48" t="str">
        <x:v>国贸</x:v>
      </x:c>
      <x:c r="D276" s="56" t="n">
        <x:v>7.2</x:v>
      </x:c>
      <x:c r="E276" s="61" t="n">
        <x:v>3500</x:v>
      </x:c>
      <x:c r="F276" s="61" t="n">
        <x:v>35</x:v>
      </x:c>
      <x:c r="G276" s="61" t="n">
        <x:v>100</x:v>
      </x:c>
      <x:c r="H276" s="48" t="str">
        <x:v>1室0厅0</x:v>
      </x:c>
      <x:c r="I276" s="48" t="str">
        <x:v>西</x:v>
      </x:c>
      <x:c r="J276" s="48" t="str">
        <x:v>普装</x:v>
      </x:c>
      <x:c r="K276" s="48" t="str">
        <x:v>普通住宅</x:v>
      </x:c>
      <x:c r="L276" s="48" t="str">
        <x:v>是</x:v>
      </x:c>
      <x:c r="M276" s="48" t="str">
        <x:v>保留</x:v>
      </x:c>
      <x:c r="N276" s="48" t="str">
        <x:v>寸金大厦|1室0厅0|35|3500|西</x:v>
      </x:c>
      <x:c r="O276" s="48"/>
      <x:c r="P276" s="48" t="str">
        <x:v>未知（未逐条补齐）</x:v>
      </x:c>
      <x:c r="Q276" s="48" t="str">
        <x:v>https://shenzhen.leyoujia.com/zf/detail/V7JGfwjdNqsYCvZnRbv2Cq.html</x:v>
      </x:c>
      <x:c r="R276" s="48" t="str">
        <x:v>2026-08-13</x:v>
      </x:c>
    </x:row>
    <x:row r="277">
      <x:c r="A277" s="48" t="str">
        <x:v>寸金大厦</x:v>
      </x:c>
      <x:c r="B277" s="48" t="str">
        <x:v>寸金大厦</x:v>
      </x:c>
      <x:c r="C277" s="48" t="str">
        <x:v>国贸</x:v>
      </x:c>
      <x:c r="D277" s="56" t="n">
        <x:v>7.2</x:v>
      </x:c>
      <x:c r="E277" s="61" t="n">
        <x:v>3500</x:v>
      </x:c>
      <x:c r="F277" s="61" t="n">
        <x:v>30</x:v>
      </x:c>
      <x:c r="G277" s="61" t="n">
        <x:v>116.7</x:v>
      </x:c>
      <x:c r="H277" s="48" t="str">
        <x:v>1室0厅1</x:v>
      </x:c>
      <x:c r="I277" s="48" t="str">
        <x:v>南</x:v>
      </x:c>
      <x:c r="J277" s="48" t="str">
        <x:v>普装</x:v>
      </x:c>
      <x:c r="K277" s="48" t="str">
        <x:v>公寓</x:v>
      </x:c>
      <x:c r="L277" s="48" t="str">
        <x:v>是</x:v>
      </x:c>
      <x:c r="M277" s="48" t="str">
        <x:v>保留</x:v>
      </x:c>
      <x:c r="N277" s="48" t="str">
        <x:v>寸金大厦|1室0厅1|30|3500|南</x:v>
      </x:c>
      <x:c r="O277" s="48"/>
      <x:c r="P277" s="48" t="str">
        <x:v>未知（未逐条补齐）</x:v>
      </x:c>
      <x:c r="Q277" s="48" t="str">
        <x:v>https://shenzhen.leyoujia.com/zf/detail/HYZEvzTjy8DCd21DQfBibE.html</x:v>
      </x:c>
      <x:c r="R277" s="48" t="str">
        <x:v>2026-08-13</x:v>
      </x:c>
    </x:row>
    <x:row r="278">
      <x:c r="A278" s="48" t="str">
        <x:v>寸金大厦</x:v>
      </x:c>
      <x:c r="B278" s="48" t="str">
        <x:v>寸金大厦</x:v>
      </x:c>
      <x:c r="C278" s="48" t="str">
        <x:v>国贸</x:v>
      </x:c>
      <x:c r="D278" s="56" t="n">
        <x:v>7.2</x:v>
      </x:c>
      <x:c r="E278" s="61" t="n">
        <x:v>3580</x:v>
      </x:c>
      <x:c r="F278" s="61" t="n">
        <x:v>25</x:v>
      </x:c>
      <x:c r="G278" s="61" t="n">
        <x:v>143.2</x:v>
      </x:c>
      <x:c r="H278" s="48" t="str">
        <x:v>1室0厅1</x:v>
      </x:c>
      <x:c r="I278" s="48" t="str">
        <x:v>南</x:v>
      </x:c>
      <x:c r="J278" s="48" t="str">
        <x:v>精装</x:v>
      </x:c>
      <x:c r="K278" s="48" t="str">
        <x:v>公寓</x:v>
      </x:c>
      <x:c r="L278" s="48" t="str">
        <x:v>是</x:v>
      </x:c>
      <x:c r="M278" s="48" t="str">
        <x:v>保留</x:v>
      </x:c>
      <x:c r="N278" s="48" t="str">
        <x:v>寸金大厦|1室0厅1|25|3580|南</x:v>
      </x:c>
      <x:c r="O278" s="48"/>
      <x:c r="P278" s="48" t="str">
        <x:v>未知（未逐条补齐）</x:v>
      </x:c>
      <x:c r="Q278" s="48" t="str">
        <x:v>https://shenzhen.leyoujia.com/zf/detail/3TKeLA7X9x4YTSA44zeXfR.html</x:v>
      </x:c>
      <x:c r="R278" s="48" t="str">
        <x:v>2026-08-13</x:v>
      </x:c>
    </x:row>
    <x:row r="279">
      <x:c r="A279" s="48" t="str">
        <x:v>寸金大厦</x:v>
      </x:c>
      <x:c r="B279" s="48" t="str">
        <x:v>寸金大厦</x:v>
      </x:c>
      <x:c r="C279" s="48" t="str">
        <x:v>国贸</x:v>
      </x:c>
      <x:c r="D279" s="56" t="n">
        <x:v>7.2</x:v>
      </x:c>
      <x:c r="E279" s="61" t="n">
        <x:v>3580</x:v>
      </x:c>
      <x:c r="F279" s="61" t="n">
        <x:v>25</x:v>
      </x:c>
      <x:c r="G279" s="61" t="n">
        <x:v>143.2</x:v>
      </x:c>
      <x:c r="H279" s="48" t="str">
        <x:v>1室0厅1</x:v>
      </x:c>
      <x:c r="I279" s="48" t="str">
        <x:v>南</x:v>
      </x:c>
      <x:c r="J279" s="48" t="str">
        <x:v>精装</x:v>
      </x:c>
      <x:c r="K279" s="48" t="str">
        <x:v>公寓</x:v>
      </x:c>
      <x:c r="L279" s="48" t="str">
        <x:v>否</x:v>
      </x:c>
      <x:c r="M279" s="48" t="str">
        <x:v>疑似重复挂牌</x:v>
      </x:c>
      <x:c r="N279" s="48" t="str">
        <x:v>寸金大厦|1室0厅1|25|3580|南</x:v>
      </x:c>
      <x:c r="O279" s="48"/>
      <x:c r="P279" s="48" t="str">
        <x:v>未知（未逐条补齐）</x:v>
      </x:c>
      <x:c r="Q279" s="48" t="str">
        <x:v>https://shenzhen.leyoujia.com/zf/detail/Tiox3JpCn5F28dVzXGtUdG.html</x:v>
      </x:c>
      <x:c r="R279" s="48" t="str">
        <x:v>2026-08-13</x:v>
      </x:c>
    </x:row>
    <x:row r="280">
      <x:c r="A280" s="48" t="str">
        <x:v>寸金大厦</x:v>
      </x:c>
      <x:c r="B280" s="48" t="str">
        <x:v>寸金大厦</x:v>
      </x:c>
      <x:c r="C280" s="48" t="str">
        <x:v>国贸</x:v>
      </x:c>
      <x:c r="D280" s="56" t="n">
        <x:v>7.2</x:v>
      </x:c>
      <x:c r="E280" s="61" t="n">
        <x:v>3580</x:v>
      </x:c>
      <x:c r="F280" s="61" t="n">
        <x:v>38</x:v>
      </x:c>
      <x:c r="G280" s="61" t="n">
        <x:v>94.2</x:v>
      </x:c>
      <x:c r="H280" s="48" t="str">
        <x:v>1室0厅1</x:v>
      </x:c>
      <x:c r="I280" s="48" t="str">
        <x:v>西南</x:v>
      </x:c>
      <x:c r="J280" s="48" t="str">
        <x:v>普装</x:v>
      </x:c>
      <x:c r="K280" s="48" t="str">
        <x:v>公寓</x:v>
      </x:c>
      <x:c r="L280" s="48" t="str">
        <x:v>是</x:v>
      </x:c>
      <x:c r="M280" s="48" t="str">
        <x:v>保留</x:v>
      </x:c>
      <x:c r="N280" s="48" t="str">
        <x:v>寸金大厦|1室0厅1|38|3580|西南</x:v>
      </x:c>
      <x:c r="O280" s="48"/>
      <x:c r="P280" s="48" t="str">
        <x:v>未知（未逐条补齐）</x:v>
      </x:c>
      <x:c r="Q280" s="48" t="str">
        <x:v>https://shenzhen.leyoujia.com/zf/detail/5gCzF3cLyPDQwgcMhZa2Xe.html</x:v>
      </x:c>
      <x:c r="R280" s="48" t="str">
        <x:v>2026-08-13</x:v>
      </x:c>
    </x:row>
    <x:row r="281">
      <x:c r="A281" s="48" t="str">
        <x:v>寸金大厦</x:v>
      </x:c>
      <x:c r="B281" s="48" t="str">
        <x:v>寸金大厦</x:v>
      </x:c>
      <x:c r="C281" s="48" t="str">
        <x:v>国贸</x:v>
      </x:c>
      <x:c r="D281" s="56" t="n">
        <x:v>7.2</x:v>
      </x:c>
      <x:c r="E281" s="61" t="n">
        <x:v>3580</x:v>
      </x:c>
      <x:c r="F281" s="61" t="n">
        <x:v>28</x:v>
      </x:c>
      <x:c r="G281" s="61" t="n">
        <x:v>127.9</x:v>
      </x:c>
      <x:c r="H281" s="48" t="str">
        <x:v>1室0厅1</x:v>
      </x:c>
      <x:c r="I281" s="48" t="str">
        <x:v>南</x:v>
      </x:c>
      <x:c r="J281" s="48" t="str">
        <x:v>精装</x:v>
      </x:c>
      <x:c r="K281" s="48" t="str">
        <x:v>公寓</x:v>
      </x:c>
      <x:c r="L281" s="48" t="str">
        <x:v>是</x:v>
      </x:c>
      <x:c r="M281" s="48" t="str">
        <x:v>保留</x:v>
      </x:c>
      <x:c r="N281" s="48" t="str">
        <x:v>寸金大厦|1室0厅1|28|3580|南</x:v>
      </x:c>
      <x:c r="O281" s="48"/>
      <x:c r="P281" s="48" t="str">
        <x:v>未知（未逐条补齐）</x:v>
      </x:c>
      <x:c r="Q281" s="48" t="str">
        <x:v>https://shenzhen.leyoujia.com/zf/detail/WwEAbQz9VtpmRNReRmDUX4.html</x:v>
      </x:c>
      <x:c r="R281" s="48" t="str">
        <x:v>2026-08-13</x:v>
      </x:c>
    </x:row>
    <x:row r="282">
      <x:c r="A282" s="48" t="str">
        <x:v>寸金大厦</x:v>
      </x:c>
      <x:c r="B282" s="48" t="str">
        <x:v>寸金大厦</x:v>
      </x:c>
      <x:c r="C282" s="48" t="str">
        <x:v>国贸</x:v>
      </x:c>
      <x:c r="D282" s="56" t="n">
        <x:v>7.2</x:v>
      </x:c>
      <x:c r="E282" s="61" t="n">
        <x:v>3580</x:v>
      </x:c>
      <x:c r="F282" s="61" t="n">
        <x:v>35</x:v>
      </x:c>
      <x:c r="G282" s="61" t="n">
        <x:v>102.3</x:v>
      </x:c>
      <x:c r="H282" s="48" t="str">
        <x:v>1室0厅1</x:v>
      </x:c>
      <x:c r="I282" s="48" t="str">
        <x:v>南</x:v>
      </x:c>
      <x:c r="J282" s="48" t="str">
        <x:v>普装</x:v>
      </x:c>
      <x:c r="K282" s="48" t="str">
        <x:v>公寓</x:v>
      </x:c>
      <x:c r="L282" s="48" t="str">
        <x:v>是</x:v>
      </x:c>
      <x:c r="M282" s="48" t="str">
        <x:v>保留</x:v>
      </x:c>
      <x:c r="N282" s="48" t="str">
        <x:v>寸金大厦|1室0厅1|35|3580|南</x:v>
      </x:c>
      <x:c r="O282" s="48"/>
      <x:c r="P282" s="48" t="str">
        <x:v>未知（未逐条补齐）</x:v>
      </x:c>
      <x:c r="Q282" s="48" t="str">
        <x:v>https://shenzhen.leyoujia.com/zf/detail/AWK2H8pJburiHqoVhfWCRp.html</x:v>
      </x:c>
      <x:c r="R282" s="48" t="str">
        <x:v>2026-08-13</x:v>
      </x:c>
    </x:row>
    <x:row r="283">
      <x:c r="A283" s="48" t="str">
        <x:v>寸金大厦</x:v>
      </x:c>
      <x:c r="B283" s="48" t="str">
        <x:v>寸金大厦</x:v>
      </x:c>
      <x:c r="C283" s="48" t="str">
        <x:v>国贸</x:v>
      </x:c>
      <x:c r="D283" s="56" t="n">
        <x:v>7.2</x:v>
      </x:c>
      <x:c r="E283" s="61" t="n">
        <x:v>3580</x:v>
      </x:c>
      <x:c r="F283" s="61" t="n">
        <x:v>28</x:v>
      </x:c>
      <x:c r="G283" s="61" t="n">
        <x:v>127.9</x:v>
      </x:c>
      <x:c r="H283" s="48" t="str">
        <x:v>1室0厅1</x:v>
      </x:c>
      <x:c r="I283" s="48" t="str">
        <x:v>东南</x:v>
      </x:c>
      <x:c r="J283" s="48" t="str">
        <x:v>普装</x:v>
      </x:c>
      <x:c r="K283" s="48" t="str">
        <x:v>公寓</x:v>
      </x:c>
      <x:c r="L283" s="48" t="str">
        <x:v>是</x:v>
      </x:c>
      <x:c r="M283" s="48" t="str">
        <x:v>保留</x:v>
      </x:c>
      <x:c r="N283" s="48" t="str">
        <x:v>寸金大厦|1室0厅1|28|3580|东南</x:v>
      </x:c>
      <x:c r="O283" s="48"/>
      <x:c r="P283" s="48" t="str">
        <x:v>未知（未逐条补齐）</x:v>
      </x:c>
      <x:c r="Q283" s="48" t="str">
        <x:v>https://shenzhen.leyoujia.com/zf/detail/6kVDo4NDCXnDo5A7auEmWf.html</x:v>
      </x:c>
      <x:c r="R283" s="48" t="str">
        <x:v>2026-08-13</x:v>
      </x:c>
    </x:row>
    <x:row r="284">
      <x:c r="A284" s="48" t="str">
        <x:v>寸金大厦</x:v>
      </x:c>
      <x:c r="B284" s="48" t="str">
        <x:v>寸金大厦</x:v>
      </x:c>
      <x:c r="C284" s="48" t="str">
        <x:v>国贸</x:v>
      </x:c>
      <x:c r="D284" s="56" t="n">
        <x:v>7.2</x:v>
      </x:c>
      <x:c r="E284" s="61" t="n">
        <x:v>3580</x:v>
      </x:c>
      <x:c r="F284" s="61" t="n">
        <x:v>25</x:v>
      </x:c>
      <x:c r="G284" s="61" t="n">
        <x:v>143.2</x:v>
      </x:c>
      <x:c r="H284" s="48" t="str">
        <x:v>1室0厅1</x:v>
      </x:c>
      <x:c r="I284" s="48" t="str">
        <x:v>东</x:v>
      </x:c>
      <x:c r="J284" s="48" t="str">
        <x:v>普装</x:v>
      </x:c>
      <x:c r="K284" s="48" t="str">
        <x:v>普通住宅</x:v>
      </x:c>
      <x:c r="L284" s="48" t="str">
        <x:v>是</x:v>
      </x:c>
      <x:c r="M284" s="48" t="str">
        <x:v>保留</x:v>
      </x:c>
      <x:c r="N284" s="48" t="str">
        <x:v>寸金大厦|1室0厅1|25|3580|东</x:v>
      </x:c>
      <x:c r="O284" s="48"/>
      <x:c r="P284" s="48" t="str">
        <x:v>未知（未逐条补齐）</x:v>
      </x:c>
      <x:c r="Q284" s="48" t="str">
        <x:v>https://shenzhen.leyoujia.com/zf/detail/A4AKH7U9gtcbNCWFLU3PNw.html</x:v>
      </x:c>
      <x:c r="R284" s="48" t="str">
        <x:v>2026-08-13</x:v>
      </x:c>
    </x:row>
    <x:row r="285">
      <x:c r="A285" s="48" t="str">
        <x:v>寸金大厦</x:v>
      </x:c>
      <x:c r="B285" s="48" t="str">
        <x:v>寸金大厦</x:v>
      </x:c>
      <x:c r="C285" s="48" t="str">
        <x:v>国贸</x:v>
      </x:c>
      <x:c r="D285" s="56" t="n">
        <x:v>7.2</x:v>
      </x:c>
      <x:c r="E285" s="61" t="n">
        <x:v>3680</x:v>
      </x:c>
      <x:c r="F285" s="61" t="n">
        <x:v>25</x:v>
      </x:c>
      <x:c r="G285" s="61" t="n">
        <x:v>147.2</x:v>
      </x:c>
      <x:c r="H285" s="48" t="str">
        <x:v>1室0厅1</x:v>
      </x:c>
      <x:c r="I285" s="48" t="str">
        <x:v>南</x:v>
      </x:c>
      <x:c r="J285" s="48" t="str">
        <x:v>精装</x:v>
      </x:c>
      <x:c r="K285" s="48" t="str">
        <x:v>公寓</x:v>
      </x:c>
      <x:c r="L285" s="48" t="str">
        <x:v>是</x:v>
      </x:c>
      <x:c r="M285" s="48" t="str">
        <x:v>保留</x:v>
      </x:c>
      <x:c r="N285" s="48" t="str">
        <x:v>寸金大厦|1室0厅1|25|3680|南</x:v>
      </x:c>
      <x:c r="O285" s="48"/>
      <x:c r="P285" s="48" t="str">
        <x:v>未知（未逐条补齐）</x:v>
      </x:c>
      <x:c r="Q285" s="48" t="str">
        <x:v>https://shenzhen.leyoujia.com/zf/detail/746bjEPyZt8ExsrxyWKb3C.html</x:v>
      </x:c>
      <x:c r="R285" s="48" t="str">
        <x:v>2026-08-13</x:v>
      </x:c>
    </x:row>
    <x:row r="286">
      <x:c r="A286" s="48" t="str">
        <x:v>寸金大厦</x:v>
      </x:c>
      <x:c r="B286" s="48" t="str">
        <x:v>寸金大厦</x:v>
      </x:c>
      <x:c r="C286" s="48" t="str">
        <x:v>国贸</x:v>
      </x:c>
      <x:c r="D286" s="56" t="n">
        <x:v>7.2</x:v>
      </x:c>
      <x:c r="E286" s="61" t="n">
        <x:v>3680</x:v>
      </x:c>
      <x:c r="F286" s="61" t="n">
        <x:v>28</x:v>
      </x:c>
      <x:c r="G286" s="61" t="n">
        <x:v>131.4</x:v>
      </x:c>
      <x:c r="H286" s="48" t="str">
        <x:v>1室0厅1</x:v>
      </x:c>
      <x:c r="I286" s="48" t="str">
        <x:v>南</x:v>
      </x:c>
      <x:c r="J286" s="48" t="str">
        <x:v>普装</x:v>
      </x:c>
      <x:c r="K286" s="48" t="str">
        <x:v>公寓</x:v>
      </x:c>
      <x:c r="L286" s="48" t="str">
        <x:v>是</x:v>
      </x:c>
      <x:c r="M286" s="48" t="str">
        <x:v>保留</x:v>
      </x:c>
      <x:c r="N286" s="48" t="str">
        <x:v>寸金大厦|1室0厅1|28|3680|南</x:v>
      </x:c>
      <x:c r="O286" s="48"/>
      <x:c r="P286" s="48" t="str">
        <x:v>未知（未逐条补齐）</x:v>
      </x:c>
      <x:c r="Q286" s="48" t="str">
        <x:v>https://shenzhen.leyoujia.com/zf/detail/TUEPqGLrmQoEBCCzLA7EGF.html</x:v>
      </x:c>
      <x:c r="R286" s="48" t="str">
        <x:v>2026-08-13</x:v>
      </x:c>
    </x:row>
    <x:row r="287">
      <x:c r="A287" s="48" t="str">
        <x:v>寸金大厦</x:v>
      </x:c>
      <x:c r="B287" s="48" t="str">
        <x:v>寸金大厦</x:v>
      </x:c>
      <x:c r="C287" s="48" t="str">
        <x:v>国贸</x:v>
      </x:c>
      <x:c r="D287" s="56" t="n">
        <x:v>7.2</x:v>
      </x:c>
      <x:c r="E287" s="61" t="n">
        <x:v>3680</x:v>
      </x:c>
      <x:c r="F287" s="61" t="n">
        <x:v>28</x:v>
      </x:c>
      <x:c r="G287" s="61" t="n">
        <x:v>131.4</x:v>
      </x:c>
      <x:c r="H287" s="48" t="str">
        <x:v>1室0厅1</x:v>
      </x:c>
      <x:c r="I287" s="48" t="str">
        <x:v>北</x:v>
      </x:c>
      <x:c r="J287" s="48" t="str">
        <x:v>普装</x:v>
      </x:c>
      <x:c r="K287" s="48" t="str">
        <x:v>公寓</x:v>
      </x:c>
      <x:c r="L287" s="48" t="str">
        <x:v>是</x:v>
      </x:c>
      <x:c r="M287" s="48" t="str">
        <x:v>保留</x:v>
      </x:c>
      <x:c r="N287" s="48" t="str">
        <x:v>寸金大厦|1室0厅1|28|3680|北</x:v>
      </x:c>
      <x:c r="O287" s="48"/>
      <x:c r="P287" s="48" t="str">
        <x:v>未知（未逐条补齐）</x:v>
      </x:c>
      <x:c r="Q287" s="48" t="str">
        <x:v>https://shenzhen.leyoujia.com/zf/detail/8xZ4xsX7Z67R5BxiDCXS6d.html</x:v>
      </x:c>
      <x:c r="R287" s="48" t="str">
        <x:v>2026-08-13</x:v>
      </x:c>
    </x:row>
    <x:row r="288">
      <x:c r="A288" s="48" t="str">
        <x:v>寸金大厦</x:v>
      </x:c>
      <x:c r="B288" s="48" t="str">
        <x:v>寸金大厦</x:v>
      </x:c>
      <x:c r="C288" s="48" t="str">
        <x:v>国贸</x:v>
      </x:c>
      <x:c r="D288" s="56" t="n">
        <x:v>7.2</x:v>
      </x:c>
      <x:c r="E288" s="61" t="n">
        <x:v>3680</x:v>
      </x:c>
      <x:c r="F288" s="61" t="n">
        <x:v>25</x:v>
      </x:c>
      <x:c r="G288" s="61" t="n">
        <x:v>147.2</x:v>
      </x:c>
      <x:c r="H288" s="48" t="str">
        <x:v>1室0厅1</x:v>
      </x:c>
      <x:c r="I288" s="48" t="str">
        <x:v>西</x:v>
      </x:c>
      <x:c r="J288" s="48" t="str">
        <x:v>精装</x:v>
      </x:c>
      <x:c r="K288" s="48" t="str">
        <x:v>公寓</x:v>
      </x:c>
      <x:c r="L288" s="48" t="str">
        <x:v>是</x:v>
      </x:c>
      <x:c r="M288" s="48" t="str">
        <x:v>保留</x:v>
      </x:c>
      <x:c r="N288" s="48" t="str">
        <x:v>寸金大厦|1室0厅1|25|3680|西</x:v>
      </x:c>
      <x:c r="O288" s="48"/>
      <x:c r="P288" s="48" t="str">
        <x:v>未知（未逐条补齐）</x:v>
      </x:c>
      <x:c r="Q288" s="48" t="str">
        <x:v>https://shenzhen.leyoujia.com/zf/detail/84gfqtvHKVUv3T9FjwQhwY.html</x:v>
      </x:c>
      <x:c r="R288" s="48" t="str">
        <x:v>2026-08-13</x:v>
      </x:c>
    </x:row>
    <x:row r="289">
      <x:c r="A289" s="48" t="str">
        <x:v>寸金大厦</x:v>
      </x:c>
      <x:c r="B289" s="48" t="str">
        <x:v>寸金大厦</x:v>
      </x:c>
      <x:c r="C289" s="48" t="str">
        <x:v>国贸</x:v>
      </x:c>
      <x:c r="D289" s="56" t="n">
        <x:v>7.2</x:v>
      </x:c>
      <x:c r="E289" s="61" t="n">
        <x:v>3680</x:v>
      </x:c>
      <x:c r="F289" s="61" t="n">
        <x:v>25</x:v>
      </x:c>
      <x:c r="G289" s="61" t="n">
        <x:v>147.2</x:v>
      </x:c>
      <x:c r="H289" s="48" t="str">
        <x:v>1室0厅1</x:v>
      </x:c>
      <x:c r="I289" s="48" t="str">
        <x:v>南</x:v>
      </x:c>
      <x:c r="J289" s="48" t="str">
        <x:v>精装</x:v>
      </x:c>
      <x:c r="K289" s="48" t="str">
        <x:v>公寓</x:v>
      </x:c>
      <x:c r="L289" s="48" t="str">
        <x:v>否</x:v>
      </x:c>
      <x:c r="M289" s="48" t="str">
        <x:v>疑似重复挂牌</x:v>
      </x:c>
      <x:c r="N289" s="48" t="str">
        <x:v>寸金大厦|1室0厅1|25|3680|南</x:v>
      </x:c>
      <x:c r="O289" s="48"/>
      <x:c r="P289" s="48" t="str">
        <x:v>未知（未逐条补齐）</x:v>
      </x:c>
      <x:c r="Q289" s="48" t="str">
        <x:v>https://shenzhen.leyoujia.com/zf/detail/A7GXJSwrmtiZaCYwUjdisb.html</x:v>
      </x:c>
      <x:c r="R289" s="48" t="str">
        <x:v>2026-08-13</x:v>
      </x:c>
    </x:row>
    <x:row r="290">
      <x:c r="A290" s="48" t="str">
        <x:v>寸金大厦</x:v>
      </x:c>
      <x:c r="B290" s="48" t="str">
        <x:v>寸金大厦</x:v>
      </x:c>
      <x:c r="C290" s="48" t="str">
        <x:v>国贸</x:v>
      </x:c>
      <x:c r="D290" s="56" t="n">
        <x:v>7.2</x:v>
      </x:c>
      <x:c r="E290" s="61" t="n">
        <x:v>3680</x:v>
      </x:c>
      <x:c r="F290" s="61" t="n">
        <x:v>38</x:v>
      </x:c>
      <x:c r="G290" s="61" t="n">
        <x:v>96.8</x:v>
      </x:c>
      <x:c r="H290" s="48" t="str">
        <x:v>1室0厅1</x:v>
      </x:c>
      <x:c r="I290" s="48" t="str">
        <x:v>西南</x:v>
      </x:c>
      <x:c r="J290" s="48" t="str">
        <x:v>普装</x:v>
      </x:c>
      <x:c r="K290" s="48" t="str">
        <x:v>公寓</x:v>
      </x:c>
      <x:c r="L290" s="48" t="str">
        <x:v>是</x:v>
      </x:c>
      <x:c r="M290" s="48" t="str">
        <x:v>保留</x:v>
      </x:c>
      <x:c r="N290" s="48" t="str">
        <x:v>寸金大厦|1室0厅1|38|3680|西南</x:v>
      </x:c>
      <x:c r="O290" s="48"/>
      <x:c r="P290" s="48" t="str">
        <x:v>未知（未逐条补齐）</x:v>
      </x:c>
      <x:c r="Q290" s="48" t="str">
        <x:v>https://shenzhen.leyoujia.com/zf/detail/A44oBS2Pvi1XubRBcKJiYt.html</x:v>
      </x:c>
      <x:c r="R290" s="48" t="str">
        <x:v>2026-08-13</x:v>
      </x:c>
    </x:row>
    <x:row r="291">
      <x:c r="A291" s="48" t="str">
        <x:v>寸金大厦</x:v>
      </x:c>
      <x:c r="B291" s="48" t="str">
        <x:v>寸金大厦</x:v>
      </x:c>
      <x:c r="C291" s="48" t="str">
        <x:v>国贸</x:v>
      </x:c>
      <x:c r="D291" s="56" t="n">
        <x:v>7.2</x:v>
      </x:c>
      <x:c r="E291" s="61" t="n">
        <x:v>3680</x:v>
      </x:c>
      <x:c r="F291" s="61" t="n">
        <x:v>38</x:v>
      </x:c>
      <x:c r="G291" s="61" t="n">
        <x:v>96.8</x:v>
      </x:c>
      <x:c r="H291" s="48" t="str">
        <x:v>1室0厅1</x:v>
      </x:c>
      <x:c r="I291" s="48" t="str">
        <x:v>西南</x:v>
      </x:c>
      <x:c r="J291" s="48" t="str">
        <x:v>普装</x:v>
      </x:c>
      <x:c r="K291" s="48" t="str">
        <x:v>公寓</x:v>
      </x:c>
      <x:c r="L291" s="48" t="str">
        <x:v>否</x:v>
      </x:c>
      <x:c r="M291" s="48" t="str">
        <x:v>疑似重复挂牌</x:v>
      </x:c>
      <x:c r="N291" s="48" t="str">
        <x:v>寸金大厦|1室0厅1|38|3680|西南</x:v>
      </x:c>
      <x:c r="O291" s="48"/>
      <x:c r="P291" s="48" t="str">
        <x:v>未知（未逐条补齐）</x:v>
      </x:c>
      <x:c r="Q291" s="48" t="str">
        <x:v>https://shenzhen.leyoujia.com/zf/detail/ETToLx9JyjvU4gYWyW3nKj.html</x:v>
      </x:c>
      <x:c r="R291" s="48" t="str">
        <x:v>2026-08-13</x:v>
      </x:c>
    </x:row>
    <x:row r="292">
      <x:c r="A292" s="48" t="str">
        <x:v>寸金大厦</x:v>
      </x:c>
      <x:c r="B292" s="48" t="str">
        <x:v>寸金大厦</x:v>
      </x:c>
      <x:c r="C292" s="48" t="str">
        <x:v>国贸</x:v>
      </x:c>
      <x:c r="D292" s="56" t="n">
        <x:v>7.2</x:v>
      </x:c>
      <x:c r="E292" s="61" t="n">
        <x:v>3680</x:v>
      </x:c>
      <x:c r="F292" s="61" t="n">
        <x:v>28</x:v>
      </x:c>
      <x:c r="G292" s="61" t="n">
        <x:v>131.4</x:v>
      </x:c>
      <x:c r="H292" s="48" t="str">
        <x:v>1室0厅1</x:v>
      </x:c>
      <x:c r="I292" s="48" t="str">
        <x:v>南</x:v>
      </x:c>
      <x:c r="J292" s="48" t="str">
        <x:v>普装</x:v>
      </x:c>
      <x:c r="K292" s="48" t="str">
        <x:v>公寓</x:v>
      </x:c>
      <x:c r="L292" s="48" t="str">
        <x:v>否</x:v>
      </x:c>
      <x:c r="M292" s="48" t="str">
        <x:v>疑似重复挂牌</x:v>
      </x:c>
      <x:c r="N292" s="48" t="str">
        <x:v>寸金大厦|1室0厅1|28|3680|南</x:v>
      </x:c>
      <x:c r="O292" s="48"/>
      <x:c r="P292" s="48" t="str">
        <x:v>未知（未逐条补齐）</x:v>
      </x:c>
      <x:c r="Q292" s="48" t="str">
        <x:v>https://shenzhen.leyoujia.com/zf/detail/5iFjNrwzhUg3GJCPWj6AzS.html</x:v>
      </x:c>
      <x:c r="R292" s="48" t="str">
        <x:v>2026-08-13</x:v>
      </x:c>
    </x:row>
    <x:row r="293">
      <x:c r="A293" s="48" t="str">
        <x:v>寸金大厦</x:v>
      </x:c>
      <x:c r="B293" s="48" t="str">
        <x:v>寸金大厦</x:v>
      </x:c>
      <x:c r="C293" s="48" t="str">
        <x:v>国贸</x:v>
      </x:c>
      <x:c r="D293" s="56" t="n">
        <x:v>7.2</x:v>
      </x:c>
      <x:c r="E293" s="61" t="n">
        <x:v>3680</x:v>
      </x:c>
      <x:c r="F293" s="61" t="n">
        <x:v>28</x:v>
      </x:c>
      <x:c r="G293" s="61" t="n">
        <x:v>131.4</x:v>
      </x:c>
      <x:c r="H293" s="48" t="str">
        <x:v>1室0厅1</x:v>
      </x:c>
      <x:c r="I293" s="48" t="str">
        <x:v>南</x:v>
      </x:c>
      <x:c r="J293" s="48" t="str">
        <x:v>普装</x:v>
      </x:c>
      <x:c r="K293" s="48" t="str">
        <x:v>公寓</x:v>
      </x:c>
      <x:c r="L293" s="48" t="str">
        <x:v>否</x:v>
      </x:c>
      <x:c r="M293" s="48" t="str">
        <x:v>疑似重复挂牌</x:v>
      </x:c>
      <x:c r="N293" s="48" t="str">
        <x:v>寸金大厦|1室0厅1|28|3680|南</x:v>
      </x:c>
      <x:c r="O293" s="48"/>
      <x:c r="P293" s="48" t="str">
        <x:v>未知（未逐条补齐）</x:v>
      </x:c>
      <x:c r="Q293" s="48" t="str">
        <x:v>https://shenzhen.leyoujia.com/zf/detail/7aDav5axrxa8ReKnYcbQst.html</x:v>
      </x:c>
      <x:c r="R293" s="48" t="str">
        <x:v>2026-08-13</x:v>
      </x:c>
    </x:row>
    <x:row r="294">
      <x:c r="A294" s="48" t="str">
        <x:v>寸金大厦</x:v>
      </x:c>
      <x:c r="B294" s="48" t="str">
        <x:v>寸金大厦</x:v>
      </x:c>
      <x:c r="C294" s="48" t="str">
        <x:v>国贸</x:v>
      </x:c>
      <x:c r="D294" s="56" t="n">
        <x:v>7.2</x:v>
      </x:c>
      <x:c r="E294" s="61" t="n">
        <x:v>3680</x:v>
      </x:c>
      <x:c r="F294" s="61" t="n">
        <x:v>25</x:v>
      </x:c>
      <x:c r="G294" s="61" t="n">
        <x:v>147.2</x:v>
      </x:c>
      <x:c r="H294" s="48" t="str">
        <x:v>1室0厅1</x:v>
      </x:c>
      <x:c r="I294" s="48" t="str">
        <x:v>南</x:v>
      </x:c>
      <x:c r="J294" s="48" t="str">
        <x:v>精装</x:v>
      </x:c>
      <x:c r="K294" s="48" t="str">
        <x:v>公寓</x:v>
      </x:c>
      <x:c r="L294" s="48" t="str">
        <x:v>否</x:v>
      </x:c>
      <x:c r="M294" s="48" t="str">
        <x:v>疑似重复挂牌</x:v>
      </x:c>
      <x:c r="N294" s="48" t="str">
        <x:v>寸金大厦|1室0厅1|25|3680|南</x:v>
      </x:c>
      <x:c r="O294" s="48"/>
      <x:c r="P294" s="48" t="str">
        <x:v>未知（未逐条补齐）</x:v>
      </x:c>
      <x:c r="Q294" s="48" t="str">
        <x:v>https://shenzhen.leyoujia.com/zf/detail/GphhUEWe8sPuTrDVRyend7.html</x:v>
      </x:c>
      <x:c r="R294" s="48" t="str">
        <x:v>2026-08-13</x:v>
      </x:c>
    </x:row>
    <x:row r="295">
      <x:c r="A295" s="48" t="str">
        <x:v>寸金大厦</x:v>
      </x:c>
      <x:c r="B295" s="48" t="str">
        <x:v>寸金大厦</x:v>
      </x:c>
      <x:c r="C295" s="48" t="str">
        <x:v>国贸</x:v>
      </x:c>
      <x:c r="D295" s="56" t="n">
        <x:v>7.2</x:v>
      </x:c>
      <x:c r="E295" s="61" t="n">
        <x:v>3680</x:v>
      </x:c>
      <x:c r="F295" s="61" t="n">
        <x:v>25</x:v>
      </x:c>
      <x:c r="G295" s="61" t="n">
        <x:v>147.2</x:v>
      </x:c>
      <x:c r="H295" s="48" t="str">
        <x:v>1室0厅1</x:v>
      </x:c>
      <x:c r="I295" s="48" t="str">
        <x:v>南</x:v>
      </x:c>
      <x:c r="J295" s="48" t="str">
        <x:v>精装</x:v>
      </x:c>
      <x:c r="K295" s="48" t="str">
        <x:v>公寓</x:v>
      </x:c>
      <x:c r="L295" s="48" t="str">
        <x:v>否</x:v>
      </x:c>
      <x:c r="M295" s="48" t="str">
        <x:v>疑似重复挂牌</x:v>
      </x:c>
      <x:c r="N295" s="48" t="str">
        <x:v>寸金大厦|1室0厅1|25|3680|南</x:v>
      </x:c>
      <x:c r="O295" s="48"/>
      <x:c r="P295" s="48" t="str">
        <x:v>未知（未逐条补齐）</x:v>
      </x:c>
      <x:c r="Q295" s="48" t="str">
        <x:v>https://shenzhen.leyoujia.com/zf/detail/TcBGiWdVpMynnAo7z9sfPV.html</x:v>
      </x:c>
      <x:c r="R295" s="48" t="str">
        <x:v>2026-08-13</x:v>
      </x:c>
    </x:row>
    <x:row r="296">
      <x:c r="A296" s="48" t="str">
        <x:v>寸金大厦</x:v>
      </x:c>
      <x:c r="B296" s="48" t="str">
        <x:v>寸金大厦</x:v>
      </x:c>
      <x:c r="C296" s="48" t="str">
        <x:v>国贸</x:v>
      </x:c>
      <x:c r="D296" s="56" t="n">
        <x:v>7.2</x:v>
      </x:c>
      <x:c r="E296" s="61" t="n">
        <x:v>3680</x:v>
      </x:c>
      <x:c r="F296" s="61" t="n">
        <x:v>28</x:v>
      </x:c>
      <x:c r="G296" s="61" t="n">
        <x:v>131.4</x:v>
      </x:c>
      <x:c r="H296" s="48" t="str">
        <x:v>1室0厅1</x:v>
      </x:c>
      <x:c r="I296" s="48" t="str">
        <x:v>南</x:v>
      </x:c>
      <x:c r="J296" s="48" t="str">
        <x:v>普装</x:v>
      </x:c>
      <x:c r="K296" s="48" t="str">
        <x:v>公寓</x:v>
      </x:c>
      <x:c r="L296" s="48" t="str">
        <x:v>否</x:v>
      </x:c>
      <x:c r="M296" s="48" t="str">
        <x:v>疑似重复挂牌</x:v>
      </x:c>
      <x:c r="N296" s="48" t="str">
        <x:v>寸金大厦|1室0厅1|28|3680|南</x:v>
      </x:c>
      <x:c r="O296" s="48"/>
      <x:c r="P296" s="48" t="str">
        <x:v>未知（未逐条补齐）</x:v>
      </x:c>
      <x:c r="Q296" s="48" t="str">
        <x:v>https://shenzhen.leyoujia.com/zf/detail/6Qct8egfixDzfwBGonajQp.html</x:v>
      </x:c>
      <x:c r="R296" s="48" t="str">
        <x:v>2026-08-13</x:v>
      </x:c>
    </x:row>
    <x:row r="297">
      <x:c r="A297" s="48" t="str">
        <x:v>寸金大厦</x:v>
      </x:c>
      <x:c r="B297" s="48" t="str">
        <x:v>寸金大厦</x:v>
      </x:c>
      <x:c r="C297" s="48" t="str">
        <x:v>国贸</x:v>
      </x:c>
      <x:c r="D297" s="56" t="n">
        <x:v>7.2</x:v>
      </x:c>
      <x:c r="E297" s="61" t="n">
        <x:v>3680</x:v>
      </x:c>
      <x:c r="F297" s="61" t="n">
        <x:v>38</x:v>
      </x:c>
      <x:c r="G297" s="61" t="n">
        <x:v>96.8</x:v>
      </x:c>
      <x:c r="H297" s="48" t="str">
        <x:v>1室0厅1</x:v>
      </x:c>
      <x:c r="I297" s="48" t="str">
        <x:v>西南</x:v>
      </x:c>
      <x:c r="J297" s="48" t="str">
        <x:v>普装</x:v>
      </x:c>
      <x:c r="K297" s="48" t="str">
        <x:v>公寓</x:v>
      </x:c>
      <x:c r="L297" s="48" t="str">
        <x:v>否</x:v>
      </x:c>
      <x:c r="M297" s="48" t="str">
        <x:v>疑似重复挂牌</x:v>
      </x:c>
      <x:c r="N297" s="48" t="str">
        <x:v>寸金大厦|1室0厅1|38|3680|西南</x:v>
      </x:c>
      <x:c r="O297" s="48"/>
      <x:c r="P297" s="48" t="str">
        <x:v>未知（未逐条补齐）</x:v>
      </x:c>
      <x:c r="Q297" s="48" t="str">
        <x:v>https://shenzhen.leyoujia.com/zf/detail/15QWUuyDWCKbg2feqg7pau.html</x:v>
      </x:c>
      <x:c r="R297" s="48" t="str">
        <x:v>2026-08-13</x:v>
      </x:c>
    </x:row>
    <x:row r="298">
      <x:c r="A298" s="48" t="str">
        <x:v>寸金大厦</x:v>
      </x:c>
      <x:c r="B298" s="48" t="str">
        <x:v>寸金大厦</x:v>
      </x:c>
      <x:c r="C298" s="48" t="str">
        <x:v>国贸</x:v>
      </x:c>
      <x:c r="D298" s="56" t="n">
        <x:v>7.2</x:v>
      </x:c>
      <x:c r="E298" s="61" t="n">
        <x:v>3680</x:v>
      </x:c>
      <x:c r="F298" s="61" t="n">
        <x:v>40</x:v>
      </x:c>
      <x:c r="G298" s="61" t="n">
        <x:v>92</x:v>
      </x:c>
      <x:c r="H298" s="48" t="str">
        <x:v>1室0厅1</x:v>
      </x:c>
      <x:c r="I298" s="48" t="str">
        <x:v>东</x:v>
      </x:c>
      <x:c r="J298" s="48" t="str">
        <x:v>精装</x:v>
      </x:c>
      <x:c r="K298" s="48" t="str">
        <x:v>普通住宅</x:v>
      </x:c>
      <x:c r="L298" s="48" t="str">
        <x:v>是</x:v>
      </x:c>
      <x:c r="M298" s="48" t="str">
        <x:v>保留</x:v>
      </x:c>
      <x:c r="N298" s="48" t="str">
        <x:v>寸金大厦|1室0厅1|40|3680|东</x:v>
      </x:c>
      <x:c r="O298" s="48"/>
      <x:c r="P298" s="48" t="str">
        <x:v>未知（未逐条补齐）</x:v>
      </x:c>
      <x:c r="Q298" s="48" t="str">
        <x:v>https://shenzhen.leyoujia.com/zf/detail/WkrKoPqzxViU1q8CoesLcU.html</x:v>
      </x:c>
      <x:c r="R298" s="48" t="str">
        <x:v>2026-08-13</x:v>
      </x:c>
    </x:row>
    <x:row r="299">
      <x:c r="A299" s="48" t="str">
        <x:v>寸金大厦</x:v>
      </x:c>
      <x:c r="B299" s="48" t="str">
        <x:v>寸金大厦</x:v>
      </x:c>
      <x:c r="C299" s="48" t="str">
        <x:v>国贸</x:v>
      </x:c>
      <x:c r="D299" s="56" t="n">
        <x:v>7.2</x:v>
      </x:c>
      <x:c r="E299" s="61" t="n">
        <x:v>3680</x:v>
      </x:c>
      <x:c r="F299" s="61" t="n">
        <x:v>35</x:v>
      </x:c>
      <x:c r="G299" s="61" t="n">
        <x:v>105.1</x:v>
      </x:c>
      <x:c r="H299" s="48" t="str">
        <x:v>1室0厅0</x:v>
      </x:c>
      <x:c r="I299" s="48" t="str">
        <x:v>东</x:v>
      </x:c>
      <x:c r="J299" s="48" t="str">
        <x:v>普装</x:v>
      </x:c>
      <x:c r="K299" s="48" t="str">
        <x:v>公寓</x:v>
      </x:c>
      <x:c r="L299" s="48" t="str">
        <x:v>是</x:v>
      </x:c>
      <x:c r="M299" s="48" t="str">
        <x:v>保留</x:v>
      </x:c>
      <x:c r="N299" s="48" t="str">
        <x:v>寸金大厦|1室0厅0|35|3680|东</x:v>
      </x:c>
      <x:c r="O299" s="48"/>
      <x:c r="P299" s="48" t="str">
        <x:v>未知（未逐条补齐）</x:v>
      </x:c>
      <x:c r="Q299" s="48" t="str">
        <x:v>https://shenzhen.leyoujia.com/zf/detail/Gh4KwtPta7yQFo3JzRC3mW.html</x:v>
      </x:c>
      <x:c r="R299" s="48" t="str">
        <x:v>2026-08-13</x:v>
      </x:c>
    </x:row>
    <x:row r="300">
      <x:c r="A300" s="48" t="str">
        <x:v>寸金大厦</x:v>
      </x:c>
      <x:c r="B300" s="48" t="str">
        <x:v>寸金大厦</x:v>
      </x:c>
      <x:c r="C300" s="48" t="str">
        <x:v>国贸</x:v>
      </x:c>
      <x:c r="D300" s="56" t="n">
        <x:v>7.2</x:v>
      </x:c>
      <x:c r="E300" s="61" t="n">
        <x:v>3780</x:v>
      </x:c>
      <x:c r="F300" s="61" t="n">
        <x:v>25</x:v>
      </x:c>
      <x:c r="G300" s="61" t="n">
        <x:v>151.2</x:v>
      </x:c>
      <x:c r="H300" s="48" t="str">
        <x:v>1室0厅0</x:v>
      </x:c>
      <x:c r="I300" s="48" t="str">
        <x:v>南</x:v>
      </x:c>
      <x:c r="J300" s="48" t="str">
        <x:v>精装</x:v>
      </x:c>
      <x:c r="K300" s="48" t="str">
        <x:v>公寓</x:v>
      </x:c>
      <x:c r="L300" s="48" t="str">
        <x:v>是</x:v>
      </x:c>
      <x:c r="M300" s="48" t="str">
        <x:v>保留</x:v>
      </x:c>
      <x:c r="N300" s="48" t="str">
        <x:v>寸金大厦|1室0厅0|25|3780|南</x:v>
      </x:c>
      <x:c r="O300" s="48"/>
      <x:c r="P300" s="48" t="str">
        <x:v>未知（未逐条补齐）</x:v>
      </x:c>
      <x:c r="Q300" s="48" t="str">
        <x:v>https://shenzhen.leyoujia.com/zf/detail/EEfUxfMm9BWhrPiMxpus77.html</x:v>
      </x:c>
      <x:c r="R300" s="48" t="str">
        <x:v>2026-08-13</x:v>
      </x:c>
    </x:row>
    <x:row r="301">
      <x:c r="A301" s="48" t="str">
        <x:v>寸金大厦</x:v>
      </x:c>
      <x:c r="B301" s="48" t="str">
        <x:v>寸金大厦</x:v>
      </x:c>
      <x:c r="C301" s="48" t="str">
        <x:v>国贸</x:v>
      </x:c>
      <x:c r="D301" s="56" t="n">
        <x:v>7.2</x:v>
      </x:c>
      <x:c r="E301" s="61" t="n">
        <x:v>3880</x:v>
      </x:c>
      <x:c r="F301" s="61" t="n">
        <x:v>25</x:v>
      </x:c>
      <x:c r="G301" s="61" t="n">
        <x:v>155.2</x:v>
      </x:c>
      <x:c r="H301" s="48" t="str">
        <x:v>1室0厅1</x:v>
      </x:c>
      <x:c r="I301" s="48" t="str">
        <x:v>南</x:v>
      </x:c>
      <x:c r="J301" s="48" t="str">
        <x:v>精装</x:v>
      </x:c>
      <x:c r="K301" s="48" t="str">
        <x:v>普通住宅</x:v>
      </x:c>
      <x:c r="L301" s="48" t="str">
        <x:v>是</x:v>
      </x:c>
      <x:c r="M301" s="48" t="str">
        <x:v>保留</x:v>
      </x:c>
      <x:c r="N301" s="48" t="str">
        <x:v>寸金大厦|1室0厅1|25|3880|南</x:v>
      </x:c>
      <x:c r="O301" s="48"/>
      <x:c r="P301" s="48" t="str">
        <x:v>未知（未逐条补齐）</x:v>
      </x:c>
      <x:c r="Q301" s="48" t="str">
        <x:v>https://shenzhen.leyoujia.com/zf/detail/BaFzWXAJuRNa9XxznDXgT.html</x:v>
      </x:c>
      <x:c r="R301" s="48" t="str">
        <x:v>2026-08-13</x:v>
      </x:c>
    </x:row>
    <x:row r="302">
      <x:c r="A302" s="48" t="str">
        <x:v>寸金大厦</x:v>
      </x:c>
      <x:c r="B302" s="48" t="str">
        <x:v>寸金大厦</x:v>
      </x:c>
      <x:c r="C302" s="48" t="str">
        <x:v>国贸</x:v>
      </x:c>
      <x:c r="D302" s="56" t="n">
        <x:v>7.2</x:v>
      </x:c>
      <x:c r="E302" s="61" t="n">
        <x:v>3880</x:v>
      </x:c>
      <x:c r="F302" s="61" t="n">
        <x:v>28</x:v>
      </x:c>
      <x:c r="G302" s="61" t="n">
        <x:v>138.6</x:v>
      </x:c>
      <x:c r="H302" s="48" t="str">
        <x:v>1室0厅1</x:v>
      </x:c>
      <x:c r="I302" s="48" t="str">
        <x:v>东南</x:v>
      </x:c>
      <x:c r="J302" s="48" t="str">
        <x:v>普装</x:v>
      </x:c>
      <x:c r="K302" s="48" t="str">
        <x:v>公寓</x:v>
      </x:c>
      <x:c r="L302" s="48" t="str">
        <x:v>是</x:v>
      </x:c>
      <x:c r="M302" s="48" t="str">
        <x:v>保留</x:v>
      </x:c>
      <x:c r="N302" s="48" t="str">
        <x:v>寸金大厦|1室0厅1|28|3880|东南</x:v>
      </x:c>
      <x:c r="O302" s="48"/>
      <x:c r="P302" s="48" t="str">
        <x:v>未知（未逐条补齐）</x:v>
      </x:c>
      <x:c r="Q302" s="48" t="str">
        <x:v>https://shenzhen.leyoujia.com/zf/detail/7vEK2vbjnvhTaeMnLdrg8R.html</x:v>
      </x:c>
      <x:c r="R302" s="48" t="str">
        <x:v>2026-08-13</x:v>
      </x:c>
    </x:row>
    <x:row r="303">
      <x:c r="A303" s="48" t="str">
        <x:v>寸金大厦</x:v>
      </x:c>
      <x:c r="B303" s="48" t="str">
        <x:v>寸金大厦</x:v>
      </x:c>
      <x:c r="C303" s="48" t="str">
        <x:v>国贸</x:v>
      </x:c>
      <x:c r="D303" s="56" t="n">
        <x:v>7.2</x:v>
      </x:c>
      <x:c r="E303" s="61" t="n">
        <x:v>4000</x:v>
      </x:c>
      <x:c r="F303" s="61" t="n">
        <x:v>25</x:v>
      </x:c>
      <x:c r="G303" s="61" t="n">
        <x:v>160</x:v>
      </x:c>
      <x:c r="H303" s="48" t="str">
        <x:v>1室0厅1</x:v>
      </x:c>
      <x:c r="I303" s="48" t="str">
        <x:v>南</x:v>
      </x:c>
      <x:c r="J303" s="48" t="str">
        <x:v>精装</x:v>
      </x:c>
      <x:c r="K303" s="48" t="str">
        <x:v>公寓</x:v>
      </x:c>
      <x:c r="L303" s="48" t="str">
        <x:v>否</x:v>
      </x:c>
      <x:c r="M303" s="48" t="str">
        <x:v>异常高价</x:v>
      </x:c>
      <x:c r="N303" s="48" t="str">
        <x:v>寸金大厦|1室0厅1|25|4000|南</x:v>
      </x:c>
      <x:c r="O303" s="48"/>
      <x:c r="P303" s="48" t="str">
        <x:v>未知（未逐条补齐）</x:v>
      </x:c>
      <x:c r="Q303" s="48" t="str">
        <x:v>https://shenzhen.leyoujia.com/zf/detail/CVfJM6JWNUYuXdoVy1PbC3.html</x:v>
      </x:c>
      <x:c r="R303" s="48" t="str">
        <x:v>2026-08-13</x:v>
      </x:c>
    </x:row>
    <x:row r="304">
      <x:c r="A304" s="48" t="str">
        <x:v>寸金大厦</x:v>
      </x:c>
      <x:c r="B304" s="48" t="str">
        <x:v>寸金大厦</x:v>
      </x:c>
      <x:c r="C304" s="48" t="str">
        <x:v>国贸</x:v>
      </x:c>
      <x:c r="D304" s="56" t="n">
        <x:v>7.2</x:v>
      </x:c>
      <x:c r="E304" s="61" t="n">
        <x:v>4400</x:v>
      </x:c>
      <x:c r="F304" s="61" t="n">
        <x:v>55</x:v>
      </x:c>
      <x:c r="G304" s="61" t="n">
        <x:v>80</x:v>
      </x:c>
      <x:c r="H304" s="48" t="str">
        <x:v>1室0厅1</x:v>
      </x:c>
      <x:c r="I304" s="48" t="str">
        <x:v>北</x:v>
      </x:c>
      <x:c r="J304" s="48" t="str">
        <x:v>精装</x:v>
      </x:c>
      <x:c r="K304" s="48" t="str">
        <x:v>公寓</x:v>
      </x:c>
      <x:c r="L304" s="48" t="str">
        <x:v>否</x:v>
      </x:c>
      <x:c r="M304" s="48" t="str">
        <x:v>异常高价</x:v>
      </x:c>
      <x:c r="N304" s="48" t="str">
        <x:v>寸金大厦|1室0厅1|55|4400|北</x:v>
      </x:c>
      <x:c r="O304" s="48"/>
      <x:c r="P304" s="48" t="str">
        <x:v>未知（未逐条补齐）</x:v>
      </x:c>
      <x:c r="Q304" s="48" t="str">
        <x:v>https://shenzhen.leyoujia.com/zf/detail/HFbkSst1h92yVrUw2cv7TB.html</x:v>
      </x:c>
      <x:c r="R304" s="48" t="str">
        <x:v>2026-08-13</x:v>
      </x:c>
    </x:row>
    <x:row r="305">
      <x:c r="A305" s="48" t="str">
        <x:v>国际名园</x:v>
      </x:c>
      <x:c r="B305" s="48" t="str">
        <x:v>集建国际名园</x:v>
      </x:c>
      <x:c r="C305" s="48" t="str">
        <x:v>国贸</x:v>
      </x:c>
      <x:c r="D305" s="56" t="n">
        <x:v>8.2</x:v>
      </x:c>
      <x:c r="E305" s="61" t="n">
        <x:v>2700</x:v>
      </x:c>
      <x:c r="F305" s="61" t="n">
        <x:v>23.73</x:v>
      </x:c>
      <x:c r="G305" s="61" t="n">
        <x:v>113.8</x:v>
      </x:c>
      <x:c r="H305" s="48" t="str">
        <x:v>1室0厅1</x:v>
      </x:c>
      <x:c r="I305" s="48" t="str">
        <x:v>北</x:v>
      </x:c>
      <x:c r="J305" s="48" t="str">
        <x:v>精装</x:v>
      </x:c>
      <x:c r="K305" s="48" t="str">
        <x:v>普通住宅</x:v>
      </x:c>
      <x:c r="L305" s="48" t="str">
        <x:v>是</x:v>
      </x:c>
      <x:c r="M305" s="48" t="str">
        <x:v>保留</x:v>
      </x:c>
      <x:c r="N305" s="48" t="str">
        <x:v>集建国际名园|1室0厅1|24|2700|北</x:v>
      </x:c>
      <x:c r="O305" s="48"/>
      <x:c r="P305" s="48" t="str">
        <x:v>未知（未逐条补齐）</x:v>
      </x:c>
      <x:c r="Q305" s="48" t="str">
        <x:v>https://shenzhen.leyoujia.com/zf/detail/VHC5nngbnuj38tY3kvAHKi.html</x:v>
      </x:c>
      <x:c r="R305" s="48" t="str">
        <x:v>2026-08-13</x:v>
      </x:c>
    </x:row>
    <x:row r="306">
      <x:c r="A306" s="48" t="str">
        <x:v>国际名园</x:v>
      </x:c>
      <x:c r="B306" s="48" t="str">
        <x:v>集建国际名园</x:v>
      </x:c>
      <x:c r="C306" s="48" t="str">
        <x:v>国贸</x:v>
      </x:c>
      <x:c r="D306" s="56" t="n">
        <x:v>8.2</x:v>
      </x:c>
      <x:c r="E306" s="61" t="n">
        <x:v>2700</x:v>
      </x:c>
      <x:c r="F306" s="61" t="n">
        <x:v>23.81</x:v>
      </x:c>
      <x:c r="G306" s="61" t="n">
        <x:v>113.4</x:v>
      </x:c>
      <x:c r="H306" s="48" t="str">
        <x:v>1室0厅1</x:v>
      </x:c>
      <x:c r="I306" s="48" t="str">
        <x:v>东</x:v>
      </x:c>
      <x:c r="J306" s="48" t="str">
        <x:v>精装</x:v>
      </x:c>
      <x:c r="K306" s="48" t="str">
        <x:v>普通住宅</x:v>
      </x:c>
      <x:c r="L306" s="48" t="str">
        <x:v>是</x:v>
      </x:c>
      <x:c r="M306" s="48" t="str">
        <x:v>保留</x:v>
      </x:c>
      <x:c r="N306" s="48" t="str">
        <x:v>集建国际名园|1室0厅1|24|2700|东</x:v>
      </x:c>
      <x:c r="O306" s="48"/>
      <x:c r="P306" s="48" t="str">
        <x:v>未知（未逐条补齐）</x:v>
      </x:c>
      <x:c r="Q306" s="48" t="str">
        <x:v>https://shenzhen.leyoujia.com/zf/detail/NaUTUUfPrkTGDDHHGjTf3c.html</x:v>
      </x:c>
      <x:c r="R306" s="48" t="str">
        <x:v>2026-08-13</x:v>
      </x:c>
    </x:row>
    <x:row r="307">
      <x:c r="A307" s="48" t="str">
        <x:v>国际名园</x:v>
      </x:c>
      <x:c r="B307" s="48" t="str">
        <x:v>集建国际名园</x:v>
      </x:c>
      <x:c r="C307" s="48" t="str">
        <x:v>国贸</x:v>
      </x:c>
      <x:c r="D307" s="56" t="n">
        <x:v>8.2</x:v>
      </x:c>
      <x:c r="E307" s="61" t="n">
        <x:v>4600</x:v>
      </x:c>
      <x:c r="F307" s="61" t="n">
        <x:v>46.46</x:v>
      </x:c>
      <x:c r="G307" s="61" t="n">
        <x:v>99</x:v>
      </x:c>
      <x:c r="H307" s="48" t="str">
        <x:v>1室1厅1</x:v>
      </x:c>
      <x:c r="I307" s="48" t="str">
        <x:v>南</x:v>
      </x:c>
      <x:c r="J307" s="48" t="str">
        <x:v>精装</x:v>
      </x:c>
      <x:c r="K307" s="48" t="str">
        <x:v>普通住宅</x:v>
      </x:c>
      <x:c r="L307" s="48" t="str">
        <x:v>是</x:v>
      </x:c>
      <x:c r="M307" s="48" t="str">
        <x:v>保留</x:v>
      </x:c>
      <x:c r="N307" s="48" t="str">
        <x:v>集建国际名园|1室1厅1|46|4600|南</x:v>
      </x:c>
      <x:c r="O307" s="48"/>
      <x:c r="P307" s="48" t="str">
        <x:v>未知（未逐条补齐）</x:v>
      </x:c>
      <x:c r="Q307" s="48" t="str">
        <x:v>https://shenzhen.leyoujia.com/zf/detail/PH1Wnp92U4p53pRS1igYng.html</x:v>
      </x:c>
      <x:c r="R307" s="48" t="str">
        <x:v>2026-08-13</x:v>
      </x:c>
    </x:row>
    <x:row r="308">
      <x:c r="A308" s="48" t="str">
        <x:v>国际名园</x:v>
      </x:c>
      <x:c r="B308" s="48" t="str">
        <x:v>集建国际名园</x:v>
      </x:c>
      <x:c r="C308" s="48" t="str">
        <x:v>国贸</x:v>
      </x:c>
      <x:c r="D308" s="56" t="n">
        <x:v>8.2</x:v>
      </x:c>
      <x:c r="E308" s="61" t="n">
        <x:v>4600</x:v>
      </x:c>
      <x:c r="F308" s="61" t="n">
        <x:v>43.13</x:v>
      </x:c>
      <x:c r="G308" s="61" t="n">
        <x:v>106.7</x:v>
      </x:c>
      <x:c r="H308" s="48" t="str">
        <x:v>1室1厅1</x:v>
      </x:c>
      <x:c r="I308" s="48" t="str">
        <x:v>西</x:v>
      </x:c>
      <x:c r="J308" s="48" t="str">
        <x:v>精装</x:v>
      </x:c>
      <x:c r="K308" s="48" t="str">
        <x:v>普通住宅</x:v>
      </x:c>
      <x:c r="L308" s="48" t="str">
        <x:v>是</x:v>
      </x:c>
      <x:c r="M308" s="48" t="str">
        <x:v>保留</x:v>
      </x:c>
      <x:c r="N308" s="48" t="str">
        <x:v>集建国际名园|1室1厅1|43|4600|西</x:v>
      </x:c>
      <x:c r="O308" s="48"/>
      <x:c r="P308" s="48" t="str">
        <x:v>未知（未逐条补齐）</x:v>
      </x:c>
      <x:c r="Q308" s="48" t="str">
        <x:v>https://shenzhen.leyoujia.com/zf/detail/6C2EB4s8w1qHPyy9X23UF8.html</x:v>
      </x:c>
      <x:c r="R308" s="48" t="str">
        <x:v>2026-08-13</x:v>
      </x:c>
    </x:row>
    <x:row r="309">
      <x:c r="A309" s="48" t="str">
        <x:v>城市天地广场</x:v>
      </x:c>
      <x:c r="B309" s="48" t="str">
        <x:v>城市天地广场</x:v>
      </x:c>
      <x:c r="C309" s="48" t="str">
        <x:v>国贸</x:v>
      </x:c>
      <x:c r="D309" s="56" t="n">
        <x:v>9.6</x:v>
      </x:c>
      <x:c r="E309" s="61" t="n">
        <x:v>4100</x:v>
      </x:c>
      <x:c r="F309" s="61" t="n">
        <x:v>57.54</x:v>
      </x:c>
      <x:c r="G309" s="61" t="n">
        <x:v>71.3</x:v>
      </x:c>
      <x:c r="H309" s="48" t="str">
        <x:v>1室0厅1</x:v>
      </x:c>
      <x:c r="I309" s="48" t="str">
        <x:v>东</x:v>
      </x:c>
      <x:c r="J309" s="48" t="str">
        <x:v>普装</x:v>
      </x:c>
      <x:c r="K309" s="48" t="str">
        <x:v>普通住宅</x:v>
      </x:c>
      <x:c r="L309" s="48" t="str">
        <x:v>否</x:v>
      </x:c>
      <x:c r="M309" s="48" t="str">
        <x:v>异常低价待核</x:v>
      </x:c>
      <x:c r="N309" s="48" t="str">
        <x:v>城市天地广场|1室0厅1|58|4100|东</x:v>
      </x:c>
      <x:c r="O309" s="48"/>
      <x:c r="P309" s="48" t="str">
        <x:v>未知（未逐条补齐）</x:v>
      </x:c>
      <x:c r="Q309" s="48" t="str">
        <x:v>https://shenzhen.leyoujia.com/zf/detail/EUp6H7vB69M49r9yohKn1Q.html</x:v>
      </x:c>
      <x:c r="R309" s="48" t="str">
        <x:v>2026-08-13</x:v>
      </x:c>
    </x:row>
    <x:row r="310">
      <x:c r="A310" s="48" t="str">
        <x:v>城市天地广场</x:v>
      </x:c>
      <x:c r="B310" s="48" t="str">
        <x:v>城市天地广场</x:v>
      </x:c>
      <x:c r="C310" s="48" t="str">
        <x:v>国贸</x:v>
      </x:c>
      <x:c r="D310" s="56" t="n">
        <x:v>9.6</x:v>
      </x:c>
      <x:c r="E310" s="61" t="n">
        <x:v>4700</x:v>
      </x:c>
      <x:c r="F310" s="61" t="n">
        <x:v>57.44</x:v>
      </x:c>
      <x:c r="G310" s="61" t="n">
        <x:v>81.8</x:v>
      </x:c>
      <x:c r="H310" s="48" t="str">
        <x:v>1室0厅1</x:v>
      </x:c>
      <x:c r="I310" s="48" t="str">
        <x:v>南</x:v>
      </x:c>
      <x:c r="J310" s="48" t="str">
        <x:v>精装</x:v>
      </x:c>
      <x:c r="K310" s="48" t="str">
        <x:v>普通住宅</x:v>
      </x:c>
      <x:c r="L310" s="48" t="str">
        <x:v>是</x:v>
      </x:c>
      <x:c r="M310" s="48" t="str">
        <x:v>保留</x:v>
      </x:c>
      <x:c r="N310" s="48" t="str">
        <x:v>城市天地广场|1室0厅1|57|4700|南</x:v>
      </x:c>
      <x:c r="O310" s="48"/>
      <x:c r="P310" s="48" t="str">
        <x:v>未知（未逐条补齐）</x:v>
      </x:c>
      <x:c r="Q310" s="48" t="str">
        <x:v>https://shenzhen.leyoujia.com/zf/detail/47reKx9Q3A8dhxxEvVj1Db.html</x:v>
      </x:c>
      <x:c r="R310" s="48" t="str">
        <x:v>2026-08-13</x:v>
      </x:c>
    </x:row>
    <x:row r="311">
      <x:c r="A311" s="48" t="str">
        <x:v>城市天地广场</x:v>
      </x:c>
      <x:c r="B311" s="48" t="str">
        <x:v>城市天地广场</x:v>
      </x:c>
      <x:c r="C311" s="48" t="str">
        <x:v>国贸</x:v>
      </x:c>
      <x:c r="D311" s="56" t="n">
        <x:v>9.6</x:v>
      </x:c>
      <x:c r="E311" s="61" t="n">
        <x:v>4800</x:v>
      </x:c>
      <x:c r="F311" s="61" t="n">
        <x:v>57.23</x:v>
      </x:c>
      <x:c r="G311" s="61" t="n">
        <x:v>83.9</x:v>
      </x:c>
      <x:c r="H311" s="48" t="str">
        <x:v>1室1厅1</x:v>
      </x:c>
      <x:c r="I311" s="48" t="str">
        <x:v>南</x:v>
      </x:c>
      <x:c r="J311" s="48" t="str">
        <x:v>精装</x:v>
      </x:c>
      <x:c r="K311" s="48" t="str">
        <x:v>普通住宅</x:v>
      </x:c>
      <x:c r="L311" s="48" t="str">
        <x:v>是</x:v>
      </x:c>
      <x:c r="M311" s="48" t="str">
        <x:v>保留</x:v>
      </x:c>
      <x:c r="N311" s="48" t="str">
        <x:v>城市天地广场|1室1厅1|57|4800|南</x:v>
      </x:c>
      <x:c r="O311" s="48"/>
      <x:c r="P311" s="48" t="str">
        <x:v>未知（未逐条补齐）</x:v>
      </x:c>
      <x:c r="Q311" s="48" t="str">
        <x:v>https://shenzhen.leyoujia.com/zf/detail/8p58sHDXi5zdsMeK897rj6.html</x:v>
      </x:c>
      <x:c r="R311" s="48" t="str">
        <x:v>2026-08-13</x:v>
      </x:c>
    </x:row>
    <x:row r="312">
      <x:c r="A312" s="48" t="str">
        <x:v>城市天地广场</x:v>
      </x:c>
      <x:c r="B312" s="48" t="str">
        <x:v>城市天地广场</x:v>
      </x:c>
      <x:c r="C312" s="48" t="str">
        <x:v>国贸</x:v>
      </x:c>
      <x:c r="D312" s="56" t="n">
        <x:v>9.6</x:v>
      </x:c>
      <x:c r="E312" s="61" t="n">
        <x:v>4800</x:v>
      </x:c>
      <x:c r="F312" s="61" t="n">
        <x:v>47.89</x:v>
      </x:c>
      <x:c r="G312" s="61" t="n">
        <x:v>100.2</x:v>
      </x:c>
      <x:c r="H312" s="48" t="str">
        <x:v>1室1厅1</x:v>
      </x:c>
      <x:c r="I312" s="48" t="str">
        <x:v>东</x:v>
      </x:c>
      <x:c r="J312" s="48" t="str">
        <x:v>精装</x:v>
      </x:c>
      <x:c r="K312" s="48" t="str">
        <x:v>普通住宅</x:v>
      </x:c>
      <x:c r="L312" s="48" t="str">
        <x:v>是</x:v>
      </x:c>
      <x:c r="M312" s="48" t="str">
        <x:v>保留</x:v>
      </x:c>
      <x:c r="N312" s="48" t="str">
        <x:v>城市天地广场|1室1厅1|48|4800|东</x:v>
      </x:c>
      <x:c r="O312" s="48"/>
      <x:c r="P312" s="48" t="str">
        <x:v>未知（未逐条补齐）</x:v>
      </x:c>
      <x:c r="Q312" s="48" t="str">
        <x:v>https://shenzhen.leyoujia.com/zf/detail/VWSFjmj3Y5jh5KHL49utcQ.html</x:v>
      </x:c>
      <x:c r="R312" s="48" t="str">
        <x:v>2026-08-13</x:v>
      </x:c>
    </x:row>
    <x:row r="313">
      <x:c r="A313" s="48" t="str">
        <x:v>城市天地广场</x:v>
      </x:c>
      <x:c r="B313" s="48" t="str">
        <x:v>城市天地广场</x:v>
      </x:c>
      <x:c r="C313" s="48" t="str">
        <x:v>国贸</x:v>
      </x:c>
      <x:c r="D313" s="56" t="n">
        <x:v>9.6</x:v>
      </x:c>
      <x:c r="E313" s="61" t="n">
        <x:v>5000</x:v>
      </x:c>
      <x:c r="F313" s="61" t="n">
        <x:v>42</x:v>
      </x:c>
      <x:c r="G313" s="61" t="n">
        <x:v>119</x:v>
      </x:c>
      <x:c r="H313" s="48" t="str">
        <x:v>1室0厅1</x:v>
      </x:c>
      <x:c r="I313" s="48" t="str">
        <x:v>东</x:v>
      </x:c>
      <x:c r="J313" s="48" t="str">
        <x:v>普装</x:v>
      </x:c>
      <x:c r="K313" s="48" t="str">
        <x:v>公寓</x:v>
      </x:c>
      <x:c r="L313" s="48" t="str">
        <x:v>是</x:v>
      </x:c>
      <x:c r="M313" s="48" t="str">
        <x:v>保留</x:v>
      </x:c>
      <x:c r="N313" s="48" t="str">
        <x:v>城市天地广场|1室0厅1|42|5000|东</x:v>
      </x:c>
      <x:c r="O313" s="48"/>
      <x:c r="P313" s="48" t="str">
        <x:v>未知（未逐条补齐）</x:v>
      </x:c>
      <x:c r="Q313" s="48" t="str">
        <x:v>https://shenzhen.leyoujia.com/zf/detail/56TiMmWgnhsyJs1zvvsypt.html</x:v>
      </x:c>
      <x:c r="R313" s="48" t="str">
        <x:v>2026-08-13</x:v>
      </x:c>
    </x:row>
    <x:row r="314">
      <x:c r="A314" s="48" t="str">
        <x:v>城市天地广场</x:v>
      </x:c>
      <x:c r="B314" s="48" t="str">
        <x:v>城市天地广场</x:v>
      </x:c>
      <x:c r="C314" s="48" t="str">
        <x:v>国贸</x:v>
      </x:c>
      <x:c r="D314" s="56" t="n">
        <x:v>9.6</x:v>
      </x:c>
      <x:c r="E314" s="61" t="n">
        <x:v>5000</x:v>
      </x:c>
      <x:c r="F314" s="61" t="n">
        <x:v>33</x:v>
      </x:c>
      <x:c r="G314" s="61" t="n">
        <x:v>151.5</x:v>
      </x:c>
      <x:c r="H314" s="48" t="str">
        <x:v>1室0厅1</x:v>
      </x:c>
      <x:c r="I314" s="48" t="str">
        <x:v>北</x:v>
      </x:c>
      <x:c r="J314" s="48" t="str">
        <x:v>普装</x:v>
      </x:c>
      <x:c r="K314" s="48" t="str">
        <x:v>公寓</x:v>
      </x:c>
      <x:c r="L314" s="48" t="str">
        <x:v>是</x:v>
      </x:c>
      <x:c r="M314" s="48" t="str">
        <x:v>保留</x:v>
      </x:c>
      <x:c r="N314" s="48" t="str">
        <x:v>城市天地广场|1室0厅1|33|5000|北</x:v>
      </x:c>
      <x:c r="O314" s="48"/>
      <x:c r="P314" s="48" t="str">
        <x:v>未知（未逐条补齐）</x:v>
      </x:c>
      <x:c r="Q314" s="48" t="str">
        <x:v>https://shenzhen.leyoujia.com/zf/detail/5UDoMoRhnkMTKHSkaz4kfi.html</x:v>
      </x:c>
      <x:c r="R314" s="48" t="str">
        <x:v>2026-08-13</x:v>
      </x:c>
    </x:row>
    <x:row r="315">
      <x:c r="A315" s="48" t="str">
        <x:v>城市天地广场</x:v>
      </x:c>
      <x:c r="B315" s="48" t="str">
        <x:v>城市天地广场</x:v>
      </x:c>
      <x:c r="C315" s="48" t="str">
        <x:v>国贸</x:v>
      </x:c>
      <x:c r="D315" s="56" t="n">
        <x:v>9.6</x:v>
      </x:c>
      <x:c r="E315" s="61" t="n">
        <x:v>5000</x:v>
      </x:c>
      <x:c r="F315" s="61" t="n">
        <x:v>42</x:v>
      </x:c>
      <x:c r="G315" s="61" t="n">
        <x:v>119</x:v>
      </x:c>
      <x:c r="H315" s="48" t="str">
        <x:v>1室0厅1</x:v>
      </x:c>
      <x:c r="I315" s="48" t="str">
        <x:v>东</x:v>
      </x:c>
      <x:c r="J315" s="48" t="str">
        <x:v>普装</x:v>
      </x:c>
      <x:c r="K315" s="48" t="str">
        <x:v>公寓</x:v>
      </x:c>
      <x:c r="L315" s="48" t="str">
        <x:v>否</x:v>
      </x:c>
      <x:c r="M315" s="48" t="str">
        <x:v>疑似重复挂牌</x:v>
      </x:c>
      <x:c r="N315" s="48" t="str">
        <x:v>城市天地广场|1室0厅1|42|5000|东</x:v>
      </x:c>
      <x:c r="O315" s="48"/>
      <x:c r="P315" s="48" t="str">
        <x:v>未知（未逐条补齐）</x:v>
      </x:c>
      <x:c r="Q315" s="48" t="str">
        <x:v>https://shenzhen.leyoujia.com/zf/detail/B4gGtEHfzjzMBVLievBjtF.html</x:v>
      </x:c>
      <x:c r="R315" s="48" t="str">
        <x:v>2026-08-13</x:v>
      </x:c>
    </x:row>
    <x:row r="316">
      <x:c r="A316" s="48" t="str">
        <x:v>城市天地广场</x:v>
      </x:c>
      <x:c r="B316" s="48" t="str">
        <x:v>城市天地广场</x:v>
      </x:c>
      <x:c r="C316" s="48" t="str">
        <x:v>国贸</x:v>
      </x:c>
      <x:c r="D316" s="56" t="n">
        <x:v>9.6</x:v>
      </x:c>
      <x:c r="E316" s="61" t="n">
        <x:v>5000</x:v>
      </x:c>
      <x:c r="F316" s="61" t="n">
        <x:v>53</x:v>
      </x:c>
      <x:c r="G316" s="61" t="n">
        <x:v>94.3</x:v>
      </x:c>
      <x:c r="H316" s="48" t="str">
        <x:v>1室1厅1</x:v>
      </x:c>
      <x:c r="I316" s="48" t="str">
        <x:v>东</x:v>
      </x:c>
      <x:c r="J316" s="48" t="str">
        <x:v>普装</x:v>
      </x:c>
      <x:c r="K316" s="48" t="str">
        <x:v>普通住宅</x:v>
      </x:c>
      <x:c r="L316" s="48" t="str">
        <x:v>是</x:v>
      </x:c>
      <x:c r="M316" s="48" t="str">
        <x:v>保留</x:v>
      </x:c>
      <x:c r="N316" s="48" t="str">
        <x:v>城市天地广场|1室1厅1|53|5000|东</x:v>
      </x:c>
      <x:c r="O316" s="48"/>
      <x:c r="P316" s="48" t="str">
        <x:v>未知（未逐条补齐）</x:v>
      </x:c>
      <x:c r="Q316" s="48" t="str">
        <x:v>https://shenzhen.leyoujia.com/zf/detail/EgYBYApfwm52TDbBz1dJVa.html</x:v>
      </x:c>
      <x:c r="R316" s="48" t="str">
        <x:v>2026-08-13</x:v>
      </x:c>
    </x:row>
    <x:row r="317">
      <x:c r="A317" s="48" t="str">
        <x:v>城市天地广场</x:v>
      </x:c>
      <x:c r="B317" s="48" t="str">
        <x:v>城市天地广场</x:v>
      </x:c>
      <x:c r="C317" s="48" t="str">
        <x:v>国贸</x:v>
      </x:c>
      <x:c r="D317" s="56" t="n">
        <x:v>9.6</x:v>
      </x:c>
      <x:c r="E317" s="61" t="n">
        <x:v>5000</x:v>
      </x:c>
      <x:c r="F317" s="61" t="n">
        <x:v>33</x:v>
      </x:c>
      <x:c r="G317" s="61" t="n">
        <x:v>151.5</x:v>
      </x:c>
      <x:c r="H317" s="48" t="str">
        <x:v>1室0厅1</x:v>
      </x:c>
      <x:c r="I317" s="48" t="str">
        <x:v>北</x:v>
      </x:c>
      <x:c r="J317" s="48" t="str">
        <x:v>普装</x:v>
      </x:c>
      <x:c r="K317" s="48" t="str">
        <x:v>公寓</x:v>
      </x:c>
      <x:c r="L317" s="48" t="str">
        <x:v>否</x:v>
      </x:c>
      <x:c r="M317" s="48" t="str">
        <x:v>疑似重复挂牌</x:v>
      </x:c>
      <x:c r="N317" s="48" t="str">
        <x:v>城市天地广场|1室0厅1|33|5000|北</x:v>
      </x:c>
      <x:c r="O317" s="48"/>
      <x:c r="P317" s="48" t="str">
        <x:v>未知（未逐条补齐）</x:v>
      </x:c>
      <x:c r="Q317" s="48" t="str">
        <x:v>https://shenzhen.leyoujia.com/zf/detail/UX2uEa1gw57TX3ceiqJcNU.html</x:v>
      </x:c>
      <x:c r="R317" s="48" t="str">
        <x:v>2026-08-13</x:v>
      </x:c>
    </x:row>
    <x:row r="318">
      <x:c r="A318" s="48" t="str">
        <x:v>城市天地广场</x:v>
      </x:c>
      <x:c r="B318" s="48" t="str">
        <x:v>城市天地广场</x:v>
      </x:c>
      <x:c r="C318" s="48" t="str">
        <x:v>国贸</x:v>
      </x:c>
      <x:c r="D318" s="56" t="n">
        <x:v>9.6</x:v>
      </x:c>
      <x:c r="E318" s="61" t="n">
        <x:v>5000</x:v>
      </x:c>
      <x:c r="F318" s="61" t="n">
        <x:v>42</x:v>
      </x:c>
      <x:c r="G318" s="61" t="n">
        <x:v>119</x:v>
      </x:c>
      <x:c r="H318" s="48" t="str">
        <x:v>1室0厅1</x:v>
      </x:c>
      <x:c r="I318" s="48" t="str">
        <x:v>东</x:v>
      </x:c>
      <x:c r="J318" s="48" t="str">
        <x:v>普装</x:v>
      </x:c>
      <x:c r="K318" s="48" t="str">
        <x:v>公寓</x:v>
      </x:c>
      <x:c r="L318" s="48" t="str">
        <x:v>否</x:v>
      </x:c>
      <x:c r="M318" s="48" t="str">
        <x:v>疑似重复挂牌</x:v>
      </x:c>
      <x:c r="N318" s="48" t="str">
        <x:v>城市天地广场|1室0厅1|42|5000|东</x:v>
      </x:c>
      <x:c r="O318" s="48"/>
      <x:c r="P318" s="48" t="str">
        <x:v>未知（未逐条补齐）</x:v>
      </x:c>
      <x:c r="Q318" s="48" t="str">
        <x:v>https://shenzhen.leyoujia.com/zf/detail/iJgGTio5mP6vGwFJYbjnB.html</x:v>
      </x:c>
      <x:c r="R318" s="48" t="str">
        <x:v>2026-08-13</x:v>
      </x:c>
    </x:row>
    <x:row r="319">
      <x:c r="A319" s="48" t="str">
        <x:v>庐山花园</x:v>
      </x:c>
      <x:c r="B319" s="48" t="str">
        <x:v>庐山花园</x:v>
      </x:c>
      <x:c r="C319" s="48" t="str">
        <x:v>国贸</x:v>
      </x:c>
      <x:c r="D319" s="56" t="n">
        <x:v>11.4</x:v>
      </x:c>
      <x:c r="E319" s="61" t="n">
        <x:v>2500</x:v>
      </x:c>
      <x:c r="F319" s="61" t="n">
        <x:v>20</x:v>
      </x:c>
      <x:c r="G319" s="61" t="n">
        <x:v>125</x:v>
      </x:c>
      <x:c r="H319" s="48" t="str">
        <x:v>1室0厅1</x:v>
      </x:c>
      <x:c r="I319" s="48" t="str">
        <x:v>南</x:v>
      </x:c>
      <x:c r="J319" s="48" t="str">
        <x:v>精装</x:v>
      </x:c>
      <x:c r="K319" s="48" t="str">
        <x:v>普通住宅</x:v>
      </x:c>
      <x:c r="L319" s="48" t="str">
        <x:v>否</x:v>
      </x:c>
      <x:c r="M319" s="48" t="str">
        <x:v>异常低价待核</x:v>
      </x:c>
      <x:c r="N319" s="48" t="str">
        <x:v>庐山花园|1室0厅1|20|2500|南</x:v>
      </x:c>
      <x:c r="O319" s="48"/>
      <x:c r="P319" s="48" t="str">
        <x:v>未知（未逐条补齐）</x:v>
      </x:c>
      <x:c r="Q319" s="48" t="str">
        <x:v>https://shenzhen.leyoujia.com/zf/detail/BJCgR6t5HXwrBXeEd5h661.html</x:v>
      </x:c>
      <x:c r="R319" s="48" t="str">
        <x:v>2026-08-13</x:v>
      </x:c>
    </x:row>
    <x:row r="320">
      <x:c r="A320" s="48" t="str">
        <x:v>庐山花园</x:v>
      </x:c>
      <x:c r="B320" s="48" t="str">
        <x:v>庐山花园</x:v>
      </x:c>
      <x:c r="C320" s="48" t="str">
        <x:v>国贸</x:v>
      </x:c>
      <x:c r="D320" s="56" t="n">
        <x:v>11.4</x:v>
      </x:c>
      <x:c r="E320" s="61" t="n">
        <x:v>2800</x:v>
      </x:c>
      <x:c r="F320" s="61" t="n">
        <x:v>20.69</x:v>
      </x:c>
      <x:c r="G320" s="61" t="n">
        <x:v>135.3</x:v>
      </x:c>
      <x:c r="H320" s="48" t="str">
        <x:v>1室0厅1</x:v>
      </x:c>
      <x:c r="I320" s="48" t="str">
        <x:v>南</x:v>
      </x:c>
      <x:c r="J320" s="48" t="str">
        <x:v>精装</x:v>
      </x:c>
      <x:c r="K320" s="48" t="str">
        <x:v>普通住宅</x:v>
      </x:c>
      <x:c r="L320" s="48" t="str">
        <x:v>是</x:v>
      </x:c>
      <x:c r="M320" s="48" t="str">
        <x:v>保留</x:v>
      </x:c>
      <x:c r="N320" s="48" t="str">
        <x:v>庐山花园|1室0厅1|21|2800|南</x:v>
      </x:c>
      <x:c r="O320" s="48"/>
      <x:c r="P320" s="48" t="str">
        <x:v>未知（未逐条补齐）</x:v>
      </x:c>
      <x:c r="Q320" s="48" t="str">
        <x:v>https://shenzhen.leyoujia.com/zf/detail/7rSkHmgNSpTB1Wekz7AHbS.html</x:v>
      </x:c>
      <x:c r="R320" s="48" t="str">
        <x:v>2026-08-13</x:v>
      </x:c>
    </x:row>
    <x:row r="321">
      <x:c r="A321" s="48" t="str">
        <x:v>庐山花园</x:v>
      </x:c>
      <x:c r="B321" s="48" t="str">
        <x:v>庐山花园</x:v>
      </x:c>
      <x:c r="C321" s="48" t="str">
        <x:v>国贸</x:v>
      </x:c>
      <x:c r="D321" s="56" t="n">
        <x:v>11.4</x:v>
      </x:c>
      <x:c r="E321" s="61" t="n">
        <x:v>4200</x:v>
      </x:c>
      <x:c r="F321" s="61" t="n">
        <x:v>46.62</x:v>
      </x:c>
      <x:c r="G321" s="61" t="n">
        <x:v>90.1</x:v>
      </x:c>
      <x:c r="H321" s="48" t="str">
        <x:v>1室0厅1</x:v>
      </x:c>
      <x:c r="I321" s="48" t="str">
        <x:v>东</x:v>
      </x:c>
      <x:c r="J321" s="48" t="str">
        <x:v>普装</x:v>
      </x:c>
      <x:c r="K321" s="48" t="str">
        <x:v>普通住宅</x:v>
      </x:c>
      <x:c r="L321" s="48" t="str">
        <x:v>是</x:v>
      </x:c>
      <x:c r="M321" s="48" t="str">
        <x:v>保留</x:v>
      </x:c>
      <x:c r="N321" s="48" t="str">
        <x:v>庐山花园|1室0厅1|47|4200|东</x:v>
      </x:c>
      <x:c r="O321" s="48"/>
      <x:c r="P321" s="48" t="str">
        <x:v>未知（未逐条补齐）</x:v>
      </x:c>
      <x:c r="Q321" s="48" t="str">
        <x:v>https://shenzhen.leyoujia.com/zf/detail/QTNy5ATsnrEUF2mqwrqYox.html</x:v>
      </x:c>
      <x:c r="R321" s="48" t="str">
        <x:v>2026-08-13</x:v>
      </x:c>
    </x:row>
    <x:row r="322">
      <x:c r="A322" s="48" t="str">
        <x:v>庐山花园</x:v>
      </x:c>
      <x:c r="B322" s="48" t="str">
        <x:v>庐山花园</x:v>
      </x:c>
      <x:c r="C322" s="48" t="str">
        <x:v>国贸</x:v>
      </x:c>
      <x:c r="D322" s="56" t="n">
        <x:v>11.4</x:v>
      </x:c>
      <x:c r="E322" s="61" t="n">
        <x:v>4200</x:v>
      </x:c>
      <x:c r="F322" s="61" t="n">
        <x:v>43.07</x:v>
      </x:c>
      <x:c r="G322" s="61" t="n">
        <x:v>97.5</x:v>
      </x:c>
      <x:c r="H322" s="48" t="str">
        <x:v>1室1厅1</x:v>
      </x:c>
      <x:c r="I322" s="48" t="str">
        <x:v>南</x:v>
      </x:c>
      <x:c r="J322" s="48" t="str">
        <x:v>精装</x:v>
      </x:c>
      <x:c r="K322" s="48" t="str">
        <x:v>普通住宅</x:v>
      </x:c>
      <x:c r="L322" s="48" t="str">
        <x:v>是</x:v>
      </x:c>
      <x:c r="M322" s="48" t="str">
        <x:v>保留</x:v>
      </x:c>
      <x:c r="N322" s="48" t="str">
        <x:v>庐山花园|1室1厅1|43|4200|南</x:v>
      </x:c>
      <x:c r="O322" s="48"/>
      <x:c r="P322" s="48" t="str">
        <x:v>未知（未逐条补齐）</x:v>
      </x:c>
      <x:c r="Q322" s="48" t="str">
        <x:v>https://shenzhen.leyoujia.com/zf/detail/UDxcgRMRrBeUSv2qEzRUmC.html</x:v>
      </x:c>
      <x:c r="R322" s="48" t="str">
        <x:v>2026-08-13</x:v>
      </x:c>
    </x:row>
    <x:row r="323">
      <x:c r="A323" s="48" t="str">
        <x:v>庐山花园</x:v>
      </x:c>
      <x:c r="B323" s="48" t="str">
        <x:v>庐山花园</x:v>
      </x:c>
      <x:c r="C323" s="48" t="str">
        <x:v>国贸</x:v>
      </x:c>
      <x:c r="D323" s="56" t="n">
        <x:v>11.4</x:v>
      </x:c>
      <x:c r="E323" s="61" t="n">
        <x:v>4500</x:v>
      </x:c>
      <x:c r="F323" s="61" t="n">
        <x:v>46.43</x:v>
      </x:c>
      <x:c r="G323" s="61" t="n">
        <x:v>96.9</x:v>
      </x:c>
      <x:c r="H323" s="48" t="str">
        <x:v>1室1厅1</x:v>
      </x:c>
      <x:c r="I323" s="48" t="str">
        <x:v>西</x:v>
      </x:c>
      <x:c r="J323" s="48" t="str">
        <x:v>精装</x:v>
      </x:c>
      <x:c r="K323" s="48" t="str">
        <x:v>普通住宅</x:v>
      </x:c>
      <x:c r="L323" s="48" t="str">
        <x:v>是</x:v>
      </x:c>
      <x:c r="M323" s="48" t="str">
        <x:v>保留</x:v>
      </x:c>
      <x:c r="N323" s="48" t="str">
        <x:v>庐山花园|1室1厅1|46|4500|西</x:v>
      </x:c>
      <x:c r="O323" s="48"/>
      <x:c r="P323" s="48" t="str">
        <x:v>未知（未逐条补齐）</x:v>
      </x:c>
      <x:c r="Q323" s="48" t="str">
        <x:v>https://shenzhen.leyoujia.com/zf/detail/JK4MKDKG36CUHg5caT7PFS.html</x:v>
      </x:c>
      <x:c r="R323" s="48" t="str">
        <x:v>2026-08-13</x:v>
      </x:c>
    </x:row>
    <x:row r="324">
      <x:c r="A324" s="48" t="str">
        <x:v>庐山花园</x:v>
      </x:c>
      <x:c r="B324" s="48" t="str">
        <x:v>庐山花园</x:v>
      </x:c>
      <x:c r="C324" s="48" t="str">
        <x:v>国贸</x:v>
      </x:c>
      <x:c r="D324" s="56" t="n">
        <x:v>11.4</x:v>
      </x:c>
      <x:c r="E324" s="61" t="n">
        <x:v>4500</x:v>
      </x:c>
      <x:c r="F324" s="61" t="n">
        <x:v>46.13</x:v>
      </x:c>
      <x:c r="G324" s="61" t="n">
        <x:v>97.6</x:v>
      </x:c>
      <x:c r="H324" s="48" t="str">
        <x:v>1室1厅1</x:v>
      </x:c>
      <x:c r="I324" s="48" t="str">
        <x:v>西南</x:v>
      </x:c>
      <x:c r="J324" s="48" t="str">
        <x:v>精装</x:v>
      </x:c>
      <x:c r="K324" s="48" t="str">
        <x:v>普通住宅</x:v>
      </x:c>
      <x:c r="L324" s="48" t="str">
        <x:v>是</x:v>
      </x:c>
      <x:c r="M324" s="48" t="str">
        <x:v>保留</x:v>
      </x:c>
      <x:c r="N324" s="48" t="str">
        <x:v>庐山花园|1室1厅1|46|4500|西南</x:v>
      </x:c>
      <x:c r="O324" s="48"/>
      <x:c r="P324" s="48" t="str">
        <x:v>未知（未逐条补齐）</x:v>
      </x:c>
      <x:c r="Q324" s="48" t="str">
        <x:v>https://shenzhen.leyoujia.com/zf/detail/GQ6XBtiMNKaz9dMc8xsMJq.html</x:v>
      </x:c>
      <x:c r="R324" s="48" t="str">
        <x:v>2026-08-13</x:v>
      </x:c>
    </x:row>
    <x:row r="325">
      <x:c r="A325" s="48" t="str">
        <x:v>庐山花园</x:v>
      </x:c>
      <x:c r="B325" s="48" t="str">
        <x:v>庐山花园</x:v>
      </x:c>
      <x:c r="C325" s="48" t="str">
        <x:v>国贸</x:v>
      </x:c>
      <x:c r="D325" s="56" t="n">
        <x:v>11.4</x:v>
      </x:c>
      <x:c r="E325" s="61" t="n">
        <x:v>5000</x:v>
      </x:c>
      <x:c r="F325" s="61" t="n">
        <x:v>50.23</x:v>
      </x:c>
      <x:c r="G325" s="61" t="n">
        <x:v>99.5</x:v>
      </x:c>
      <x:c r="H325" s="48" t="str">
        <x:v>1室1厅1</x:v>
      </x:c>
      <x:c r="I325" s="48" t="str">
        <x:v>南</x:v>
      </x:c>
      <x:c r="J325" s="48" t="str">
        <x:v>精装</x:v>
      </x:c>
      <x:c r="K325" s="48" t="str">
        <x:v>普通住宅</x:v>
      </x:c>
      <x:c r="L325" s="48" t="str">
        <x:v>是</x:v>
      </x:c>
      <x:c r="M325" s="48" t="str">
        <x:v>保留</x:v>
      </x:c>
      <x:c r="N325" s="48" t="str">
        <x:v>庐山花园|1室1厅1|50|5000|南</x:v>
      </x:c>
      <x:c r="O325" s="48"/>
      <x:c r="P325" s="48" t="str">
        <x:v>未知（未逐条补齐）</x:v>
      </x:c>
      <x:c r="Q325" s="48" t="str">
        <x:v>https://shenzhen.leyoujia.com/zf/detail/PRji6JDWAvTDRSPRU9nKRV.html</x:v>
      </x:c>
      <x:c r="R325" s="48" t="str">
        <x:v>2026-08-13</x:v>
      </x:c>
    </x:row>
    <x:row r="326">
      <x:c r="A326" s="48" t="str">
        <x:v>园岭新村一区</x:v>
      </x:c>
      <x:c r="B326" s="48" t="str">
        <x:v>园岭新村</x:v>
      </x:c>
      <x:c r="C326" s="48" t="str">
        <x:v>红岭</x:v>
      </x:c>
      <x:c r="D326" s="56" t="n">
        <x:v>4.5</x:v>
      </x:c>
      <x:c r="E326" s="61" t="n">
        <x:v>2500</x:v>
      </x:c>
      <x:c r="F326" s="61" t="n">
        <x:v>20</x:v>
      </x:c>
      <x:c r="G326" s="61" t="n">
        <x:v>125</x:v>
      </x:c>
      <x:c r="H326" s="48" t="str">
        <x:v>1室0厅1</x:v>
      </x:c>
      <x:c r="I326" s="48" t="str">
        <x:v>东</x:v>
      </x:c>
      <x:c r="J326" s="48" t="str">
        <x:v>普装</x:v>
      </x:c>
      <x:c r="K326" s="48" t="str">
        <x:v>普通住宅</x:v>
      </x:c>
      <x:c r="L326" s="48" t="str">
        <x:v>是</x:v>
      </x:c>
      <x:c r="M326" s="48" t="str">
        <x:v>保留</x:v>
      </x:c>
      <x:c r="N326" s="48" t="str">
        <x:v>园岭新村|1室0厅1|20|2500|东</x:v>
      </x:c>
      <x:c r="O326" s="48"/>
      <x:c r="P326" s="48" t="str">
        <x:v>未知（未逐条补齐）</x:v>
      </x:c>
      <x:c r="Q326" s="48" t="str">
        <x:v>https://shenzhen.leyoujia.com/zf/detail/8aoU2GnjS6GtG34QTuSokm.html</x:v>
      </x:c>
      <x:c r="R326" s="48" t="str">
        <x:v>2026-08-13</x:v>
      </x:c>
    </x:row>
    <x:row r="327">
      <x:c r="A327" s="48" t="str">
        <x:v>园岭新村一区</x:v>
      </x:c>
      <x:c r="B327" s="48" t="str">
        <x:v>园岭新村</x:v>
      </x:c>
      <x:c r="C327" s="48" t="str">
        <x:v>红岭</x:v>
      </x:c>
      <x:c r="D327" s="56" t="n">
        <x:v>4.5</x:v>
      </x:c>
      <x:c r="E327" s="61" t="n">
        <x:v>2600</x:v>
      </x:c>
      <x:c r="F327" s="61" t="n">
        <x:v>20</x:v>
      </x:c>
      <x:c r="G327" s="61" t="n">
        <x:v>130</x:v>
      </x:c>
      <x:c r="H327" s="48" t="str">
        <x:v>1室1厅1</x:v>
      </x:c>
      <x:c r="I327" s="48" t="str">
        <x:v>北</x:v>
      </x:c>
      <x:c r="J327" s="48" t="str">
        <x:v>普装</x:v>
      </x:c>
      <x:c r="K327" s="48" t="str">
        <x:v>普通住宅</x:v>
      </x:c>
      <x:c r="L327" s="48" t="str">
        <x:v>是</x:v>
      </x:c>
      <x:c r="M327" s="48" t="str">
        <x:v>保留</x:v>
      </x:c>
      <x:c r="N327" s="48" t="str">
        <x:v>园岭新村|1室1厅1|20|2600|北</x:v>
      </x:c>
      <x:c r="O327" s="48"/>
      <x:c r="P327" s="48" t="str">
        <x:v>未知（未逐条补齐）</x:v>
      </x:c>
      <x:c r="Q327" s="48" t="str">
        <x:v>https://shenzhen.leyoujia.com/zf/detail/6qMb3jewPugJ8G5Xw1imdE.html</x:v>
      </x:c>
      <x:c r="R327" s="48" t="str">
        <x:v>2026-08-13</x:v>
      </x:c>
    </x:row>
    <x:row r="328">
      <x:c r="A328" s="48" t="str">
        <x:v>园岭新村一区</x:v>
      </x:c>
      <x:c r="B328" s="48" t="str">
        <x:v>园岭新村</x:v>
      </x:c>
      <x:c r="C328" s="48" t="str">
        <x:v>红岭</x:v>
      </x:c>
      <x:c r="D328" s="56" t="n">
        <x:v>4.5</x:v>
      </x:c>
      <x:c r="E328" s="61" t="n">
        <x:v>2800</x:v>
      </x:c>
      <x:c r="F328" s="61" t="n">
        <x:v>35</x:v>
      </x:c>
      <x:c r="G328" s="61" t="n">
        <x:v>80</x:v>
      </x:c>
      <x:c r="H328" s="48" t="str">
        <x:v>1室1厅1</x:v>
      </x:c>
      <x:c r="I328" s="48" t="str">
        <x:v>南</x:v>
      </x:c>
      <x:c r="J328" s="48" t="str">
        <x:v>待核</x:v>
      </x:c>
      <x:c r="K328" s="48" t="str">
        <x:v>住宅</x:v>
      </x:c>
      <x:c r="L328" s="48" t="str">
        <x:v>是</x:v>
      </x:c>
      <x:c r="M328" s="48" t="str">
        <x:v>保留</x:v>
      </x:c>
      <x:c r="N328" s="48" t="str">
        <x:v>园岭新村|1室1厅1|35|2800|南</x:v>
      </x:c>
      <x:c r="O328" s="48"/>
      <x:c r="P328" s="48" t="str">
        <x:v>未知（未逐条补齐）</x:v>
      </x:c>
      <x:c r="Q328" s="48" t="str">
        <x:v>https://shenzhen.leyoujia.com/zf/detail/WhtPmeMKWf9zb7mPziiqkf.html</x:v>
      </x:c>
      <x:c r="R328" s="48" t="str">
        <x:v>2026-08-13</x:v>
      </x:c>
    </x:row>
    <x:row r="329">
      <x:c r="A329" s="48" t="str">
        <x:v>园岭新村一区</x:v>
      </x:c>
      <x:c r="B329" s="48" t="str">
        <x:v>园岭新村</x:v>
      </x:c>
      <x:c r="C329" s="48" t="str">
        <x:v>红岭</x:v>
      </x:c>
      <x:c r="D329" s="56" t="n">
        <x:v>4.5</x:v>
      </x:c>
      <x:c r="E329" s="61" t="n">
        <x:v>3000</x:v>
      </x:c>
      <x:c r="F329" s="61" t="n">
        <x:v>35</x:v>
      </x:c>
      <x:c r="G329" s="61" t="n">
        <x:v>85.7</x:v>
      </x:c>
      <x:c r="H329" s="48" t="str">
        <x:v>1室1厅1</x:v>
      </x:c>
      <x:c r="I329" s="48" t="str">
        <x:v>北</x:v>
      </x:c>
      <x:c r="J329" s="48" t="str">
        <x:v>普装</x:v>
      </x:c>
      <x:c r="K329" s="48" t="str">
        <x:v>普通住宅</x:v>
      </x:c>
      <x:c r="L329" s="48" t="str">
        <x:v>是</x:v>
      </x:c>
      <x:c r="M329" s="48" t="str">
        <x:v>保留</x:v>
      </x:c>
      <x:c r="N329" s="48" t="str">
        <x:v>园岭新村|1室1厅1|35|3000|北</x:v>
      </x:c>
      <x:c r="O329" s="48"/>
      <x:c r="P329" s="48" t="str">
        <x:v>未知（未逐条补齐）</x:v>
      </x:c>
      <x:c r="Q329" s="48" t="str">
        <x:v>https://shenzhen.leyoujia.com/zf/detail/TFho4bkQXP1JW8QmiMfp3e.html</x:v>
      </x:c>
      <x:c r="R329" s="48" t="str">
        <x:v>2026-08-13</x:v>
      </x:c>
    </x:row>
    <x:row r="330">
      <x:c r="A330" s="48" t="str">
        <x:v>园岭新村一区</x:v>
      </x:c>
      <x:c r="B330" s="48" t="str">
        <x:v>园岭新村</x:v>
      </x:c>
      <x:c r="C330" s="48" t="str">
        <x:v>红岭</x:v>
      </x:c>
      <x:c r="D330" s="56" t="n">
        <x:v>4.5</x:v>
      </x:c>
      <x:c r="E330" s="61" t="n">
        <x:v>3500</x:v>
      </x:c>
      <x:c r="F330" s="61" t="n">
        <x:v>36.61</x:v>
      </x:c>
      <x:c r="G330" s="61" t="n">
        <x:v>95.6</x:v>
      </x:c>
      <x:c r="H330" s="48" t="str">
        <x:v>1室1厅1</x:v>
      </x:c>
      <x:c r="I330" s="48" t="str">
        <x:v>南</x:v>
      </x:c>
      <x:c r="J330" s="48" t="str">
        <x:v>精装</x:v>
      </x:c>
      <x:c r="K330" s="48" t="str">
        <x:v>普通住宅</x:v>
      </x:c>
      <x:c r="L330" s="48" t="str">
        <x:v>是</x:v>
      </x:c>
      <x:c r="M330" s="48" t="str">
        <x:v>保留</x:v>
      </x:c>
      <x:c r="N330" s="48" t="str">
        <x:v>园岭新村|1室1厅1|37|3500|南</x:v>
      </x:c>
      <x:c r="O330" s="48"/>
      <x:c r="P330" s="48" t="str">
        <x:v>未知（未逐条补齐）</x:v>
      </x:c>
      <x:c r="Q330" s="48" t="str">
        <x:v>https://shenzhen.leyoujia.com/zf/detail/7LVeRd7aRpkXbV74jGcKKC.html</x:v>
      </x:c>
      <x:c r="R330" s="48" t="str">
        <x:v>2026-08-13</x:v>
      </x:c>
    </x:row>
    <x:row r="331">
      <x:c r="A331" s="48" t="str">
        <x:v>园岭新村一区</x:v>
      </x:c>
      <x:c r="B331" s="48" t="str">
        <x:v>园岭新村</x:v>
      </x:c>
      <x:c r="C331" s="48" t="str">
        <x:v>红岭</x:v>
      </x:c>
      <x:c r="D331" s="56" t="n">
        <x:v>4.5</x:v>
      </x:c>
      <x:c r="E331" s="61" t="n">
        <x:v>3600</x:v>
      </x:c>
      <x:c r="F331" s="61" t="n">
        <x:v>38</x:v>
      </x:c>
      <x:c r="G331" s="61" t="n">
        <x:v>94.7</x:v>
      </x:c>
      <x:c r="H331" s="48" t="str">
        <x:v>1室0厅1</x:v>
      </x:c>
      <x:c r="I331" s="48" t="str">
        <x:v>北</x:v>
      </x:c>
      <x:c r="J331" s="48" t="str">
        <x:v>精装</x:v>
      </x:c>
      <x:c r="K331" s="48" t="str">
        <x:v>普通住宅</x:v>
      </x:c>
      <x:c r="L331" s="48" t="str">
        <x:v>是</x:v>
      </x:c>
      <x:c r="M331" s="48" t="str">
        <x:v>保留</x:v>
      </x:c>
      <x:c r="N331" s="48" t="str">
        <x:v>园岭新村|1室0厅1|38|3600|北</x:v>
      </x:c>
      <x:c r="O331" s="48"/>
      <x:c r="P331" s="48" t="str">
        <x:v>未知（未逐条补齐）</x:v>
      </x:c>
      <x:c r="Q331" s="48" t="str">
        <x:v>https://shenzhen.leyoujia.com/zf/detail/4s51XTNYRLTJtv5TEujfmV.html</x:v>
      </x:c>
      <x:c r="R331" s="48" t="str">
        <x:v>2026-08-13</x:v>
      </x:c>
    </x:row>
    <x:row r="332">
      <x:c r="A332" s="48" t="str">
        <x:v>园岭新村一区</x:v>
      </x:c>
      <x:c r="B332" s="48" t="str">
        <x:v>园岭新村</x:v>
      </x:c>
      <x:c r="C332" s="48" t="str">
        <x:v>红岭</x:v>
      </x:c>
      <x:c r="D332" s="56" t="n">
        <x:v>4.5</x:v>
      </x:c>
      <x:c r="E332" s="61" t="n">
        <x:v>4500</x:v>
      </x:c>
      <x:c r="F332" s="61" t="n">
        <x:v>36.61</x:v>
      </x:c>
      <x:c r="G332" s="61" t="n">
        <x:v>122.9</x:v>
      </x:c>
      <x:c r="H332" s="48" t="str">
        <x:v>1室1厅1</x:v>
      </x:c>
      <x:c r="I332" s="48" t="str">
        <x:v>南</x:v>
      </x:c>
      <x:c r="J332" s="48" t="str">
        <x:v>普装</x:v>
      </x:c>
      <x:c r="K332" s="48" t="str">
        <x:v>普通住宅</x:v>
      </x:c>
      <x:c r="L332" s="48" t="str">
        <x:v>是</x:v>
      </x:c>
      <x:c r="M332" s="48" t="str">
        <x:v>保留</x:v>
      </x:c>
      <x:c r="N332" s="48" t="str">
        <x:v>园岭新村|1室1厅1|37|4500|南</x:v>
      </x:c>
      <x:c r="O332" s="48"/>
      <x:c r="P332" s="48" t="str">
        <x:v>未知（未逐条补齐）</x:v>
      </x:c>
      <x:c r="Q332" s="48" t="str">
        <x:v>https://shenzhen.leyoujia.com/zf/detail/WajMs142eZcViyTzpSp4yJ.html</x:v>
      </x:c>
      <x:c r="R332" s="48" t="str">
        <x:v>2026-08-13</x:v>
      </x:c>
    </x:row>
    <x:row r="333">
      <x:c r="A333" s="48" t="str">
        <x:v>园岭新村一区</x:v>
      </x:c>
      <x:c r="B333" s="48" t="str">
        <x:v>园岭新村</x:v>
      </x:c>
      <x:c r="C333" s="48" t="str">
        <x:v>红岭</x:v>
      </x:c>
      <x:c r="D333" s="56" t="n">
        <x:v>4.5</x:v>
      </x:c>
      <x:c r="E333" s="61" t="n">
        <x:v>4500</x:v>
      </x:c>
      <x:c r="F333" s="61" t="n">
        <x:v>40</x:v>
      </x:c>
      <x:c r="G333" s="61" t="n">
        <x:v>112.5</x:v>
      </x:c>
      <x:c r="H333" s="48" t="str">
        <x:v>1室1厅1</x:v>
      </x:c>
      <x:c r="I333" s="48" t="str">
        <x:v>南</x:v>
      </x:c>
      <x:c r="J333" s="48" t="str">
        <x:v>精装</x:v>
      </x:c>
      <x:c r="K333" s="48" t="str">
        <x:v>普通住宅</x:v>
      </x:c>
      <x:c r="L333" s="48" t="str">
        <x:v>是</x:v>
      </x:c>
      <x:c r="M333" s="48" t="str">
        <x:v>保留</x:v>
      </x:c>
      <x:c r="N333" s="48" t="str">
        <x:v>园岭新村|1室1厅1|40|4500|南</x:v>
      </x:c>
      <x:c r="O333" s="48"/>
      <x:c r="P333" s="48" t="str">
        <x:v>未知（未逐条补齐）</x:v>
      </x:c>
      <x:c r="Q333" s="48" t="str">
        <x:v>https://shenzhen.leyoujia.com/zf/detail/VDBwLVLxf6Mwqx3tRf7bvJ.html</x:v>
      </x:c>
      <x:c r="R333" s="48" t="str">
        <x:v>2026-08-13</x:v>
      </x:c>
    </x:row>
    <x:row r="334">
      <x:c r="A334" s="48" t="str">
        <x:v>能源宿舍</x:v>
      </x:c>
      <x:c r="B334" s="48" t="str">
        <x:v>能源宿舍</x:v>
      </x:c>
      <x:c r="C334" s="48" t="str">
        <x:v>红岭</x:v>
      </x:c>
      <x:c r="D334" s="56" t="n">
        <x:v>4.1</x:v>
      </x:c>
      <x:c r="E334" s="61" t="n">
        <x:v>2680</x:v>
      </x:c>
      <x:c r="F334" s="61" t="n">
        <x:v>20</x:v>
      </x:c>
      <x:c r="G334" s="61" t="n">
        <x:v>134</x:v>
      </x:c>
      <x:c r="H334" s="48" t="str">
        <x:v>1室0厅1</x:v>
      </x:c>
      <x:c r="I334" s="48" t="str">
        <x:v>南</x:v>
      </x:c>
      <x:c r="J334" s="48" t="str">
        <x:v>待核</x:v>
      </x:c>
      <x:c r="K334" s="48" t="str">
        <x:v>住宅</x:v>
      </x:c>
      <x:c r="L334" s="48" t="str">
        <x:v>是</x:v>
      </x:c>
      <x:c r="M334" s="48" t="str">
        <x:v>保留</x:v>
      </x:c>
      <x:c r="N334" s="48" t="str">
        <x:v>能源宿舍|1室0厅1|20|2680|南</x:v>
      </x:c>
      <x:c r="O334" s="48"/>
      <x:c r="P334" s="48" t="str">
        <x:v>未知（未逐条补齐）</x:v>
      </x:c>
      <x:c r="Q334" s="48" t="str">
        <x:v>https://shenzhen.leyoujia.com/zf/detail/25T228GkFakAnV4Wbc44tV.html</x:v>
      </x:c>
      <x:c r="R334" s="48" t="str">
        <x:v>2026-08-13</x:v>
      </x:c>
    </x:row>
    <x:row r="335">
      <x:c r="A335" s="48" t="str">
        <x:v>能源宿舍</x:v>
      </x:c>
      <x:c r="B335" s="48" t="str">
        <x:v>能源宿舍</x:v>
      </x:c>
      <x:c r="C335" s="48" t="str">
        <x:v>红岭</x:v>
      </x:c>
      <x:c r="D335" s="56" t="n">
        <x:v>4.1</x:v>
      </x:c>
      <x:c r="E335" s="61" t="n">
        <x:v>2860</x:v>
      </x:c>
      <x:c r="F335" s="61" t="n">
        <x:v>28</x:v>
      </x:c>
      <x:c r="G335" s="61" t="n">
        <x:v>102.1</x:v>
      </x:c>
      <x:c r="H335" s="48" t="str">
        <x:v>1室0厅1</x:v>
      </x:c>
      <x:c r="I335" s="48" t="str">
        <x:v>南</x:v>
      </x:c>
      <x:c r="J335" s="48" t="str">
        <x:v>精装</x:v>
      </x:c>
      <x:c r="K335" s="48" t="str">
        <x:v>普通住宅</x:v>
      </x:c>
      <x:c r="L335" s="48" t="str">
        <x:v>是</x:v>
      </x:c>
      <x:c r="M335" s="48" t="str">
        <x:v>保留</x:v>
      </x:c>
      <x:c r="N335" s="48" t="str">
        <x:v>能源宿舍|1室0厅1|28|2860|南</x:v>
      </x:c>
      <x:c r="O335" s="48"/>
      <x:c r="P335" s="48" t="str">
        <x:v>未知（未逐条补齐）</x:v>
      </x:c>
      <x:c r="Q335" s="48" t="str">
        <x:v>https://shenzhen.leyoujia.com/zf/detail/7brSo2apCmm7jS3fK9ABgi.html</x:v>
      </x:c>
      <x:c r="R335" s="48" t="str">
        <x:v>2026-08-13</x:v>
      </x:c>
    </x:row>
    <x:row r="336">
      <x:c r="A336" s="48" t="str">
        <x:v>能源宿舍</x:v>
      </x:c>
      <x:c r="B336" s="48" t="str">
        <x:v>能源宿舍</x:v>
      </x:c>
      <x:c r="C336" s="48" t="str">
        <x:v>红岭</x:v>
      </x:c>
      <x:c r="D336" s="56" t="n">
        <x:v>4.1</x:v>
      </x:c>
      <x:c r="E336" s="61" t="n">
        <x:v>2980</x:v>
      </x:c>
      <x:c r="F336" s="61" t="n">
        <x:v>35</x:v>
      </x:c>
      <x:c r="G336" s="61" t="n">
        <x:v>85.1</x:v>
      </x:c>
      <x:c r="H336" s="48" t="str">
        <x:v>1室0厅1</x:v>
      </x:c>
      <x:c r="I336" s="48" t="str">
        <x:v>东</x:v>
      </x:c>
      <x:c r="J336" s="48" t="str">
        <x:v>精装</x:v>
      </x:c>
      <x:c r="K336" s="48" t="str">
        <x:v>普通住宅</x:v>
      </x:c>
      <x:c r="L336" s="48" t="str">
        <x:v>是</x:v>
      </x:c>
      <x:c r="M336" s="48" t="str">
        <x:v>保留</x:v>
      </x:c>
      <x:c r="N336" s="48" t="str">
        <x:v>能源宿舍|1室0厅1|35|2980|东</x:v>
      </x:c>
      <x:c r="O336" s="48"/>
      <x:c r="P336" s="48" t="str">
        <x:v>未知（未逐条补齐）</x:v>
      </x:c>
      <x:c r="Q336" s="48" t="str">
        <x:v>https://shenzhen.leyoujia.com/zf/detail/HAm6AF1s3UxgmZ4UKXRZ4a.html</x:v>
      </x:c>
      <x:c r="R336" s="48" t="str">
        <x:v>2026-08-13</x:v>
      </x:c>
    </x:row>
    <x:row r="337">
      <x:c r="A337" s="48" t="str">
        <x:v>能源宿舍</x:v>
      </x:c>
      <x:c r="B337" s="48" t="str">
        <x:v>能源宿舍</x:v>
      </x:c>
      <x:c r="C337" s="48" t="str">
        <x:v>红岭</x:v>
      </x:c>
      <x:c r="D337" s="56" t="n">
        <x:v>4.1</x:v>
      </x:c>
      <x:c r="E337" s="61" t="n">
        <x:v>3200</x:v>
      </x:c>
      <x:c r="F337" s="61" t="n">
        <x:v>20</x:v>
      </x:c>
      <x:c r="G337" s="61" t="n">
        <x:v>160</x:v>
      </x:c>
      <x:c r="H337" s="48" t="str">
        <x:v>1室0厅1</x:v>
      </x:c>
      <x:c r="I337" s="48" t="str">
        <x:v>东</x:v>
      </x:c>
      <x:c r="J337" s="48" t="str">
        <x:v>待核</x:v>
      </x:c>
      <x:c r="K337" s="48" t="str">
        <x:v>住宅</x:v>
      </x:c>
      <x:c r="L337" s="48" t="str">
        <x:v>是</x:v>
      </x:c>
      <x:c r="M337" s="48" t="str">
        <x:v>保留</x:v>
      </x:c>
      <x:c r="N337" s="48" t="str">
        <x:v>能源宿舍|1室0厅1|20|3200|东</x:v>
      </x:c>
      <x:c r="O337" s="48"/>
      <x:c r="P337" s="48" t="str">
        <x:v>未知（未逐条补齐）</x:v>
      </x:c>
      <x:c r="Q337" s="48" t="str">
        <x:v>https://shenzhen.leyoujia.com/zf/detail/ShzQGvCX76PNrfRszpDAgD.html</x:v>
      </x:c>
      <x:c r="R337" s="48" t="str">
        <x:v>2026-08-13</x:v>
      </x:c>
    </x:row>
    <x:row r="338">
      <x:c r="A338" s="48" t="str">
        <x:v>红桂二街2号大院</x:v>
      </x:c>
      <x:c r="B338" s="48" t="str">
        <x:v>红桂二街2号大院</x:v>
      </x:c>
      <x:c r="C338" s="48" t="str">
        <x:v>红岭</x:v>
      </x:c>
      <x:c r="D338" s="56" t="n">
        <x:v>5.5</x:v>
      </x:c>
      <x:c r="E338" s="61" t="n">
        <x:v>2500</x:v>
      </x:c>
      <x:c r="F338" s="61" t="n">
        <x:v>12</x:v>
      </x:c>
      <x:c r="G338" s="61" t="n">
        <x:v>208.3</x:v>
      </x:c>
      <x:c r="H338" s="48" t="str">
        <x:v>1室0厅0</x:v>
      </x:c>
      <x:c r="I338" s="48" t="str">
        <x:v>东</x:v>
      </x:c>
      <x:c r="J338" s="48" t="str">
        <x:v>待核</x:v>
      </x:c>
      <x:c r="K338" s="48" t="str">
        <x:v>普通住宅</x:v>
      </x:c>
      <x:c r="L338" s="48" t="str">
        <x:v>是</x:v>
      </x:c>
      <x:c r="M338" s="48" t="str">
        <x:v>保留</x:v>
      </x:c>
      <x:c r="N338" s="48" t="str">
        <x:v>红桂二街2号大院|1室0厅0|12|2500|东</x:v>
      </x:c>
      <x:c r="O338" s="48"/>
      <x:c r="P338" s="48" t="str">
        <x:v>未知（未逐条补齐）</x:v>
      </x:c>
      <x:c r="Q338" s="48" t="str">
        <x:v>https://shenzhen.leyoujia.com/zf/detail/95MXmQSJJpfqef3BdTwsHN.html</x:v>
      </x:c>
      <x:c r="R338" s="48" t="str">
        <x:v>2026-08-13</x:v>
      </x:c>
    </x:row>
    <x:row r="339">
      <x:c r="A339" s="48" t="str">
        <x:v>红桂二街2号大院</x:v>
      </x:c>
      <x:c r="B339" s="48" t="str">
        <x:v>红桂二街2号大院</x:v>
      </x:c>
      <x:c r="C339" s="48" t="str">
        <x:v>红岭</x:v>
      </x:c>
      <x:c r="D339" s="56" t="n">
        <x:v>5.5</x:v>
      </x:c>
      <x:c r="E339" s="61" t="n">
        <x:v>2500</x:v>
      </x:c>
      <x:c r="F339" s="61" t="n">
        <x:v>20</x:v>
      </x:c>
      <x:c r="G339" s="61" t="n">
        <x:v>125</x:v>
      </x:c>
      <x:c r="H339" s="48" t="str">
        <x:v>1室0厅0</x:v>
      </x:c>
      <x:c r="I339" s="48" t="str">
        <x:v>南</x:v>
      </x:c>
      <x:c r="J339" s="48" t="str">
        <x:v>普装</x:v>
      </x:c>
      <x:c r="K339" s="48" t="str">
        <x:v>普通住宅</x:v>
      </x:c>
      <x:c r="L339" s="48" t="str">
        <x:v>是</x:v>
      </x:c>
      <x:c r="M339" s="48" t="str">
        <x:v>保留</x:v>
      </x:c>
      <x:c r="N339" s="48" t="str">
        <x:v>红桂二街2号大院|1室0厅0|20|2500|南</x:v>
      </x:c>
      <x:c r="O339" s="48"/>
      <x:c r="P339" s="48" t="str">
        <x:v>未知（未逐条补齐）</x:v>
      </x:c>
      <x:c r="Q339" s="48" t="str">
        <x:v>https://shenzhen.leyoujia.com/zf/detail/9JBhTU86D6BtEUAWxdbTq2.html</x:v>
      </x:c>
      <x:c r="R339" s="48" t="str">
        <x:v>2026-08-13</x:v>
      </x:c>
    </x:row>
    <x:row r="340">
      <x:c r="A340" s="48" t="str">
        <x:v>松园小区</x:v>
      </x:c>
      <x:c r="B340" s="48" t="str">
        <x:v>松园小区</x:v>
      </x:c>
      <x:c r="C340" s="48" t="str">
        <x:v>红岭</x:v>
      </x:c>
      <x:c r="D340" s="56" t="n">
        <x:v>6.6</x:v>
      </x:c>
      <x:c r="E340" s="61" t="n">
        <x:v>2400</x:v>
      </x:c>
      <x:c r="F340" s="61" t="n">
        <x:v>20</x:v>
      </x:c>
      <x:c r="G340" s="61" t="n">
        <x:v>120</x:v>
      </x:c>
      <x:c r="H340" s="48" t="str">
        <x:v>1室0厅1</x:v>
      </x:c>
      <x:c r="I340" s="48" t="str">
        <x:v>南</x:v>
      </x:c>
      <x:c r="J340" s="48" t="str">
        <x:v>精装</x:v>
      </x:c>
      <x:c r="K340" s="48" t="str">
        <x:v>公寓</x:v>
      </x:c>
      <x:c r="L340" s="48" t="str">
        <x:v>是</x:v>
      </x:c>
      <x:c r="M340" s="48" t="str">
        <x:v>保留</x:v>
      </x:c>
      <x:c r="N340" s="48" t="str">
        <x:v>松园小区|1室0厅1|20|2400|南</x:v>
      </x:c>
      <x:c r="O340" s="48"/>
      <x:c r="P340" s="48" t="str">
        <x:v>未知（未逐条补齐）</x:v>
      </x:c>
      <x:c r="Q340" s="48" t="str">
        <x:v>https://shenzhen.leyoujia.com/zf/detail/VixmH4zYBTVegFt1t2w6nc.html</x:v>
      </x:c>
      <x:c r="R340" s="48" t="str">
        <x:v>2026-08-13</x:v>
      </x:c>
    </x:row>
    <x:row r="341">
      <x:c r="A341" s="48" t="str">
        <x:v>松园小区</x:v>
      </x:c>
      <x:c r="B341" s="48" t="str">
        <x:v>松园小区</x:v>
      </x:c>
      <x:c r="C341" s="48" t="str">
        <x:v>红岭</x:v>
      </x:c>
      <x:c r="D341" s="56" t="n">
        <x:v>6.6</x:v>
      </x:c>
      <x:c r="E341" s="61" t="n">
        <x:v>2580</x:v>
      </x:c>
      <x:c r="F341" s="61" t="n">
        <x:v>30</x:v>
      </x:c>
      <x:c r="G341" s="61" t="n">
        <x:v>86</x:v>
      </x:c>
      <x:c r="H341" s="48" t="str">
        <x:v>1室0厅1</x:v>
      </x:c>
      <x:c r="I341" s="48" t="str">
        <x:v>南</x:v>
      </x:c>
      <x:c r="J341" s="48" t="str">
        <x:v>精装</x:v>
      </x:c>
      <x:c r="K341" s="48" t="str">
        <x:v>公寓</x:v>
      </x:c>
      <x:c r="L341" s="48" t="str">
        <x:v>是</x:v>
      </x:c>
      <x:c r="M341" s="48" t="str">
        <x:v>保留</x:v>
      </x:c>
      <x:c r="N341" s="48" t="str">
        <x:v>松园小区|1室0厅1|30|2580|南</x:v>
      </x:c>
      <x:c r="O341" s="48"/>
      <x:c r="P341" s="48" t="str">
        <x:v>未知（未逐条补齐）</x:v>
      </x:c>
      <x:c r="Q341" s="48" t="str">
        <x:v>https://shenzhen.leyoujia.com/zf/detail/H1xBdr5KBauKBiYpis6dbL.html</x:v>
      </x:c>
      <x:c r="R341" s="48" t="str">
        <x:v>2026-08-13</x:v>
      </x:c>
    </x:row>
    <x:row r="342">
      <x:c r="A342" s="48" t="str">
        <x:v>松园小区</x:v>
      </x:c>
      <x:c r="B342" s="48" t="str">
        <x:v>松园小区</x:v>
      </x:c>
      <x:c r="C342" s="48" t="str">
        <x:v>红岭</x:v>
      </x:c>
      <x:c r="D342" s="56" t="n">
        <x:v>6.6</x:v>
      </x:c>
      <x:c r="E342" s="61" t="n">
        <x:v>2780</x:v>
      </x:c>
      <x:c r="F342" s="61" t="n">
        <x:v>30</x:v>
      </x:c>
      <x:c r="G342" s="61" t="n">
        <x:v>92.7</x:v>
      </x:c>
      <x:c r="H342" s="48" t="str">
        <x:v>1室0厅1</x:v>
      </x:c>
      <x:c r="I342" s="48" t="str">
        <x:v>南</x:v>
      </x:c>
      <x:c r="J342" s="48" t="str">
        <x:v>精装</x:v>
      </x:c>
      <x:c r="K342" s="48" t="str">
        <x:v>公寓</x:v>
      </x:c>
      <x:c r="L342" s="48" t="str">
        <x:v>是</x:v>
      </x:c>
      <x:c r="M342" s="48" t="str">
        <x:v>保留</x:v>
      </x:c>
      <x:c r="N342" s="48" t="str">
        <x:v>松园小区|1室0厅1|30|2780|南</x:v>
      </x:c>
      <x:c r="O342" s="48"/>
      <x:c r="P342" s="48" t="str">
        <x:v>未知（未逐条补齐）</x:v>
      </x:c>
      <x:c r="Q342" s="48" t="str">
        <x:v>https://shenzhen.leyoujia.com/zf/detail/Fotezpr99P89XuB25n7wv7.html</x:v>
      </x:c>
      <x:c r="R342" s="48" t="str">
        <x:v>2026-08-13</x:v>
      </x:c>
    </x:row>
    <x:row r="343">
      <x:c r="A343" s="48" t="str">
        <x:v>幸福华府</x:v>
      </x:c>
      <x:c r="B343" s="48" t="str">
        <x:v>幸福华府</x:v>
      </x:c>
      <x:c r="C343" s="48" t="str">
        <x:v>红岭</x:v>
      </x:c>
      <x:c r="D343" s="56" t="n">
        <x:v>8.9</x:v>
      </x:c>
      <x:c r="E343" s="61" t="n">
        <x:v>3500</x:v>
      </x:c>
      <x:c r="F343" s="61" t="n">
        <x:v>33</x:v>
      </x:c>
      <x:c r="G343" s="61" t="n">
        <x:v>106.1</x:v>
      </x:c>
      <x:c r="H343" s="48" t="str">
        <x:v>1室0厅1</x:v>
      </x:c>
      <x:c r="I343" s="48" t="str">
        <x:v>北</x:v>
      </x:c>
      <x:c r="J343" s="48" t="str">
        <x:v>精装</x:v>
      </x:c>
      <x:c r="K343" s="48" t="str">
        <x:v>酒店式公寓</x:v>
      </x:c>
      <x:c r="L343" s="48" t="str">
        <x:v>是</x:v>
      </x:c>
      <x:c r="M343" s="48" t="str">
        <x:v>保留</x:v>
      </x:c>
      <x:c r="N343" s="48" t="str">
        <x:v>幸福华府|1室0厅1|33|3500|北</x:v>
      </x:c>
      <x:c r="O343" s="48"/>
      <x:c r="P343" s="48" t="str">
        <x:v>未知（未逐条补齐）</x:v>
      </x:c>
      <x:c r="Q343" s="48" t="str">
        <x:v>https://shenzhen.leyoujia.com/zf/detail/JbREutzr16qGLQorsC6L1X.html</x:v>
      </x:c>
      <x:c r="R343" s="48" t="str">
        <x:v>2026-08-13</x:v>
      </x:c>
    </x:row>
    <x:row r="344">
      <x:c r="A344" s="48" t="str">
        <x:v>幸福华府</x:v>
      </x:c>
      <x:c r="B344" s="48" t="str">
        <x:v>幸福华府</x:v>
      </x:c>
      <x:c r="C344" s="48" t="str">
        <x:v>红岭</x:v>
      </x:c>
      <x:c r="D344" s="56" t="n">
        <x:v>8.9</x:v>
      </x:c>
      <x:c r="E344" s="61" t="n">
        <x:v>3600</x:v>
      </x:c>
      <x:c r="F344" s="61" t="n">
        <x:v>35</x:v>
      </x:c>
      <x:c r="G344" s="61" t="n">
        <x:v>102.9</x:v>
      </x:c>
      <x:c r="H344" s="48" t="str">
        <x:v>1室0厅1</x:v>
      </x:c>
      <x:c r="I344" s="48" t="str">
        <x:v>南</x:v>
      </x:c>
      <x:c r="J344" s="48" t="str">
        <x:v>普装</x:v>
      </x:c>
      <x:c r="K344" s="48" t="str">
        <x:v>酒店式公寓</x:v>
      </x:c>
      <x:c r="L344" s="48" t="str">
        <x:v>是</x:v>
      </x:c>
      <x:c r="M344" s="48" t="str">
        <x:v>保留</x:v>
      </x:c>
      <x:c r="N344" s="48" t="str">
        <x:v>幸福华府|1室0厅1|35|3600|南</x:v>
      </x:c>
      <x:c r="O344" s="48"/>
      <x:c r="P344" s="48" t="str">
        <x:v>未知（未逐条补齐）</x:v>
      </x:c>
      <x:c r="Q344" s="48" t="str">
        <x:v>https://shenzhen.leyoujia.com/zf/detail/P3AEkd9nqp8TDGisj1eRUy.html</x:v>
      </x:c>
      <x:c r="R344" s="48" t="str">
        <x:v>2026-08-13</x:v>
      </x:c>
    </x:row>
    <x:row r="345">
      <x:c r="A345" s="48" t="str">
        <x:v>红桂皇冠名庭</x:v>
      </x:c>
      <x:c r="B345" s="48" t="str">
        <x:v>红桂皇冠</x:v>
      </x:c>
      <x:c r="C345" s="48" t="str">
        <x:v>红岭</x:v>
      </x:c>
      <x:c r="D345" s="56" t="n">
        <x:v>7.5</x:v>
      </x:c>
      <x:c r="E345" s="61" t="n">
        <x:v>2800</x:v>
      </x:c>
      <x:c r="F345" s="61" t="n">
        <x:v>29.77</x:v>
      </x:c>
      <x:c r="G345" s="61" t="n">
        <x:v>94.1</x:v>
      </x:c>
      <x:c r="H345" s="48" t="str">
        <x:v>1室0厅1</x:v>
      </x:c>
      <x:c r="I345" s="48" t="str">
        <x:v>北</x:v>
      </x:c>
      <x:c r="J345" s="48" t="str">
        <x:v>精装</x:v>
      </x:c>
      <x:c r="K345" s="48" t="str">
        <x:v>普通住宅</x:v>
      </x:c>
      <x:c r="L345" s="48" t="str">
        <x:v>是</x:v>
      </x:c>
      <x:c r="M345" s="48" t="str">
        <x:v>保留</x:v>
      </x:c>
      <x:c r="N345" s="48" t="str">
        <x:v>红桂皇冠|1室0厅1|30|2800|北</x:v>
      </x:c>
      <x:c r="O345" s="48"/>
      <x:c r="P345" s="48" t="str">
        <x:v>未知（未逐条补齐）</x:v>
      </x:c>
      <x:c r="Q345" s="48" t="str">
        <x:v>https://shenzhen.leyoujia.com/zf/detail/Pr2NekymFF7RW9bnJYJ8vD.html</x:v>
      </x:c>
      <x:c r="R345" s="48" t="str">
        <x:v>2026-08-13</x:v>
      </x:c>
    </x:row>
    <x:row r="346">
      <x:c r="A346" s="48" t="str">
        <x:v>红桂皇冠名庭</x:v>
      </x:c>
      <x:c r="B346" s="48" t="str">
        <x:v>红桂皇冠</x:v>
      </x:c>
      <x:c r="C346" s="48" t="str">
        <x:v>红岭</x:v>
      </x:c>
      <x:c r="D346" s="56" t="n">
        <x:v>7.5</x:v>
      </x:c>
      <x:c r="E346" s="61" t="n">
        <x:v>2900</x:v>
      </x:c>
      <x:c r="F346" s="61" t="n">
        <x:v>26.17</x:v>
      </x:c>
      <x:c r="G346" s="61" t="n">
        <x:v>110.8</x:v>
      </x:c>
      <x:c r="H346" s="48" t="str">
        <x:v>1室0厅1</x:v>
      </x:c>
      <x:c r="I346" s="48" t="str">
        <x:v>西</x:v>
      </x:c>
      <x:c r="J346" s="48" t="str">
        <x:v>精装</x:v>
      </x:c>
      <x:c r="K346" s="48" t="str">
        <x:v>普通住宅</x:v>
      </x:c>
      <x:c r="L346" s="48" t="str">
        <x:v>是</x:v>
      </x:c>
      <x:c r="M346" s="48" t="str">
        <x:v>保留</x:v>
      </x:c>
      <x:c r="N346" s="48" t="str">
        <x:v>红桂皇冠|1室0厅1|26|2900|西</x:v>
      </x:c>
      <x:c r="O346" s="48"/>
      <x:c r="P346" s="48" t="str">
        <x:v>未知（未逐条补齐）</x:v>
      </x:c>
      <x:c r="Q346" s="48" t="str">
        <x:v>https://shenzhen.leyoujia.com/zf/detail/3z4nWHLaWGAgHpoHcujsMK.html</x:v>
      </x:c>
      <x:c r="R346" s="48" t="str">
        <x:v>2026-08-13</x:v>
      </x:c>
    </x:row>
    <x:row r="347">
      <x:c r="A347" s="48" t="str">
        <x:v>红桂皇冠名庭</x:v>
      </x:c>
      <x:c r="B347" s="48" t="str">
        <x:v>红桂皇冠</x:v>
      </x:c>
      <x:c r="C347" s="48" t="str">
        <x:v>红岭</x:v>
      </x:c>
      <x:c r="D347" s="56" t="n">
        <x:v>7.5</x:v>
      </x:c>
      <x:c r="E347" s="61" t="n">
        <x:v>3000</x:v>
      </x:c>
      <x:c r="F347" s="61" t="n">
        <x:v>30.15</x:v>
      </x:c>
      <x:c r="G347" s="61" t="n">
        <x:v>99.5</x:v>
      </x:c>
      <x:c r="H347" s="48" t="str">
        <x:v>1室0厅1</x:v>
      </x:c>
      <x:c r="I347" s="48" t="str">
        <x:v>北</x:v>
      </x:c>
      <x:c r="J347" s="48" t="str">
        <x:v>普装</x:v>
      </x:c>
      <x:c r="K347" s="48" t="str">
        <x:v>公寓</x:v>
      </x:c>
      <x:c r="L347" s="48" t="str">
        <x:v>是</x:v>
      </x:c>
      <x:c r="M347" s="48" t="str">
        <x:v>保留</x:v>
      </x:c>
      <x:c r="N347" s="48" t="str">
        <x:v>红桂皇冠|1室0厅1|30|3000|北</x:v>
      </x:c>
      <x:c r="O347" s="48"/>
      <x:c r="P347" s="48" t="str">
        <x:v>未知（未逐条补齐）</x:v>
      </x:c>
      <x:c r="Q347" s="48" t="str">
        <x:v>https://shenzhen.leyoujia.com/zf/detail/CUrAiqZkWwXHv818HcFCgK.html</x:v>
      </x:c>
      <x:c r="R347" s="48" t="str">
        <x:v>2026-08-13</x:v>
      </x:c>
    </x:row>
    <x:row r="348">
      <x:c r="A348" s="48" t="str">
        <x:v>红桂皇冠名庭</x:v>
      </x:c>
      <x:c r="B348" s="48" t="str">
        <x:v>红桂皇冠</x:v>
      </x:c>
      <x:c r="C348" s="48" t="str">
        <x:v>红岭</x:v>
      </x:c>
      <x:c r="D348" s="56" t="n">
        <x:v>7.5</x:v>
      </x:c>
      <x:c r="E348" s="61" t="n">
        <x:v>3000</x:v>
      </x:c>
      <x:c r="F348" s="61" t="n">
        <x:v>30.08</x:v>
      </x:c>
      <x:c r="G348" s="61" t="n">
        <x:v>99.7</x:v>
      </x:c>
      <x:c r="H348" s="48" t="str">
        <x:v>1室0厅1</x:v>
      </x:c>
      <x:c r="I348" s="48" t="str">
        <x:v>西</x:v>
      </x:c>
      <x:c r="J348" s="48" t="str">
        <x:v>精装</x:v>
      </x:c>
      <x:c r="K348" s="48" t="str">
        <x:v>普通住宅</x:v>
      </x:c>
      <x:c r="L348" s="48" t="str">
        <x:v>是</x:v>
      </x:c>
      <x:c r="M348" s="48" t="str">
        <x:v>保留</x:v>
      </x:c>
      <x:c r="N348" s="48" t="str">
        <x:v>红桂皇冠|1室0厅1|30|3000|西</x:v>
      </x:c>
      <x:c r="O348" s="48"/>
      <x:c r="P348" s="48" t="str">
        <x:v>未知（未逐条补齐）</x:v>
      </x:c>
      <x:c r="Q348" s="48" t="str">
        <x:v>https://shenzhen.leyoujia.com/zf/detail/ReY2qnM8yk2uwZNZpvKnv4.html</x:v>
      </x:c>
      <x:c r="R348" s="48" t="str">
        <x:v>2026-08-13</x:v>
      </x:c>
    </x:row>
    <x:row r="349">
      <x:c r="A349" s="48" t="str">
        <x:v>红桂皇冠名庭</x:v>
      </x:c>
      <x:c r="B349" s="48" t="str">
        <x:v>红桂皇冠</x:v>
      </x:c>
      <x:c r="C349" s="48" t="str">
        <x:v>红岭</x:v>
      </x:c>
      <x:c r="D349" s="56" t="n">
        <x:v>7.5</x:v>
      </x:c>
      <x:c r="E349" s="61" t="n">
        <x:v>3000</x:v>
      </x:c>
      <x:c r="F349" s="61" t="n">
        <x:v>26.17</x:v>
      </x:c>
      <x:c r="G349" s="61" t="n">
        <x:v>114.6</x:v>
      </x:c>
      <x:c r="H349" s="48" t="str">
        <x:v>1室0厅1</x:v>
      </x:c>
      <x:c r="I349" s="48" t="str">
        <x:v>东</x:v>
      </x:c>
      <x:c r="J349" s="48" t="str">
        <x:v>精装</x:v>
      </x:c>
      <x:c r="K349" s="48" t="str">
        <x:v>普通住宅</x:v>
      </x:c>
      <x:c r="L349" s="48" t="str">
        <x:v>是</x:v>
      </x:c>
      <x:c r="M349" s="48" t="str">
        <x:v>保留</x:v>
      </x:c>
      <x:c r="N349" s="48" t="str">
        <x:v>红桂皇冠|1室0厅1|26|3000|东</x:v>
      </x:c>
      <x:c r="O349" s="48"/>
      <x:c r="P349" s="48" t="str">
        <x:v>未知（未逐条补齐）</x:v>
      </x:c>
      <x:c r="Q349" s="48" t="str">
        <x:v>https://shenzhen.leyoujia.com/zf/detail/R3FD8JRH4zoPBSUX1YhnCH.html</x:v>
      </x:c>
      <x:c r="R349" s="48" t="str">
        <x:v>2026-08-13</x:v>
      </x:c>
    </x:row>
    <x:row r="350">
      <x:c r="A350" s="48" t="str">
        <x:v>红桂皇冠名庭</x:v>
      </x:c>
      <x:c r="B350" s="48" t="str">
        <x:v>红桂皇冠</x:v>
      </x:c>
      <x:c r="C350" s="48" t="str">
        <x:v>红岭</x:v>
      </x:c>
      <x:c r="D350" s="56" t="n">
        <x:v>7.5</x:v>
      </x:c>
      <x:c r="E350" s="61" t="n">
        <x:v>3100</x:v>
      </x:c>
      <x:c r="F350" s="61" t="n">
        <x:v>30.03</x:v>
      </x:c>
      <x:c r="G350" s="61" t="n">
        <x:v>103.2</x:v>
      </x:c>
      <x:c r="H350" s="48" t="str">
        <x:v>1室0厅1</x:v>
      </x:c>
      <x:c r="I350" s="48" t="str">
        <x:v>南</x:v>
      </x:c>
      <x:c r="J350" s="48" t="str">
        <x:v>精装</x:v>
      </x:c>
      <x:c r="K350" s="48" t="str">
        <x:v>普通住宅</x:v>
      </x:c>
      <x:c r="L350" s="48" t="str">
        <x:v>是</x:v>
      </x:c>
      <x:c r="M350" s="48" t="str">
        <x:v>保留</x:v>
      </x:c>
      <x:c r="N350" s="48" t="str">
        <x:v>红桂皇冠|1室0厅1|30|3100|南</x:v>
      </x:c>
      <x:c r="O350" s="48"/>
      <x:c r="P350" s="48" t="str">
        <x:v>未知（未逐条补齐）</x:v>
      </x:c>
      <x:c r="Q350" s="48" t="str">
        <x:v>https://shenzhen.leyoujia.com/zf/detail/XGiEuLyNA9qEN1LYJfSfkQ.html</x:v>
      </x:c>
      <x:c r="R350" s="48" t="str">
        <x:v>2026-08-13</x:v>
      </x:c>
    </x:row>
    <x:row r="351">
      <x:c r="A351" s="48" t="str">
        <x:v>红桂皇冠名庭</x:v>
      </x:c>
      <x:c r="B351" s="48" t="str">
        <x:v>红桂皇冠</x:v>
      </x:c>
      <x:c r="C351" s="48" t="str">
        <x:v>红岭</x:v>
      </x:c>
      <x:c r="D351" s="56" t="n">
        <x:v>7.5</x:v>
      </x:c>
      <x:c r="E351" s="61" t="n">
        <x:v>3200</x:v>
      </x:c>
      <x:c r="F351" s="61" t="n">
        <x:v>29.86</x:v>
      </x:c>
      <x:c r="G351" s="61" t="n">
        <x:v>107.2</x:v>
      </x:c>
      <x:c r="H351" s="48" t="str">
        <x:v>1室0厅1</x:v>
      </x:c>
      <x:c r="I351" s="48" t="str">
        <x:v>南</x:v>
      </x:c>
      <x:c r="J351" s="48" t="str">
        <x:v>精装</x:v>
      </x:c>
      <x:c r="K351" s="48" t="str">
        <x:v>普通住宅</x:v>
      </x:c>
      <x:c r="L351" s="48" t="str">
        <x:v>是</x:v>
      </x:c>
      <x:c r="M351" s="48" t="str">
        <x:v>保留</x:v>
      </x:c>
      <x:c r="N351" s="48" t="str">
        <x:v>红桂皇冠|1室0厅1|30|3200|南</x:v>
      </x:c>
      <x:c r="O351" s="48"/>
      <x:c r="P351" s="48" t="str">
        <x:v>未知（未逐条补齐）</x:v>
      </x:c>
      <x:c r="Q351" s="48" t="str">
        <x:v>https://shenzhen.leyoujia.com/zf/detail/29aHxu8tPBZwNDtQ9UbQSd.html</x:v>
      </x:c>
      <x:c r="R351" s="48" t="str">
        <x:v>2026-08-13</x:v>
      </x:c>
    </x:row>
    <x:row r="352">
      <x:c r="A352" s="48" t="str">
        <x:v>红桂皇冠名庭</x:v>
      </x:c>
      <x:c r="B352" s="48" t="str">
        <x:v>红桂皇冠</x:v>
      </x:c>
      <x:c r="C352" s="48" t="str">
        <x:v>红岭</x:v>
      </x:c>
      <x:c r="D352" s="56" t="n">
        <x:v>7.5</x:v>
      </x:c>
      <x:c r="E352" s="61" t="n">
        <x:v>3200</x:v>
      </x:c>
      <x:c r="F352" s="61" t="n">
        <x:v>26.87</x:v>
      </x:c>
      <x:c r="G352" s="61" t="n">
        <x:v>119.1</x:v>
      </x:c>
      <x:c r="H352" s="48" t="str">
        <x:v>1室0厅1</x:v>
      </x:c>
      <x:c r="I352" s="48" t="str">
        <x:v>西北</x:v>
      </x:c>
      <x:c r="J352" s="48" t="str">
        <x:v>精装</x:v>
      </x:c>
      <x:c r="K352" s="48" t="str">
        <x:v>普通住宅</x:v>
      </x:c>
      <x:c r="L352" s="48" t="str">
        <x:v>是</x:v>
      </x:c>
      <x:c r="M352" s="48" t="str">
        <x:v>保留</x:v>
      </x:c>
      <x:c r="N352" s="48" t="str">
        <x:v>红桂皇冠|1室0厅1|27|3200|西北</x:v>
      </x:c>
      <x:c r="O352" s="48"/>
      <x:c r="P352" s="48" t="str">
        <x:v>未知（未逐条补齐）</x:v>
      </x:c>
      <x:c r="Q352" s="48" t="str">
        <x:v>https://shenzhen.leyoujia.com/zf/detail/NbsMu5V2V3QZhsK9nNS91a.html</x:v>
      </x:c>
      <x:c r="R352" s="48" t="str">
        <x:v>2026-08-13</x:v>
      </x:c>
    </x:row>
    <x:row r="353">
      <x:c r="A353" s="48" t="str">
        <x:v>红桂皇冠名庭</x:v>
      </x:c>
      <x:c r="B353" s="48" t="str">
        <x:v>红桂皇冠</x:v>
      </x:c>
      <x:c r="C353" s="48" t="str">
        <x:v>红岭</x:v>
      </x:c>
      <x:c r="D353" s="56" t="n">
        <x:v>7.5</x:v>
      </x:c>
      <x:c r="E353" s="61" t="n">
        <x:v>3200</x:v>
      </x:c>
      <x:c r="F353" s="61" t="n">
        <x:v>26.17</x:v>
      </x:c>
      <x:c r="G353" s="61" t="n">
        <x:v>122.3</x:v>
      </x:c>
      <x:c r="H353" s="48" t="str">
        <x:v>1室0厅1</x:v>
      </x:c>
      <x:c r="I353" s="48" t="str">
        <x:v>东</x:v>
      </x:c>
      <x:c r="J353" s="48" t="str">
        <x:v>精装</x:v>
      </x:c>
      <x:c r="K353" s="48" t="str">
        <x:v>普通住宅</x:v>
      </x:c>
      <x:c r="L353" s="48" t="str">
        <x:v>是</x:v>
      </x:c>
      <x:c r="M353" s="48" t="str">
        <x:v>保留</x:v>
      </x:c>
      <x:c r="N353" s="48" t="str">
        <x:v>红桂皇冠|1室0厅1|26|3200|东</x:v>
      </x:c>
      <x:c r="O353" s="48"/>
      <x:c r="P353" s="48" t="str">
        <x:v>未知（未逐条补齐）</x:v>
      </x:c>
      <x:c r="Q353" s="48" t="str">
        <x:v>https://shenzhen.leyoujia.com/zf/detail/4mLywtCTMeWaoPKqqSx5cS.html</x:v>
      </x:c>
      <x:c r="R353" s="48" t="str">
        <x:v>2026-08-13</x:v>
      </x:c>
    </x:row>
    <x:row r="354">
      <x:c r="A354" s="48" t="str">
        <x:v>红桂皇冠名庭</x:v>
      </x:c>
      <x:c r="B354" s="48" t="str">
        <x:v>红桂皇冠</x:v>
      </x:c>
      <x:c r="C354" s="48" t="str">
        <x:v>红岭</x:v>
      </x:c>
      <x:c r="D354" s="56" t="n">
        <x:v>7.5</x:v>
      </x:c>
      <x:c r="E354" s="61" t="n">
        <x:v>3200</x:v>
      </x:c>
      <x:c r="F354" s="61" t="n">
        <x:v>26.17</x:v>
      </x:c>
      <x:c r="G354" s="61" t="n">
        <x:v>122.3</x:v>
      </x:c>
      <x:c r="H354" s="48" t="str">
        <x:v>1室0厅1</x:v>
      </x:c>
      <x:c r="I354" s="48" t="str">
        <x:v>东</x:v>
      </x:c>
      <x:c r="J354" s="48" t="str">
        <x:v>精装</x:v>
      </x:c>
      <x:c r="K354" s="48" t="str">
        <x:v>普通住宅</x:v>
      </x:c>
      <x:c r="L354" s="48" t="str">
        <x:v>否</x:v>
      </x:c>
      <x:c r="M354" s="48" t="str">
        <x:v>疑似重复挂牌</x:v>
      </x:c>
      <x:c r="N354" s="48" t="str">
        <x:v>红桂皇冠|1室0厅1|26|3200|东</x:v>
      </x:c>
      <x:c r="O354" s="48"/>
      <x:c r="P354" s="48" t="str">
        <x:v>未知（未逐条补齐）</x:v>
      </x:c>
      <x:c r="Q354" s="48" t="str">
        <x:v>https://shenzhen.leyoujia.com/zf/detail/YKm2ysEiZZ4GStrmzdFxby.html</x:v>
      </x:c>
      <x:c r="R354" s="48" t="str">
        <x:v>2026-08-13</x:v>
      </x:c>
    </x:row>
    <x:row r="355">
      <x:c r="A355" s="48" t="str">
        <x:v>红桂皇冠名庭</x:v>
      </x:c>
      <x:c r="B355" s="48" t="str">
        <x:v>红桂皇冠</x:v>
      </x:c>
      <x:c r="C355" s="48" t="str">
        <x:v>红岭</x:v>
      </x:c>
      <x:c r="D355" s="56" t="n">
        <x:v>7.5</x:v>
      </x:c>
      <x:c r="E355" s="61" t="n">
        <x:v>3200</x:v>
      </x:c>
      <x:c r="F355" s="61" t="n">
        <x:v>29.95</x:v>
      </x:c>
      <x:c r="G355" s="61" t="n">
        <x:v>106.8</x:v>
      </x:c>
      <x:c r="H355" s="48" t="str">
        <x:v>1室0厅1</x:v>
      </x:c>
      <x:c r="I355" s="48" t="str">
        <x:v>西</x:v>
      </x:c>
      <x:c r="J355" s="48" t="str">
        <x:v>豪装</x:v>
      </x:c>
      <x:c r="K355" s="48" t="str">
        <x:v>普通住宅</x:v>
      </x:c>
      <x:c r="L355" s="48" t="str">
        <x:v>是</x:v>
      </x:c>
      <x:c r="M355" s="48" t="str">
        <x:v>保留</x:v>
      </x:c>
      <x:c r="N355" s="48" t="str">
        <x:v>红桂皇冠|1室0厅1|30|3200|西</x:v>
      </x:c>
      <x:c r="O355" s="48"/>
      <x:c r="P355" s="48" t="str">
        <x:v>未知（未逐条补齐）</x:v>
      </x:c>
      <x:c r="Q355" s="48" t="str">
        <x:v>https://shenzhen.leyoujia.com/zf/detail/EmudttLzuogckrJgYjiq3M.html</x:v>
      </x:c>
      <x:c r="R355" s="48" t="str">
        <x:v>2026-08-13</x:v>
      </x:c>
    </x:row>
    <x:row r="356">
      <x:c r="A356" s="48" t="str">
        <x:v>红桂皇冠名庭</x:v>
      </x:c>
      <x:c r="B356" s="48" t="str">
        <x:v>红桂皇冠</x:v>
      </x:c>
      <x:c r="C356" s="48" t="str">
        <x:v>红岭</x:v>
      </x:c>
      <x:c r="D356" s="56" t="n">
        <x:v>7.5</x:v>
      </x:c>
      <x:c r="E356" s="61" t="n">
        <x:v>3300</x:v>
      </x:c>
      <x:c r="F356" s="61" t="n">
        <x:v>26.93</x:v>
      </x:c>
      <x:c r="G356" s="61" t="n">
        <x:v>122.5</x:v>
      </x:c>
      <x:c r="H356" s="48" t="str">
        <x:v>1室0厅1</x:v>
      </x:c>
      <x:c r="I356" s="48" t="str">
        <x:v>西</x:v>
      </x:c>
      <x:c r="J356" s="48" t="str">
        <x:v>精装</x:v>
      </x:c>
      <x:c r="K356" s="48" t="str">
        <x:v>公寓</x:v>
      </x:c>
      <x:c r="L356" s="48" t="str">
        <x:v>是</x:v>
      </x:c>
      <x:c r="M356" s="48" t="str">
        <x:v>保留</x:v>
      </x:c>
      <x:c r="N356" s="48" t="str">
        <x:v>红桂皇冠|1室0厅1|27|3300|西</x:v>
      </x:c>
      <x:c r="O356" s="48"/>
      <x:c r="P356" s="48" t="str">
        <x:v>未知（未逐条补齐）</x:v>
      </x:c>
      <x:c r="Q356" s="48" t="str">
        <x:v>https://shenzhen.leyoujia.com/zf/detail/DUtbjtyG8wvGsDHNVjEDhE.html</x:v>
      </x:c>
      <x:c r="R356" s="48" t="str">
        <x:v>2026-08-13</x:v>
      </x:c>
    </x:row>
    <x:row r="357">
      <x:c r="A357" s="48" t="str">
        <x:v>红桂皇冠名庭</x:v>
      </x:c>
      <x:c r="B357" s="48" t="str">
        <x:v>红桂皇冠</x:v>
      </x:c>
      <x:c r="C357" s="48" t="str">
        <x:v>红岭</x:v>
      </x:c>
      <x:c r="D357" s="56" t="n">
        <x:v>7.5</x:v>
      </x:c>
      <x:c r="E357" s="61" t="n">
        <x:v>3300</x:v>
      </x:c>
      <x:c r="F357" s="61" t="n">
        <x:v>26.92</x:v>
      </x:c>
      <x:c r="G357" s="61" t="n">
        <x:v>122.6</x:v>
      </x:c>
      <x:c r="H357" s="48" t="str">
        <x:v>1室0厅1</x:v>
      </x:c>
      <x:c r="I357" s="48" t="str">
        <x:v>西</x:v>
      </x:c>
      <x:c r="J357" s="48" t="str">
        <x:v>普装</x:v>
      </x:c>
      <x:c r="K357" s="48" t="str">
        <x:v>普通住宅</x:v>
      </x:c>
      <x:c r="L357" s="48" t="str">
        <x:v>否</x:v>
      </x:c>
      <x:c r="M357" s="48" t="str">
        <x:v>疑似重复挂牌</x:v>
      </x:c>
      <x:c r="N357" s="48" t="str">
        <x:v>红桂皇冠|1室0厅1|27|3300|西</x:v>
      </x:c>
      <x:c r="O357" s="48"/>
      <x:c r="P357" s="48" t="str">
        <x:v>未知（未逐条补齐）</x:v>
      </x:c>
      <x:c r="Q357" s="48" t="str">
        <x:v>https://shenzhen.leyoujia.com/zf/detail/9n9zBsg6NpKvcv6a1ncKQv.html</x:v>
      </x:c>
      <x:c r="R357" s="48" t="str">
        <x:v>2026-08-13</x:v>
      </x:c>
    </x:row>
    <x:row r="358">
      <x:c r="A358" s="48" t="str">
        <x:v>红桂皇冠名庭</x:v>
      </x:c>
      <x:c r="B358" s="48" t="str">
        <x:v>红桂皇冠</x:v>
      </x:c>
      <x:c r="C358" s="48" t="str">
        <x:v>红岭</x:v>
      </x:c>
      <x:c r="D358" s="56" t="n">
        <x:v>7.5</x:v>
      </x:c>
      <x:c r="E358" s="61" t="n">
        <x:v>3300</x:v>
      </x:c>
      <x:c r="F358" s="61" t="n">
        <x:v>29.86</x:v>
      </x:c>
      <x:c r="G358" s="61" t="n">
        <x:v>110.5</x:v>
      </x:c>
      <x:c r="H358" s="48" t="str">
        <x:v>1室0厅1</x:v>
      </x:c>
      <x:c r="I358" s="48" t="str">
        <x:v>南</x:v>
      </x:c>
      <x:c r="J358" s="48" t="str">
        <x:v>精装</x:v>
      </x:c>
      <x:c r="K358" s="48" t="str">
        <x:v>普通住宅</x:v>
      </x:c>
      <x:c r="L358" s="48" t="str">
        <x:v>是</x:v>
      </x:c>
      <x:c r="M358" s="48" t="str">
        <x:v>保留</x:v>
      </x:c>
      <x:c r="N358" s="48" t="str">
        <x:v>红桂皇冠|1室0厅1|30|3300|南</x:v>
      </x:c>
      <x:c r="O358" s="48"/>
      <x:c r="P358" s="48" t="str">
        <x:v>未知（未逐条补齐）</x:v>
      </x:c>
      <x:c r="Q358" s="48" t="str">
        <x:v>https://shenzhen.leyoujia.com/zf/detail/4R4cJQbwJzZuH8Vdy82StU.html</x:v>
      </x:c>
      <x:c r="R358" s="48" t="str">
        <x:v>2026-08-13</x:v>
      </x:c>
    </x:row>
    <x:row r="359">
      <x:c r="A359" s="48" t="str">
        <x:v>红桂皇冠名庭</x:v>
      </x:c>
      <x:c r="B359" s="48" t="str">
        <x:v>红桂皇冠</x:v>
      </x:c>
      <x:c r="C359" s="48" t="str">
        <x:v>红岭</x:v>
      </x:c>
      <x:c r="D359" s="56" t="n">
        <x:v>7.5</x:v>
      </x:c>
      <x:c r="E359" s="61" t="n">
        <x:v>3300</x:v>
      </x:c>
      <x:c r="F359" s="61" t="n">
        <x:v>26.82</x:v>
      </x:c>
      <x:c r="G359" s="61" t="n">
        <x:v>123</x:v>
      </x:c>
      <x:c r="H359" s="48" t="str">
        <x:v>1室0厅1</x:v>
      </x:c>
      <x:c r="I359" s="48" t="str">
        <x:v>西</x:v>
      </x:c>
      <x:c r="J359" s="48" t="str">
        <x:v>普装</x:v>
      </x:c>
      <x:c r="K359" s="48" t="str">
        <x:v>普通住宅</x:v>
      </x:c>
      <x:c r="L359" s="48" t="str">
        <x:v>否</x:v>
      </x:c>
      <x:c r="M359" s="48" t="str">
        <x:v>疑似重复挂牌</x:v>
      </x:c>
      <x:c r="N359" s="48" t="str">
        <x:v>红桂皇冠|1室0厅1|27|3300|西</x:v>
      </x:c>
      <x:c r="O359" s="48"/>
      <x:c r="P359" s="48" t="str">
        <x:v>未知（未逐条补齐）</x:v>
      </x:c>
      <x:c r="Q359" s="48" t="str">
        <x:v>https://shenzhen.leyoujia.com/zf/detail/TpDLge2jLmLFrHGLywBrcJ.html</x:v>
      </x:c>
      <x:c r="R359" s="48" t="str">
        <x:v>2026-08-13</x:v>
      </x:c>
    </x:row>
    <x:row r="360">
      <x:c r="A360" s="48" t="str">
        <x:v>红桂皇冠名庭</x:v>
      </x:c>
      <x:c r="B360" s="48" t="str">
        <x:v>红桂皇冠</x:v>
      </x:c>
      <x:c r="C360" s="48" t="str">
        <x:v>红岭</x:v>
      </x:c>
      <x:c r="D360" s="56" t="n">
        <x:v>7.5</x:v>
      </x:c>
      <x:c r="E360" s="61" t="n">
        <x:v>3300</x:v>
      </x:c>
      <x:c r="F360" s="61" t="n">
        <x:v>35.99</x:v>
      </x:c>
      <x:c r="G360" s="61" t="n">
        <x:v>91.7</x:v>
      </x:c>
      <x:c r="H360" s="48" t="str">
        <x:v>1室1厅1</x:v>
      </x:c>
      <x:c r="I360" s="48" t="str">
        <x:v>东北</x:v>
      </x:c>
      <x:c r="J360" s="48" t="str">
        <x:v>精装</x:v>
      </x:c>
      <x:c r="K360" s="48" t="str">
        <x:v>普通住宅</x:v>
      </x:c>
      <x:c r="L360" s="48" t="str">
        <x:v>是</x:v>
      </x:c>
      <x:c r="M360" s="48" t="str">
        <x:v>保留</x:v>
      </x:c>
      <x:c r="N360" s="48" t="str">
        <x:v>红桂皇冠|1室1厅1|36|3300|东北</x:v>
      </x:c>
      <x:c r="O360" s="48"/>
      <x:c r="P360" s="48" t="str">
        <x:v>未知（未逐条补齐）</x:v>
      </x:c>
      <x:c r="Q360" s="48" t="str">
        <x:v>https://shenzhen.leyoujia.com/zf/detail/14tF5mPjGjFgJASMh4Ps9B.html</x:v>
      </x:c>
      <x:c r="R360" s="48" t="str">
        <x:v>2026-08-13</x:v>
      </x:c>
    </x:row>
    <x:row r="361">
      <x:c r="A361" s="48" t="str">
        <x:v>红桂皇冠名庭</x:v>
      </x:c>
      <x:c r="B361" s="48" t="str">
        <x:v>红桂皇冠</x:v>
      </x:c>
      <x:c r="C361" s="48" t="str">
        <x:v>红岭</x:v>
      </x:c>
      <x:c r="D361" s="56" t="n">
        <x:v>7.5</x:v>
      </x:c>
      <x:c r="E361" s="61" t="n">
        <x:v>3300</x:v>
      </x:c>
      <x:c r="F361" s="61" t="n">
        <x:v>30.08</x:v>
      </x:c>
      <x:c r="G361" s="61" t="n">
        <x:v>109.7</x:v>
      </x:c>
      <x:c r="H361" s="48" t="str">
        <x:v>1室0厅1</x:v>
      </x:c>
      <x:c r="I361" s="48" t="str">
        <x:v>南</x:v>
      </x:c>
      <x:c r="J361" s="48" t="str">
        <x:v>普装</x:v>
      </x:c>
      <x:c r="K361" s="48" t="str">
        <x:v>普通住宅</x:v>
      </x:c>
      <x:c r="L361" s="48" t="str">
        <x:v>否</x:v>
      </x:c>
      <x:c r="M361" s="48" t="str">
        <x:v>疑似重复挂牌</x:v>
      </x:c>
      <x:c r="N361" s="48" t="str">
        <x:v>红桂皇冠|1室0厅1|30|3300|南</x:v>
      </x:c>
      <x:c r="O361" s="48"/>
      <x:c r="P361" s="48" t="str">
        <x:v>未知（未逐条补齐）</x:v>
      </x:c>
      <x:c r="Q361" s="48" t="str">
        <x:v>https://shenzhen.leyoujia.com/zf/detail/FYpxpUimZjjE4HzdRUB7dm.html</x:v>
      </x:c>
      <x:c r="R361" s="48" t="str">
        <x:v>2026-08-13</x:v>
      </x:c>
    </x:row>
    <x:row r="362">
      <x:c r="A362" s="48" t="str">
        <x:v>红桂皇冠名庭</x:v>
      </x:c>
      <x:c r="B362" s="48" t="str">
        <x:v>红桂皇冠</x:v>
      </x:c>
      <x:c r="C362" s="48" t="str">
        <x:v>红岭</x:v>
      </x:c>
      <x:c r="D362" s="56" t="n">
        <x:v>7.5</x:v>
      </x:c>
      <x:c r="E362" s="61" t="n">
        <x:v>3500</x:v>
      </x:c>
      <x:c r="F362" s="61" t="n">
        <x:v>35.79</x:v>
      </x:c>
      <x:c r="G362" s="61" t="n">
        <x:v>97.8</x:v>
      </x:c>
      <x:c r="H362" s="48" t="str">
        <x:v>1室1厅1</x:v>
      </x:c>
      <x:c r="I362" s="48" t="str">
        <x:v>南</x:v>
      </x:c>
      <x:c r="J362" s="48" t="str">
        <x:v>精装</x:v>
      </x:c>
      <x:c r="K362" s="48" t="str">
        <x:v>普通住宅</x:v>
      </x:c>
      <x:c r="L362" s="48" t="str">
        <x:v>是</x:v>
      </x:c>
      <x:c r="M362" s="48" t="str">
        <x:v>保留</x:v>
      </x:c>
      <x:c r="N362" s="48" t="str">
        <x:v>红桂皇冠|1室1厅1|36|3500|南</x:v>
      </x:c>
      <x:c r="O362" s="48"/>
      <x:c r="P362" s="48" t="str">
        <x:v>未知（未逐条补齐）</x:v>
      </x:c>
      <x:c r="Q362" s="48" t="str">
        <x:v>https://shenzhen.leyoujia.com/zf/detail/3g85T8EkZCTMCQYXro28w2.html</x:v>
      </x:c>
      <x:c r="R362" s="48" t="str">
        <x:v>2026-08-13</x:v>
      </x:c>
    </x:row>
    <x:row r="363">
      <x:c r="A363" s="48" t="str">
        <x:v>红桂皇冠名庭</x:v>
      </x:c>
      <x:c r="B363" s="48" t="str">
        <x:v>红桂皇冠</x:v>
      </x:c>
      <x:c r="C363" s="48" t="str">
        <x:v>红岭</x:v>
      </x:c>
      <x:c r="D363" s="56" t="n">
        <x:v>7.5</x:v>
      </x:c>
      <x:c r="E363" s="61" t="n">
        <x:v>3500</x:v>
      </x:c>
      <x:c r="F363" s="61" t="n">
        <x:v>41.79</x:v>
      </x:c>
      <x:c r="G363" s="61" t="n">
        <x:v>83.8</x:v>
      </x:c>
      <x:c r="H363" s="48" t="str">
        <x:v>1室1厅1</x:v>
      </x:c>
      <x:c r="I363" s="48" t="str">
        <x:v>北</x:v>
      </x:c>
      <x:c r="J363" s="48" t="str">
        <x:v>精装</x:v>
      </x:c>
      <x:c r="K363" s="48" t="str">
        <x:v>普通住宅</x:v>
      </x:c>
      <x:c r="L363" s="48" t="str">
        <x:v>是</x:v>
      </x:c>
      <x:c r="M363" s="48" t="str">
        <x:v>保留</x:v>
      </x:c>
      <x:c r="N363" s="48" t="str">
        <x:v>红桂皇冠|1室1厅1|42|3500|北</x:v>
      </x:c>
      <x:c r="O363" s="48"/>
      <x:c r="P363" s="48" t="str">
        <x:v>未知（未逐条补齐）</x:v>
      </x:c>
      <x:c r="Q363" s="48" t="str">
        <x:v>https://shenzhen.leyoujia.com/zf/detail/QSYxkN9L5imwqLh7FmrmQf.html</x:v>
      </x:c>
      <x:c r="R363" s="48" t="str">
        <x:v>2026-08-13</x:v>
      </x:c>
    </x:row>
    <x:row r="364">
      <x:c r="A364" s="48" t="str">
        <x:v>红桂皇冠名庭</x:v>
      </x:c>
      <x:c r="B364" s="48" t="str">
        <x:v>红桂皇冠</x:v>
      </x:c>
      <x:c r="C364" s="48" t="str">
        <x:v>红岭</x:v>
      </x:c>
      <x:c r="D364" s="56" t="n">
        <x:v>7.5</x:v>
      </x:c>
      <x:c r="E364" s="61" t="n">
        <x:v>3700</x:v>
      </x:c>
      <x:c r="F364" s="61" t="n">
        <x:v>37.15</x:v>
      </x:c>
      <x:c r="G364" s="61" t="n">
        <x:v>99.6</x:v>
      </x:c>
      <x:c r="H364" s="48" t="str">
        <x:v>1室0厅1</x:v>
      </x:c>
      <x:c r="I364" s="48" t="str">
        <x:v>东北</x:v>
      </x:c>
      <x:c r="J364" s="48" t="str">
        <x:v>精装</x:v>
      </x:c>
      <x:c r="K364" s="48" t="str">
        <x:v>普通住宅</x:v>
      </x:c>
      <x:c r="L364" s="48" t="str">
        <x:v>是</x:v>
      </x:c>
      <x:c r="M364" s="48" t="str">
        <x:v>保留</x:v>
      </x:c>
      <x:c r="N364" s="48" t="str">
        <x:v>红桂皇冠|1室0厅1|37|3700|东北</x:v>
      </x:c>
      <x:c r="O364" s="48"/>
      <x:c r="P364" s="48" t="str">
        <x:v>未知（未逐条补齐）</x:v>
      </x:c>
      <x:c r="Q364" s="48" t="str">
        <x:v>https://shenzhen.leyoujia.com/zf/detail/WLQjdZjU1MRmqGNGS6jeGb.html</x:v>
      </x:c>
      <x:c r="R364" s="48" t="str">
        <x:v>2026-08-13</x:v>
      </x:c>
    </x:row>
    <x:row r="365">
      <x:c r="A365" s="48" t="str">
        <x:v>红桂皇冠名庭</x:v>
      </x:c>
      <x:c r="B365" s="48" t="str">
        <x:v>红桂皇冠</x:v>
      </x:c>
      <x:c r="C365" s="48" t="str">
        <x:v>红岭</x:v>
      </x:c>
      <x:c r="D365" s="56" t="n">
        <x:v>7.5</x:v>
      </x:c>
      <x:c r="E365" s="61" t="n">
        <x:v>3800</x:v>
      </x:c>
      <x:c r="F365" s="61" t="n">
        <x:v>41.8</x:v>
      </x:c>
      <x:c r="G365" s="61" t="n">
        <x:v>90.9</x:v>
      </x:c>
      <x:c r="H365" s="48" t="str">
        <x:v>1室0厅1</x:v>
      </x:c>
      <x:c r="I365" s="48" t="str">
        <x:v>南</x:v>
      </x:c>
      <x:c r="J365" s="48" t="str">
        <x:v>精装</x:v>
      </x:c>
      <x:c r="K365" s="48" t="str">
        <x:v>普通住宅</x:v>
      </x:c>
      <x:c r="L365" s="48" t="str">
        <x:v>是</x:v>
      </x:c>
      <x:c r="M365" s="48" t="str">
        <x:v>保留</x:v>
      </x:c>
      <x:c r="N365" s="48" t="str">
        <x:v>红桂皇冠|1室0厅1|42|3800|南</x:v>
      </x:c>
      <x:c r="O365" s="48"/>
      <x:c r="P365" s="48" t="str">
        <x:v>未知（未逐条补齐）</x:v>
      </x:c>
      <x:c r="Q365" s="48" t="str">
        <x:v>https://shenzhen.leyoujia.com/zf/detail/GKAkLYY2ddY8KmomvR7Q7Q.html</x:v>
      </x:c>
      <x:c r="R365" s="48" t="str">
        <x:v>2026-08-13</x:v>
      </x:c>
    </x:row>
    <x:row r="366">
      <x:c r="A366" s="48" t="str">
        <x:v>红桂皇冠名庭</x:v>
      </x:c>
      <x:c r="B366" s="48" t="str">
        <x:v>红桂皇冠</x:v>
      </x:c>
      <x:c r="C366" s="48" t="str">
        <x:v>红岭</x:v>
      </x:c>
      <x:c r="D366" s="56" t="n">
        <x:v>7.5</x:v>
      </x:c>
      <x:c r="E366" s="61" t="n">
        <x:v>3900</x:v>
      </x:c>
      <x:c r="F366" s="61" t="n">
        <x:v>44.84</x:v>
      </x:c>
      <x:c r="G366" s="61" t="n">
        <x:v>87</x:v>
      </x:c>
      <x:c r="H366" s="48" t="str">
        <x:v>1室1厅1</x:v>
      </x:c>
      <x:c r="I366" s="48" t="str">
        <x:v>东北</x:v>
      </x:c>
      <x:c r="J366" s="48" t="str">
        <x:v>精装</x:v>
      </x:c>
      <x:c r="K366" s="48" t="str">
        <x:v>普通住宅</x:v>
      </x:c>
      <x:c r="L366" s="48" t="str">
        <x:v>是</x:v>
      </x:c>
      <x:c r="M366" s="48" t="str">
        <x:v>保留</x:v>
      </x:c>
      <x:c r="N366" s="48" t="str">
        <x:v>红桂皇冠|1室1厅1|45|3900|东北</x:v>
      </x:c>
      <x:c r="O366" s="48"/>
      <x:c r="P366" s="48" t="str">
        <x:v>未知（未逐条补齐）</x:v>
      </x:c>
      <x:c r="Q366" s="48" t="str">
        <x:v>https://shenzhen.leyoujia.com/zf/detail/VHArq1jAJ2Ft8ApiFmvsYu.html</x:v>
      </x:c>
      <x:c r="R366" s="48" t="str">
        <x:v>2026-08-13</x:v>
      </x:c>
    </x:row>
    <x:row r="367">
      <x:c r="A367" s="48" t="str">
        <x:v>红桂皇冠名庭</x:v>
      </x:c>
      <x:c r="B367" s="48" t="str">
        <x:v>红桂皇冠</x:v>
      </x:c>
      <x:c r="C367" s="48" t="str">
        <x:v>红岭</x:v>
      </x:c>
      <x:c r="D367" s="56" t="n">
        <x:v>7.5</x:v>
      </x:c>
      <x:c r="E367" s="61" t="n">
        <x:v>3900</x:v>
      </x:c>
      <x:c r="F367" s="61" t="n">
        <x:v>44.84</x:v>
      </x:c>
      <x:c r="G367" s="61" t="n">
        <x:v>87</x:v>
      </x:c>
      <x:c r="H367" s="48" t="str">
        <x:v>1室1厅1</x:v>
      </x:c>
      <x:c r="I367" s="48" t="str">
        <x:v>东北</x:v>
      </x:c>
      <x:c r="J367" s="48" t="str">
        <x:v>精装</x:v>
      </x:c>
      <x:c r="K367" s="48" t="str">
        <x:v>普通住宅</x:v>
      </x:c>
      <x:c r="L367" s="48" t="str">
        <x:v>否</x:v>
      </x:c>
      <x:c r="M367" s="48" t="str">
        <x:v>疑似重复挂牌</x:v>
      </x:c>
      <x:c r="N367" s="48" t="str">
        <x:v>红桂皇冠|1室1厅1|45|3900|东北</x:v>
      </x:c>
      <x:c r="O367" s="48"/>
      <x:c r="P367" s="48" t="str">
        <x:v>未知（未逐条补齐）</x:v>
      </x:c>
      <x:c r="Q367" s="48" t="str">
        <x:v>https://shenzhen.leyoujia.com/zf/detail/XDtSHTHnnFgTNLf6BwT91o.html</x:v>
      </x:c>
      <x:c r="R367" s="48" t="str">
        <x:v>2026-08-13</x:v>
      </x:c>
    </x:row>
    <x:row r="368">
      <x:c r="A368" s="48" t="str">
        <x:v>红桂皇冠名庭</x:v>
      </x:c>
      <x:c r="B368" s="48" t="str">
        <x:v>红桂皇冠</x:v>
      </x:c>
      <x:c r="C368" s="48" t="str">
        <x:v>红岭</x:v>
      </x:c>
      <x:c r="D368" s="56" t="n">
        <x:v>7.5</x:v>
      </x:c>
      <x:c r="E368" s="61" t="n">
        <x:v>3900</x:v>
      </x:c>
      <x:c r="F368" s="61" t="n">
        <x:v>41.8</x:v>
      </x:c>
      <x:c r="G368" s="61" t="n">
        <x:v>93.3</x:v>
      </x:c>
      <x:c r="H368" s="48" t="str">
        <x:v>1室1厅1</x:v>
      </x:c>
      <x:c r="I368" s="48" t="str">
        <x:v>北</x:v>
      </x:c>
      <x:c r="J368" s="48" t="str">
        <x:v>精装</x:v>
      </x:c>
      <x:c r="K368" s="48" t="str">
        <x:v>普通住宅</x:v>
      </x:c>
      <x:c r="L368" s="48" t="str">
        <x:v>是</x:v>
      </x:c>
      <x:c r="M368" s="48" t="str">
        <x:v>保留</x:v>
      </x:c>
      <x:c r="N368" s="48" t="str">
        <x:v>红桂皇冠|1室1厅1|42|3900|北</x:v>
      </x:c>
      <x:c r="O368" s="48"/>
      <x:c r="P368" s="48" t="str">
        <x:v>未知（未逐条补齐）</x:v>
      </x:c>
      <x:c r="Q368" s="48" t="str">
        <x:v>https://shenzhen.leyoujia.com/zf/detail/2nnVW1NnJu3wYjvAacu7Ep.html</x:v>
      </x:c>
      <x:c r="R368" s="48" t="str">
        <x:v>2026-08-13</x:v>
      </x:c>
    </x:row>
    <x:row r="369">
      <x:c r="A369" s="48" t="str">
        <x:v>红桂皇冠名庭</x:v>
      </x:c>
      <x:c r="B369" s="48" t="str">
        <x:v>红桂皇冠</x:v>
      </x:c>
      <x:c r="C369" s="48" t="str">
        <x:v>红岭</x:v>
      </x:c>
      <x:c r="D369" s="56" t="n">
        <x:v>7.5</x:v>
      </x:c>
      <x:c r="E369" s="61" t="n">
        <x:v>4000</x:v>
      </x:c>
      <x:c r="F369" s="61" t="n">
        <x:v>41.5</x:v>
      </x:c>
      <x:c r="G369" s="61" t="n">
        <x:v>96.4</x:v>
      </x:c>
      <x:c r="H369" s="48" t="str">
        <x:v>1室1厅1</x:v>
      </x:c>
      <x:c r="I369" s="48" t="str">
        <x:v>北</x:v>
      </x:c>
      <x:c r="J369" s="48" t="str">
        <x:v>精装</x:v>
      </x:c>
      <x:c r="K369" s="48" t="str">
        <x:v>普通住宅</x:v>
      </x:c>
      <x:c r="L369" s="48" t="str">
        <x:v>是</x:v>
      </x:c>
      <x:c r="M369" s="48" t="str">
        <x:v>保留</x:v>
      </x:c>
      <x:c r="N369" s="48" t="str">
        <x:v>红桂皇冠|1室1厅1|42|4000|北</x:v>
      </x:c>
      <x:c r="O369" s="48"/>
      <x:c r="P369" s="48" t="str">
        <x:v>未知（未逐条补齐）</x:v>
      </x:c>
      <x:c r="Q369" s="48" t="str">
        <x:v>https://shenzhen.leyoujia.com/zf/detail/4SRSNHYrU4U18BJUyY7GnW.html</x:v>
      </x:c>
      <x:c r="R369" s="48" t="str">
        <x:v>2026-08-13</x:v>
      </x:c>
    </x:row>
    <x:row r="370">
      <x:c r="A370" s="48" t="str">
        <x:v>红桂皇冠名庭</x:v>
      </x:c>
      <x:c r="B370" s="48" t="str">
        <x:v>红桂皇冠</x:v>
      </x:c>
      <x:c r="C370" s="48" t="str">
        <x:v>红岭</x:v>
      </x:c>
      <x:c r="D370" s="56" t="n">
        <x:v>7.5</x:v>
      </x:c>
      <x:c r="E370" s="61" t="n">
        <x:v>4000</x:v>
      </x:c>
      <x:c r="F370" s="61" t="n">
        <x:v>42.18</x:v>
      </x:c>
      <x:c r="G370" s="61" t="n">
        <x:v>94.8</x:v>
      </x:c>
      <x:c r="H370" s="48" t="str">
        <x:v>1室1厅1</x:v>
      </x:c>
      <x:c r="I370" s="48" t="str">
        <x:v>北</x:v>
      </x:c>
      <x:c r="J370" s="48" t="str">
        <x:v>精装</x:v>
      </x:c>
      <x:c r="K370" s="48" t="str">
        <x:v>公寓</x:v>
      </x:c>
      <x:c r="L370" s="48" t="str">
        <x:v>否</x:v>
      </x:c>
      <x:c r="M370" s="48" t="str">
        <x:v>疑似重复挂牌</x:v>
      </x:c>
      <x:c r="N370" s="48" t="str">
        <x:v>红桂皇冠|1室1厅1|42|4000|北</x:v>
      </x:c>
      <x:c r="O370" s="48"/>
      <x:c r="P370" s="48" t="str">
        <x:v>未知（未逐条补齐）</x:v>
      </x:c>
      <x:c r="Q370" s="48" t="str">
        <x:v>https://shenzhen.leyoujia.com/zf/detail/C38gfAweBvRbfhGR9BxMsK.html</x:v>
      </x:c>
      <x:c r="R370" s="48" t="str">
        <x:v>2026-08-13</x:v>
      </x:c>
    </x:row>
    <x:row r="371">
      <x:c r="A371" s="48" t="str">
        <x:v>红桂皇冠名庭</x:v>
      </x:c>
      <x:c r="B371" s="48" t="str">
        <x:v>红桂皇冠</x:v>
      </x:c>
      <x:c r="C371" s="48" t="str">
        <x:v>红岭</x:v>
      </x:c>
      <x:c r="D371" s="56" t="n">
        <x:v>7.5</x:v>
      </x:c>
      <x:c r="E371" s="61" t="n">
        <x:v>4000</x:v>
      </x:c>
      <x:c r="F371" s="61" t="n">
        <x:v>40.47</x:v>
      </x:c>
      <x:c r="G371" s="61" t="n">
        <x:v>98.8</x:v>
      </x:c>
      <x:c r="H371" s="48" t="str">
        <x:v>1室1厅1</x:v>
      </x:c>
      <x:c r="I371" s="48" t="str">
        <x:v>南</x:v>
      </x:c>
      <x:c r="J371" s="48" t="str">
        <x:v>精装</x:v>
      </x:c>
      <x:c r="K371" s="48" t="str">
        <x:v>公寓</x:v>
      </x:c>
      <x:c r="L371" s="48" t="str">
        <x:v>是</x:v>
      </x:c>
      <x:c r="M371" s="48" t="str">
        <x:v>保留</x:v>
      </x:c>
      <x:c r="N371" s="48" t="str">
        <x:v>红桂皇冠|1室1厅1|40|4000|南</x:v>
      </x:c>
      <x:c r="O371" s="48"/>
      <x:c r="P371" s="48" t="str">
        <x:v>未知（未逐条补齐）</x:v>
      </x:c>
      <x:c r="Q371" s="48" t="str">
        <x:v>https://shenzhen.leyoujia.com/zf/detail/Cjt5eLnAvaDiw1w4tp7g8y.html</x:v>
      </x:c>
      <x:c r="R371" s="48" t="str">
        <x:v>2026-08-13</x:v>
      </x:c>
    </x:row>
    <x:row r="372">
      <x:c r="A372" s="48" t="str">
        <x:v>红桂皇冠名庭</x:v>
      </x:c>
      <x:c r="B372" s="48" t="str">
        <x:v>红桂皇冠</x:v>
      </x:c>
      <x:c r="C372" s="48" t="str">
        <x:v>红岭</x:v>
      </x:c>
      <x:c r="D372" s="56" t="n">
        <x:v>7.5</x:v>
      </x:c>
      <x:c r="E372" s="61" t="n">
        <x:v>4000</x:v>
      </x:c>
      <x:c r="F372" s="61" t="n">
        <x:v>41.02</x:v>
      </x:c>
      <x:c r="G372" s="61" t="n">
        <x:v>97.5</x:v>
      </x:c>
      <x:c r="H372" s="48" t="str">
        <x:v>1室1厅1</x:v>
      </x:c>
      <x:c r="I372" s="48" t="str">
        <x:v>南</x:v>
      </x:c>
      <x:c r="J372" s="48" t="str">
        <x:v>精装</x:v>
      </x:c>
      <x:c r="K372" s="48" t="str">
        <x:v>普通住宅</x:v>
      </x:c>
      <x:c r="L372" s="48" t="str">
        <x:v>是</x:v>
      </x:c>
      <x:c r="M372" s="48" t="str">
        <x:v>保留</x:v>
      </x:c>
      <x:c r="N372" s="48" t="str">
        <x:v>红桂皇冠|1室1厅1|41|4000|南</x:v>
      </x:c>
      <x:c r="O372" s="48"/>
      <x:c r="P372" s="48" t="str">
        <x:v>未知（未逐条补齐）</x:v>
      </x:c>
      <x:c r="Q372" s="48" t="str">
        <x:v>https://shenzhen.leyoujia.com/zf/detail/C2AwUzrNPTKNRW7QWNrovi.html</x:v>
      </x:c>
      <x:c r="R372" s="48" t="str">
        <x:v>2026-08-13</x:v>
      </x:c>
    </x:row>
    <x:row r="373">
      <x:c r="A373" s="48" t="str">
        <x:v>红桂皇冠名庭</x:v>
      </x:c>
      <x:c r="B373" s="48" t="str">
        <x:v>红桂皇冠</x:v>
      </x:c>
      <x:c r="C373" s="48" t="str">
        <x:v>红岭</x:v>
      </x:c>
      <x:c r="D373" s="56" t="n">
        <x:v>7.5</x:v>
      </x:c>
      <x:c r="E373" s="61" t="n">
        <x:v>4000</x:v>
      </x:c>
      <x:c r="F373" s="61" t="n">
        <x:v>41.79</x:v>
      </x:c>
      <x:c r="G373" s="61" t="n">
        <x:v>95.7</x:v>
      </x:c>
      <x:c r="H373" s="48" t="str">
        <x:v>1室1厅1</x:v>
      </x:c>
      <x:c r="I373" s="48" t="str">
        <x:v>北</x:v>
      </x:c>
      <x:c r="J373" s="48" t="str">
        <x:v>精装</x:v>
      </x:c>
      <x:c r="K373" s="48" t="str">
        <x:v>普通住宅</x:v>
      </x:c>
      <x:c r="L373" s="48" t="str">
        <x:v>否</x:v>
      </x:c>
      <x:c r="M373" s="48" t="str">
        <x:v>疑似重复挂牌</x:v>
      </x:c>
      <x:c r="N373" s="48" t="str">
        <x:v>红桂皇冠|1室1厅1|42|4000|北</x:v>
      </x:c>
      <x:c r="O373" s="48"/>
      <x:c r="P373" s="48" t="str">
        <x:v>未知（未逐条补齐）</x:v>
      </x:c>
      <x:c r="Q373" s="48" t="str">
        <x:v>https://shenzhen.leyoujia.com/zf/detail/BNMbqm7pdboQxWLfzKfgtq.html</x:v>
      </x:c>
      <x:c r="R373" s="48" t="str">
        <x:v>2026-08-13</x:v>
      </x:c>
    </x:row>
    <x:row r="374">
      <x:c r="A374" s="48" t="str">
        <x:v>红桂皇冠名庭</x:v>
      </x:c>
      <x:c r="B374" s="48" t="str">
        <x:v>红桂皇冠</x:v>
      </x:c>
      <x:c r="C374" s="48" t="str">
        <x:v>红岭</x:v>
      </x:c>
      <x:c r="D374" s="56" t="n">
        <x:v>7.5</x:v>
      </x:c>
      <x:c r="E374" s="61" t="n">
        <x:v>4100</x:v>
      </x:c>
      <x:c r="F374" s="61" t="n">
        <x:v>41.02</x:v>
      </x:c>
      <x:c r="G374" s="61" t="n">
        <x:v>100</x:v>
      </x:c>
      <x:c r="H374" s="48" t="str">
        <x:v>1室1厅1</x:v>
      </x:c>
      <x:c r="I374" s="48" t="str">
        <x:v>南</x:v>
      </x:c>
      <x:c r="J374" s="48" t="str">
        <x:v>普装</x:v>
      </x:c>
      <x:c r="K374" s="48" t="str">
        <x:v>普通住宅</x:v>
      </x:c>
      <x:c r="L374" s="48" t="str">
        <x:v>是</x:v>
      </x:c>
      <x:c r="M374" s="48" t="str">
        <x:v>保留</x:v>
      </x:c>
      <x:c r="N374" s="48" t="str">
        <x:v>红桂皇冠|1室1厅1|41|4100|南</x:v>
      </x:c>
      <x:c r="O374" s="48"/>
      <x:c r="P374" s="48" t="str">
        <x:v>未知（未逐条补齐）</x:v>
      </x:c>
      <x:c r="Q374" s="48" t="str">
        <x:v>https://shenzhen.leyoujia.com/zf/detail/5QPSugSWJSGrsFc2deEtqf.html</x:v>
      </x:c>
      <x:c r="R374" s="48" t="str">
        <x:v>2026-08-13</x:v>
      </x:c>
    </x:row>
    <x:row r="375">
      <x:c r="A375" s="48" t="str">
        <x:v>红桂皇冠名庭</x:v>
      </x:c>
      <x:c r="B375" s="48" t="str">
        <x:v>红桂皇冠</x:v>
      </x:c>
      <x:c r="C375" s="48" t="str">
        <x:v>红岭</x:v>
      </x:c>
      <x:c r="D375" s="56" t="n">
        <x:v>7.5</x:v>
      </x:c>
      <x:c r="E375" s="61" t="n">
        <x:v>4100</x:v>
      </x:c>
      <x:c r="F375" s="61" t="n">
        <x:v>41.21</x:v>
      </x:c>
      <x:c r="G375" s="61" t="n">
        <x:v>99.5</x:v>
      </x:c>
      <x:c r="H375" s="48" t="str">
        <x:v>1室1厅1</x:v>
      </x:c>
      <x:c r="I375" s="48" t="str">
        <x:v>南</x:v>
      </x:c>
      <x:c r="J375" s="48" t="str">
        <x:v>精装</x:v>
      </x:c>
      <x:c r="K375" s="48" t="str">
        <x:v>普通住宅</x:v>
      </x:c>
      <x:c r="L375" s="48" t="str">
        <x:v>否</x:v>
      </x:c>
      <x:c r="M375" s="48" t="str">
        <x:v>疑似重复挂牌</x:v>
      </x:c>
      <x:c r="N375" s="48" t="str">
        <x:v>红桂皇冠|1室1厅1|41|4100|南</x:v>
      </x:c>
      <x:c r="O375" s="48"/>
      <x:c r="P375" s="48" t="str">
        <x:v>未知（未逐条补齐）</x:v>
      </x:c>
      <x:c r="Q375" s="48" t="str">
        <x:v>https://shenzhen.leyoujia.com/zf/detail/MZw5hPP7rMgBmNUED9DMQx.html</x:v>
      </x:c>
      <x:c r="R375" s="48" t="str">
        <x:v>2026-08-13</x:v>
      </x:c>
    </x:row>
    <x:row r="376">
      <x:c r="A376" s="48" t="str">
        <x:v>红桂皇冠名庭</x:v>
      </x:c>
      <x:c r="B376" s="48" t="str">
        <x:v>红桂皇冠</x:v>
      </x:c>
      <x:c r="C376" s="48" t="str">
        <x:v>红岭</x:v>
      </x:c>
      <x:c r="D376" s="56" t="n">
        <x:v>7.5</x:v>
      </x:c>
      <x:c r="E376" s="61" t="n">
        <x:v>4100</x:v>
      </x:c>
      <x:c r="F376" s="61" t="n">
        <x:v>41.02</x:v>
      </x:c>
      <x:c r="G376" s="61" t="n">
        <x:v>100</x:v>
      </x:c>
      <x:c r="H376" s="48" t="str">
        <x:v>1室1厅1</x:v>
      </x:c>
      <x:c r="I376" s="48" t="str">
        <x:v>南</x:v>
      </x:c>
      <x:c r="J376" s="48" t="str">
        <x:v>精装</x:v>
      </x:c>
      <x:c r="K376" s="48" t="str">
        <x:v>公寓</x:v>
      </x:c>
      <x:c r="L376" s="48" t="str">
        <x:v>否</x:v>
      </x:c>
      <x:c r="M376" s="48" t="str">
        <x:v>疑似重复挂牌</x:v>
      </x:c>
      <x:c r="N376" s="48" t="str">
        <x:v>红桂皇冠|1室1厅1|41|4100|南</x:v>
      </x:c>
      <x:c r="O376" s="48"/>
      <x:c r="P376" s="48" t="str">
        <x:v>未知（未逐条补齐）</x:v>
      </x:c>
      <x:c r="Q376" s="48" t="str">
        <x:v>https://shenzhen.leyoujia.com/zf/detail/D7LeYitYaJJc2T2RKe8dSb.html</x:v>
      </x:c>
      <x:c r="R376" s="48" t="str">
        <x:v>2026-08-13</x:v>
      </x:c>
    </x:row>
    <x:row r="377">
      <x:c r="A377" s="48" t="str">
        <x:v>红桂皇冠名庭</x:v>
      </x:c>
      <x:c r="B377" s="48" t="str">
        <x:v>红桂皇冠</x:v>
      </x:c>
      <x:c r="C377" s="48" t="str">
        <x:v>红岭</x:v>
      </x:c>
      <x:c r="D377" s="56" t="n">
        <x:v>7.5</x:v>
      </x:c>
      <x:c r="E377" s="61" t="n">
        <x:v>4200</x:v>
      </x:c>
      <x:c r="F377" s="61" t="n">
        <x:v>41.48</x:v>
      </x:c>
      <x:c r="G377" s="61" t="n">
        <x:v>101.3</x:v>
      </x:c>
      <x:c r="H377" s="48" t="str">
        <x:v>1室1厅1</x:v>
      </x:c>
      <x:c r="I377" s="48" t="str">
        <x:v>南</x:v>
      </x:c>
      <x:c r="J377" s="48" t="str">
        <x:v>精装</x:v>
      </x:c>
      <x:c r="K377" s="48" t="str">
        <x:v>普通住宅</x:v>
      </x:c>
      <x:c r="L377" s="48" t="str">
        <x:v>是</x:v>
      </x:c>
      <x:c r="M377" s="48" t="str">
        <x:v>保留</x:v>
      </x:c>
      <x:c r="N377" s="48" t="str">
        <x:v>红桂皇冠|1室1厅1|41|4200|南</x:v>
      </x:c>
      <x:c r="O377" s="48"/>
      <x:c r="P377" s="48" t="str">
        <x:v>未知（未逐条补齐）</x:v>
      </x:c>
      <x:c r="Q377" s="48" t="str">
        <x:v>https://shenzhen.leyoujia.com/zf/detail/EXuK1ZDMo8Mg5PkYi9JBVx.html</x:v>
      </x:c>
      <x:c r="R377" s="48" t="str">
        <x:v>2026-08-13</x:v>
      </x:c>
    </x:row>
    <x:row r="378">
      <x:c r="A378" s="48" t="str">
        <x:v>怡正发大厦</x:v>
      </x:c>
      <x:c r="B378" s="48" t="str">
        <x:v>怡正发大厦</x:v>
      </x:c>
      <x:c r="C378" s="48" t="str">
        <x:v>红岭</x:v>
      </x:c>
      <x:c r="D378" s="56" t="n">
        <x:v>8.8</x:v>
      </x:c>
      <x:c r="E378" s="61" t="n">
        <x:v>4500</x:v>
      </x:c>
      <x:c r="F378" s="61" t="n">
        <x:v>20</x:v>
      </x:c>
      <x:c r="G378" s="61" t="n">
        <x:v>225</x:v>
      </x:c>
      <x:c r="H378" s="48" t="str">
        <x:v>1室1厅1</x:v>
      </x:c>
      <x:c r="I378" s="48" t="str">
        <x:v>南</x:v>
      </x:c>
      <x:c r="J378" s="48" t="str">
        <x:v>待核</x:v>
      </x:c>
      <x:c r="K378" s="48" t="str">
        <x:v>公寓</x:v>
      </x:c>
      <x:c r="L378" s="48" t="str">
        <x:v>是</x:v>
      </x:c>
      <x:c r="M378" s="48" t="str">
        <x:v>保留</x:v>
      </x:c>
      <x:c r="N378" s="48" t="str">
        <x:v>怡正发大厦|1室1厅1|20|4500|南</x:v>
      </x:c>
      <x:c r="O378" s="48"/>
      <x:c r="P378" s="48" t="str">
        <x:v>未知（未逐条补齐）</x:v>
      </x:c>
      <x:c r="Q378" s="48" t="str">
        <x:v>https://shenzhen.leyoujia.com/zf/detail/68MdTSdhAc3Jh8Ehkrran2.html</x:v>
      </x:c>
      <x:c r="R378" s="48" t="str">
        <x:v>2026-08-13</x:v>
      </x:c>
    </x:row>
    <x:row r="379">
      <x:c r="A379" s="48" t="str">
        <x:v>怡正发大厦</x:v>
      </x:c>
      <x:c r="B379" s="48" t="str">
        <x:v>怡正发大厦</x:v>
      </x:c>
      <x:c r="C379" s="48" t="str">
        <x:v>红岭</x:v>
      </x:c>
      <x:c r="D379" s="56" t="n">
        <x:v>8.8</x:v>
      </x:c>
      <x:c r="E379" s="61" t="n">
        <x:v>4500</x:v>
      </x:c>
      <x:c r="F379" s="61" t="n">
        <x:v>25</x:v>
      </x:c>
      <x:c r="G379" s="61" t="n">
        <x:v>180</x:v>
      </x:c>
      <x:c r="H379" s="48" t="str">
        <x:v>1室1厅1</x:v>
      </x:c>
      <x:c r="I379" s="48" t="str">
        <x:v>南</x:v>
      </x:c>
      <x:c r="J379" s="48" t="str">
        <x:v>待核</x:v>
      </x:c>
      <x:c r="K379" s="48" t="str">
        <x:v>普通住宅</x:v>
      </x:c>
      <x:c r="L379" s="48" t="str">
        <x:v>是</x:v>
      </x:c>
      <x:c r="M379" s="48" t="str">
        <x:v>保留</x:v>
      </x:c>
      <x:c r="N379" s="48" t="str">
        <x:v>怡正发大厦|1室1厅1|25|4500|南</x:v>
      </x:c>
      <x:c r="O379" s="48"/>
      <x:c r="P379" s="48" t="str">
        <x:v>未知（未逐条补齐）</x:v>
      </x:c>
      <x:c r="Q379" s="48" t="str">
        <x:v>https://shenzhen.leyoujia.com/zf/detail/3tV2GgUUyWC3fT1As1EK6h.html</x:v>
      </x:c>
      <x:c r="R379" s="48" t="str">
        <x:v>2026-08-13</x:v>
      </x:c>
    </x:row>
    <x:row r="380">
      <x:c r="A380" s="48" t="str">
        <x:v>怡正发大厦</x:v>
      </x:c>
      <x:c r="B380" s="48" t="str">
        <x:v>怡正发大厦</x:v>
      </x:c>
      <x:c r="C380" s="48" t="str">
        <x:v>红岭</x:v>
      </x:c>
      <x:c r="D380" s="56" t="n">
        <x:v>8.8</x:v>
      </x:c>
      <x:c r="E380" s="61" t="n">
        <x:v>4500</x:v>
      </x:c>
      <x:c r="F380" s="61" t="n">
        <x:v>25</x:v>
      </x:c>
      <x:c r="G380" s="61" t="n">
        <x:v>180</x:v>
      </x:c>
      <x:c r="H380" s="48" t="str">
        <x:v>1室1厅1</x:v>
      </x:c>
      <x:c r="I380" s="48" t="str">
        <x:v>南</x:v>
      </x:c>
      <x:c r="J380" s="48" t="str">
        <x:v>待核</x:v>
      </x:c>
      <x:c r="K380" s="48" t="str">
        <x:v>普通住宅</x:v>
      </x:c>
      <x:c r="L380" s="48" t="str">
        <x:v>否</x:v>
      </x:c>
      <x:c r="M380" s="48" t="str">
        <x:v>疑似重复挂牌</x:v>
      </x:c>
      <x:c r="N380" s="48" t="str">
        <x:v>怡正发大厦|1室1厅1|25|4500|南</x:v>
      </x:c>
      <x:c r="O380" s="48"/>
      <x:c r="P380" s="48" t="str">
        <x:v>未知（未逐条补齐）</x:v>
      </x:c>
      <x:c r="Q380" s="48" t="str">
        <x:v>https://shenzhen.leyoujia.com/zf/detail/TwhkieUTj6jcvmYzydsxME.html</x:v>
      </x:c>
      <x:c r="R380" s="48" t="str">
        <x:v>2026-08-13</x:v>
      </x:c>
    </x:row>
    <x:row r="381">
      <x:c r="A381" s="48" t="str">
        <x:v>怡正发大厦</x:v>
      </x:c>
      <x:c r="B381" s="48" t="str">
        <x:v>怡正发大厦</x:v>
      </x:c>
      <x:c r="C381" s="48" t="str">
        <x:v>红岭</x:v>
      </x:c>
      <x:c r="D381" s="56" t="n">
        <x:v>8.8</x:v>
      </x:c>
      <x:c r="E381" s="61" t="n">
        <x:v>4500</x:v>
      </x:c>
      <x:c r="F381" s="61" t="n">
        <x:v>20</x:v>
      </x:c>
      <x:c r="G381" s="61" t="n">
        <x:v>225</x:v>
      </x:c>
      <x:c r="H381" s="48" t="str">
        <x:v>1室1厅1</x:v>
      </x:c>
      <x:c r="I381" s="48" t="str">
        <x:v>南</x:v>
      </x:c>
      <x:c r="J381" s="48" t="str">
        <x:v>待核</x:v>
      </x:c>
      <x:c r="K381" s="48" t="str">
        <x:v>公寓</x:v>
      </x:c>
      <x:c r="L381" s="48" t="str">
        <x:v>否</x:v>
      </x:c>
      <x:c r="M381" s="48" t="str">
        <x:v>疑似重复挂牌</x:v>
      </x:c>
      <x:c r="N381" s="48" t="str">
        <x:v>怡正发大厦|1室1厅1|20|4500|南</x:v>
      </x:c>
      <x:c r="O381" s="48"/>
      <x:c r="P381" s="48" t="str">
        <x:v>未知（未逐条补齐）</x:v>
      </x:c>
      <x:c r="Q381" s="48" t="str">
        <x:v>https://shenzhen.leyoujia.com/zf/detail/JR84RLyLquBUjpZxDkPHUo.html</x:v>
      </x:c>
      <x:c r="R381" s="48" t="str">
        <x:v>2026-08-13</x:v>
      </x:c>
    </x:row>
    <x:row r="382">
      <x:c r="A382" s="48" t="str">
        <x:v>怡正发大厦</x:v>
      </x:c>
      <x:c r="B382" s="48" t="str">
        <x:v>怡正发大厦</x:v>
      </x:c>
      <x:c r="C382" s="48" t="str">
        <x:v>红岭</x:v>
      </x:c>
      <x:c r="D382" s="56" t="n">
        <x:v>8.8</x:v>
      </x:c>
      <x:c r="E382" s="61" t="n">
        <x:v>4500</x:v>
      </x:c>
      <x:c r="F382" s="61" t="n">
        <x:v>25</x:v>
      </x:c>
      <x:c r="G382" s="61" t="n">
        <x:v>180</x:v>
      </x:c>
      <x:c r="H382" s="48" t="str">
        <x:v>1室1厅1</x:v>
      </x:c>
      <x:c r="I382" s="48" t="str">
        <x:v>南</x:v>
      </x:c>
      <x:c r="J382" s="48" t="str">
        <x:v>待核</x:v>
      </x:c>
      <x:c r="K382" s="48" t="str">
        <x:v>普通住宅</x:v>
      </x:c>
      <x:c r="L382" s="48" t="str">
        <x:v>否</x:v>
      </x:c>
      <x:c r="M382" s="48" t="str">
        <x:v>疑似重复挂牌</x:v>
      </x:c>
      <x:c r="N382" s="48" t="str">
        <x:v>怡正发大厦|1室1厅1|25|4500|南</x:v>
      </x:c>
      <x:c r="O382" s="48"/>
      <x:c r="P382" s="48" t="str">
        <x:v>未知（未逐条补齐）</x:v>
      </x:c>
      <x:c r="Q382" s="48" t="str">
        <x:v>https://shenzhen.leyoujia.com/zf/detail/5zeec1SttZxRsiBJuea6xQ.html</x:v>
      </x:c>
      <x:c r="R382" s="48" t="str">
        <x:v>2026-08-13</x:v>
      </x:c>
    </x:row>
    <x:row r="383">
      <x:c r="A383" s="48" t="str">
        <x:v>怡正发大厦</x:v>
      </x:c>
      <x:c r="B383" s="48" t="str">
        <x:v>怡正发大厦</x:v>
      </x:c>
      <x:c r="C383" s="48" t="str">
        <x:v>红岭</x:v>
      </x:c>
      <x:c r="D383" s="56" t="n">
        <x:v>8.8</x:v>
      </x:c>
      <x:c r="E383" s="61" t="n">
        <x:v>4500</x:v>
      </x:c>
      <x:c r="F383" s="61" t="n">
        <x:v>20</x:v>
      </x:c>
      <x:c r="G383" s="61" t="n">
        <x:v>225</x:v>
      </x:c>
      <x:c r="H383" s="48" t="str">
        <x:v>1室1厅1</x:v>
      </x:c>
      <x:c r="I383" s="48" t="str">
        <x:v>南</x:v>
      </x:c>
      <x:c r="J383" s="48" t="str">
        <x:v>待核</x:v>
      </x:c>
      <x:c r="K383" s="48" t="str">
        <x:v>普通住宅</x:v>
      </x:c>
      <x:c r="L383" s="48" t="str">
        <x:v>否</x:v>
      </x:c>
      <x:c r="M383" s="48" t="str">
        <x:v>疑似重复挂牌</x:v>
      </x:c>
      <x:c r="N383" s="48" t="str">
        <x:v>怡正发大厦|1室1厅1|20|4500|南</x:v>
      </x:c>
      <x:c r="O383" s="48"/>
      <x:c r="P383" s="48" t="str">
        <x:v>未知（未逐条补齐）</x:v>
      </x:c>
      <x:c r="Q383" s="48" t="str">
        <x:v>https://shenzhen.leyoujia.com/zf/detail/9JqAttGV9BStu8d3oAgjPm.html</x:v>
      </x:c>
      <x:c r="R383" s="48" t="str">
        <x:v>2026-08-13</x:v>
      </x:c>
    </x:row>
    <x:row r="384">
      <x:c r="A384" s="48" t="str">
        <x:v>景园大厦(松园路)</x:v>
      </x:c>
      <x:c r="B384" s="48" t="str">
        <x:v>景园大厦(蛇口）</x:v>
      </x:c>
      <x:c r="C384" s="48" t="str">
        <x:v>红岭</x:v>
      </x:c>
      <x:c r="D384" s="56" t="n">
        <x:v>8.3</x:v>
      </x:c>
      <x:c r="E384" s="61" t="n">
        <x:v>2500</x:v>
      </x:c>
      <x:c r="F384" s="61" t="n">
        <x:v>20</x:v>
      </x:c>
      <x:c r="G384" s="61" t="n">
        <x:v>125</x:v>
      </x:c>
      <x:c r="H384" s="48" t="str">
        <x:v>1室0厅1</x:v>
      </x:c>
      <x:c r="I384" s="48" t="str">
        <x:v>南</x:v>
      </x:c>
      <x:c r="J384" s="48" t="str">
        <x:v>精装</x:v>
      </x:c>
      <x:c r="K384" s="48" t="str">
        <x:v>普通住宅</x:v>
      </x:c>
      <x:c r="L384" s="48" t="str">
        <x:v>是</x:v>
      </x:c>
      <x:c r="M384" s="48" t="str">
        <x:v>保留</x:v>
      </x:c>
      <x:c r="N384" s="48" t="str">
        <x:v>景园大厦(蛇口）|1室0厅1|20|2500|南</x:v>
      </x:c>
      <x:c r="O384" s="48"/>
      <x:c r="P384" s="48" t="str">
        <x:v>未知（未逐条补齐）</x:v>
      </x:c>
      <x:c r="Q384" s="48" t="str">
        <x:v>https://shenzhen.leyoujia.com/zf/detail/MmomXYJyBFRh9aoWxmqwxc.html</x:v>
      </x:c>
      <x:c r="R384" s="48" t="str">
        <x:v>2026-08-13</x:v>
      </x:c>
    </x:row>
    <x:row r="385">
      <x:c r="A385" s="48" t="str">
        <x:v>景园大厦(松园路)</x:v>
      </x:c>
      <x:c r="B385" s="48" t="str">
        <x:v>景园大厦(蛇口）</x:v>
      </x:c>
      <x:c r="C385" s="48" t="str">
        <x:v>红岭</x:v>
      </x:c>
      <x:c r="D385" s="56" t="n">
        <x:v>8.3</x:v>
      </x:c>
      <x:c r="E385" s="61" t="n">
        <x:v>4500</x:v>
      </x:c>
      <x:c r="F385" s="61" t="n">
        <x:v>30</x:v>
      </x:c>
      <x:c r="G385" s="61" t="n">
        <x:v>150</x:v>
      </x:c>
      <x:c r="H385" s="48" t="str">
        <x:v>1室1厅1</x:v>
      </x:c>
      <x:c r="I385" s="48" t="str">
        <x:v>南</x:v>
      </x:c>
      <x:c r="J385" s="48" t="str">
        <x:v>精装</x:v>
      </x:c>
      <x:c r="K385" s="48" t="str">
        <x:v>普通住宅</x:v>
      </x:c>
      <x:c r="L385" s="48" t="str">
        <x:v>是</x:v>
      </x:c>
      <x:c r="M385" s="48" t="str">
        <x:v>保留</x:v>
      </x:c>
      <x:c r="N385" s="48" t="str">
        <x:v>景园大厦(蛇口）|1室1厅1|30|4500|南</x:v>
      </x:c>
      <x:c r="O385" s="48"/>
      <x:c r="P385" s="48" t="str">
        <x:v>未知（未逐条补齐）</x:v>
      </x:c>
      <x:c r="Q385" s="48" t="str">
        <x:v>https://shenzhen.leyoujia.com/zf/detail/FwMKqhsvHh2nyyL73e8Jdd.html</x:v>
      </x:c>
      <x:c r="R385" s="48" t="str">
        <x:v>2026-08-13</x:v>
      </x:c>
    </x:row>
    <x:row r="386">
      <x:c r="A386" s="48" t="str">
        <x:v>日豪名园2A</x:v>
      </x:c>
      <x:c r="B386" s="48" t="str">
        <x:v>日豪名园</x:v>
      </x:c>
      <x:c r="C386" s="48" t="str">
        <x:v>红岭</x:v>
      </x:c>
      <x:c r="D386" s="56" t="n">
        <x:v>11.3</x:v>
      </x:c>
      <x:c r="E386" s="61" t="n">
        <x:v>2500</x:v>
      </x:c>
      <x:c r="F386" s="61" t="n">
        <x:v>30</x:v>
      </x:c>
      <x:c r="G386" s="61" t="n">
        <x:v>83.3</x:v>
      </x:c>
      <x:c r="H386" s="48" t="str">
        <x:v>1室0厅1</x:v>
      </x:c>
      <x:c r="I386" s="48" t="str">
        <x:v>北</x:v>
      </x:c>
      <x:c r="J386" s="48" t="str">
        <x:v>精装</x:v>
      </x:c>
      <x:c r="K386" s="48" t="str">
        <x:v>普通住宅</x:v>
      </x:c>
      <x:c r="L386" s="48" t="str">
        <x:v>是</x:v>
      </x:c>
      <x:c r="M386" s="48" t="str">
        <x:v>保留</x:v>
      </x:c>
      <x:c r="N386" s="48" t="str">
        <x:v>日豪名园|1室0厅1|30|2500|北</x:v>
      </x:c>
      <x:c r="O386" s="48"/>
      <x:c r="P386" s="48" t="str">
        <x:v>未知（未逐条补齐）</x:v>
      </x:c>
      <x:c r="Q386" s="48" t="str">
        <x:v>https://shenzhen.leyoujia.com/zf/detail/84a5kw4Mk1KCFf6pdXAQUV.html</x:v>
      </x:c>
      <x:c r="R386" s="48" t="str">
        <x:v>2026-08-13</x:v>
      </x:c>
    </x:row>
    <x:row r="387">
      <x:c r="A387" s="48" t="str">
        <x:v>日豪名园2A</x:v>
      </x:c>
      <x:c r="B387" s="48" t="str">
        <x:v>日豪名园</x:v>
      </x:c>
      <x:c r="C387" s="48" t="str">
        <x:v>红岭</x:v>
      </x:c>
      <x:c r="D387" s="56" t="n">
        <x:v>11.3</x:v>
      </x:c>
      <x:c r="E387" s="61" t="n">
        <x:v>2900</x:v>
      </x:c>
      <x:c r="F387" s="61" t="n">
        <x:v>25</x:v>
      </x:c>
      <x:c r="G387" s="61" t="n">
        <x:v>116</x:v>
      </x:c>
      <x:c r="H387" s="48" t="str">
        <x:v>1室0厅1</x:v>
      </x:c>
      <x:c r="I387" s="48" t="str">
        <x:v>北</x:v>
      </x:c>
      <x:c r="J387" s="48" t="str">
        <x:v>待核</x:v>
      </x:c>
      <x:c r="K387" s="48" t="str">
        <x:v>住宅</x:v>
      </x:c>
      <x:c r="L387" s="48" t="str">
        <x:v>是</x:v>
      </x:c>
      <x:c r="M387" s="48" t="str">
        <x:v>保留</x:v>
      </x:c>
      <x:c r="N387" s="48" t="str">
        <x:v>日豪名园|1室0厅1|25|2900|北</x:v>
      </x:c>
      <x:c r="O387" s="48"/>
      <x:c r="P387" s="48" t="str">
        <x:v>未知（未逐条补齐）</x:v>
      </x:c>
      <x:c r="Q387" s="48" t="str">
        <x:v>https://shenzhen.leyoujia.com/zf/detail/7e6wbz5f49Uo4gdFhwutL3.html</x:v>
      </x:c>
      <x:c r="R387" s="48" t="str">
        <x:v>2026-08-13</x:v>
      </x:c>
    </x:row>
    <x:row r="388">
      <x:c r="A388" s="48" t="str">
        <x:v>日豪名园2A</x:v>
      </x:c>
      <x:c r="B388" s="48" t="str">
        <x:v>日豪名园</x:v>
      </x:c>
      <x:c r="C388" s="48" t="str">
        <x:v>红岭</x:v>
      </x:c>
      <x:c r="D388" s="56" t="n">
        <x:v>11.3</x:v>
      </x:c>
      <x:c r="E388" s="61" t="n">
        <x:v>4300</x:v>
      </x:c>
      <x:c r="F388" s="61" t="n">
        <x:v>52</x:v>
      </x:c>
      <x:c r="G388" s="61" t="n">
        <x:v>82.7</x:v>
      </x:c>
      <x:c r="H388" s="48" t="str">
        <x:v>1室0厅1</x:v>
      </x:c>
      <x:c r="I388" s="48" t="str">
        <x:v>东北</x:v>
      </x:c>
      <x:c r="J388" s="48" t="str">
        <x:v>精装</x:v>
      </x:c>
      <x:c r="K388" s="48" t="str">
        <x:v>普通住宅</x:v>
      </x:c>
      <x:c r="L388" s="48" t="str">
        <x:v>是</x:v>
      </x:c>
      <x:c r="M388" s="48" t="str">
        <x:v>保留</x:v>
      </x:c>
      <x:c r="N388" s="48" t="str">
        <x:v>日豪名园|1室0厅1|52|4300|东北</x:v>
      </x:c>
      <x:c r="O388" s="48"/>
      <x:c r="P388" s="48" t="str">
        <x:v>未知（未逐条补齐）</x:v>
      </x:c>
      <x:c r="Q388" s="48" t="str">
        <x:v>https://shenzhen.leyoujia.com/zf/detail/Wt4EGbXEfGvUeUBRonf6Vp.html</x:v>
      </x:c>
      <x:c r="R388" s="48" t="str">
        <x:v>2026-08-13</x:v>
      </x:c>
    </x:row>
    <x:row r="389">
      <x:c r="A389" s="48" t="str">
        <x:v>日豪名园2A</x:v>
      </x:c>
      <x:c r="B389" s="48" t="str">
        <x:v>日豪名园</x:v>
      </x:c>
      <x:c r="C389" s="48" t="str">
        <x:v>红岭</x:v>
      </x:c>
      <x:c r="D389" s="56" t="n">
        <x:v>11.3</x:v>
      </x:c>
      <x:c r="E389" s="61" t="n">
        <x:v>4800</x:v>
      </x:c>
      <x:c r="F389" s="61" t="n">
        <x:v>51.87</x:v>
      </x:c>
      <x:c r="G389" s="61" t="n">
        <x:v>92.5</x:v>
      </x:c>
      <x:c r="H389" s="48" t="str">
        <x:v>1室1厅1</x:v>
      </x:c>
      <x:c r="I389" s="48" t="str">
        <x:v>西</x:v>
      </x:c>
      <x:c r="J389" s="48" t="str">
        <x:v>普装</x:v>
      </x:c>
      <x:c r="K389" s="48" t="str">
        <x:v>普通住宅</x:v>
      </x:c>
      <x:c r="L389" s="48" t="str">
        <x:v>是</x:v>
      </x:c>
      <x:c r="M389" s="48" t="str">
        <x:v>保留</x:v>
      </x:c>
      <x:c r="N389" s="48" t="str">
        <x:v>日豪名园|1室1厅1|52|4800|西</x:v>
      </x:c>
      <x:c r="O389" s="48"/>
      <x:c r="P389" s="48" t="str">
        <x:v>未知（未逐条补齐）</x:v>
      </x:c>
      <x:c r="Q389" s="48" t="str">
        <x:v>https://shenzhen.leyoujia.com/zf/detail/7ovj2yKmMHTdsA4pFsfEiF.html</x:v>
      </x:c>
      <x:c r="R389" s="48" t="str">
        <x:v>2026-08-13</x:v>
      </x:c>
    </x:row>
    <x:row r="390">
      <x:c r="A390" s="48" t="str">
        <x:v>洪二村</x:v>
      </x:c>
      <x:c r="B390" s="48" t="str">
        <x:v>洪二村</x:v>
      </x:c>
      <x:c r="C390" s="48" t="str">
        <x:v>红岭</x:v>
      </x:c>
      <x:c r="D390" s="56" t="n">
        <x:v>12</x:v>
      </x:c>
      <x:c r="E390" s="61" t="n">
        <x:v>2700</x:v>
      </x:c>
      <x:c r="F390" s="61" t="n">
        <x:v>41</x:v>
      </x:c>
      <x:c r="G390" s="61" t="n">
        <x:v>65.9</x:v>
      </x:c>
      <x:c r="H390" s="48" t="str">
        <x:v>1室1厅1</x:v>
      </x:c>
      <x:c r="I390" s="48" t="str">
        <x:v>南北</x:v>
      </x:c>
      <x:c r="J390" s="48" t="str">
        <x:v>普装</x:v>
      </x:c>
      <x:c r="K390" s="48" t="str">
        <x:v>普通住宅</x:v>
      </x:c>
      <x:c r="L390" s="48" t="str">
        <x:v>是</x:v>
      </x:c>
      <x:c r="M390" s="48" t="str">
        <x:v>保留</x:v>
      </x:c>
      <x:c r="N390" s="48" t="str">
        <x:v>洪二村|1室1厅1|41|2700|南北</x:v>
      </x:c>
      <x:c r="O390" s="48"/>
      <x:c r="P390" s="48" t="str">
        <x:v>未知（未逐条补齐）</x:v>
      </x:c>
      <x:c r="Q390" s="48" t="str">
        <x:v>https://shenzhen.leyoujia.com/zf/detail/3VeDQpWuNAJ6KykpkExsUc.html</x:v>
      </x:c>
      <x:c r="R390" s="48" t="str">
        <x:v>2026-08-13</x:v>
      </x:c>
    </x:row>
    <x:row r="391">
      <x:c r="A391" s="48" t="str">
        <x:v>洪二村</x:v>
      </x:c>
      <x:c r="B391" s="48" t="str">
        <x:v>洪二村</x:v>
      </x:c>
      <x:c r="C391" s="48" t="str">
        <x:v>红岭</x:v>
      </x:c>
      <x:c r="D391" s="56" t="n">
        <x:v>12</x:v>
      </x:c>
      <x:c r="E391" s="61" t="n">
        <x:v>2700</x:v>
      </x:c>
      <x:c r="F391" s="61" t="n">
        <x:v>41</x:v>
      </x:c>
      <x:c r="G391" s="61" t="n">
        <x:v>65.9</x:v>
      </x:c>
      <x:c r="H391" s="48" t="str">
        <x:v>1室1厅1</x:v>
      </x:c>
      <x:c r="I391" s="48" t="str">
        <x:v>南</x:v>
      </x:c>
      <x:c r="J391" s="48" t="str">
        <x:v>普装</x:v>
      </x:c>
      <x:c r="K391" s="48" t="str">
        <x:v>普通住宅</x:v>
      </x:c>
      <x:c r="L391" s="48" t="str">
        <x:v>是</x:v>
      </x:c>
      <x:c r="M391" s="48" t="str">
        <x:v>保留</x:v>
      </x:c>
      <x:c r="N391" s="48" t="str">
        <x:v>洪二村|1室1厅1|41|2700|南</x:v>
      </x:c>
      <x:c r="O391" s="48"/>
      <x:c r="P391" s="48" t="str">
        <x:v>未知（未逐条补齐）</x:v>
      </x:c>
      <x:c r="Q391" s="48" t="str">
        <x:v>https://shenzhen.leyoujia.com/zf/detail/4WRBwec9gwqm7qwWnex6iv.html</x:v>
      </x:c>
      <x:c r="R391" s="48" t="str">
        <x:v>2026-08-13</x:v>
      </x:c>
    </x:row>
    <x:row r="392">
      <x:c r="A392" s="48" t="str">
        <x:v>中南小区(宝安南路)</x:v>
      </x:c>
      <x:c r="B392" s="48" t="str">
        <x:v>中南小区</x:v>
      </x:c>
      <x:c r="C392" s="48" t="str">
        <x:v>红岭</x:v>
      </x:c>
      <x:c r="D392" s="56" t="n">
        <x:v>9</x:v>
      </x:c>
      <x:c r="E392" s="61" t="n">
        <x:v>2480</x:v>
      </x:c>
      <x:c r="F392" s="61" t="n">
        <x:v>11</x:v>
      </x:c>
      <x:c r="G392" s="61" t="n">
        <x:v>225.5</x:v>
      </x:c>
      <x:c r="H392" s="48" t="str">
        <x:v>1室0厅1</x:v>
      </x:c>
      <x:c r="I392" s="48" t="str">
        <x:v>南</x:v>
      </x:c>
      <x:c r="J392" s="48" t="str">
        <x:v>待核</x:v>
      </x:c>
      <x:c r="K392" s="48" t="str">
        <x:v>住宅</x:v>
      </x:c>
      <x:c r="L392" s="48" t="str">
        <x:v>否</x:v>
      </x:c>
      <x:c r="M392" s="48" t="str">
        <x:v>面积异常</x:v>
      </x:c>
      <x:c r="N392" s="48" t="str">
        <x:v>中南小区|1室0厅1|11|2480|南</x:v>
      </x:c>
      <x:c r="O392" s="48"/>
      <x:c r="P392" s="48" t="str">
        <x:v>未知（未逐条补齐）</x:v>
      </x:c>
      <x:c r="Q392" s="48" t="str">
        <x:v>https://shenzhen.leyoujia.com/zf/detail/QAG4ErMz2LH7h4DJ5iikYa.html</x:v>
      </x:c>
      <x:c r="R392" s="48" t="str">
        <x:v>2026-08-13</x:v>
      </x:c>
    </x:row>
    <x:row r="393">
      <x:c r="A393" s="48" t="str">
        <x:v>骏庭名园</x:v>
      </x:c>
      <x:c r="B393" s="48" t="str">
        <x:v>骏庭名园</x:v>
      </x:c>
      <x:c r="C393" s="48" t="str">
        <x:v>大剧院</x:v>
      </x:c>
      <x:c r="D393" s="56" t="n">
        <x:v>11.9</x:v>
      </x:c>
      <x:c r="E393" s="61" t="n">
        <x:v>4000</x:v>
      </x:c>
      <x:c r="F393" s="61" t="n">
        <x:v>50.73</x:v>
      </x:c>
      <x:c r="G393" s="61" t="n">
        <x:v>78.8</x:v>
      </x:c>
      <x:c r="H393" s="48" t="str">
        <x:v>1室0厅1</x:v>
      </x:c>
      <x:c r="I393" s="48" t="str">
        <x:v>东</x:v>
      </x:c>
      <x:c r="J393" s="48" t="str">
        <x:v>精装</x:v>
      </x:c>
      <x:c r="K393" s="48" t="str">
        <x:v>普通住宅</x:v>
      </x:c>
      <x:c r="L393" s="48" t="str">
        <x:v>是</x:v>
      </x:c>
      <x:c r="M393" s="48" t="str">
        <x:v>保留</x:v>
      </x:c>
      <x:c r="N393" s="48" t="str">
        <x:v>骏庭名园|1室0厅1|51|4000|东</x:v>
      </x:c>
      <x:c r="O393" s="48"/>
      <x:c r="P393" s="48" t="str">
        <x:v>未知（未逐条补齐）</x:v>
      </x:c>
      <x:c r="Q393" s="48" t="str">
        <x:v>https://shenzhen.leyoujia.com/zf/detail/EnEqMNEqMK17Hg7TfSXwgb.html</x:v>
      </x:c>
      <x:c r="R393" s="48" t="str">
        <x:v>2026-08-13</x:v>
      </x:c>
    </x:row>
    <x:row r="394">
      <x:c r="A394" s="48" t="str">
        <x:v>骏庭名园</x:v>
      </x:c>
      <x:c r="B394" s="48" t="str">
        <x:v>骏庭名园</x:v>
      </x:c>
      <x:c r="C394" s="48" t="str">
        <x:v>大剧院</x:v>
      </x:c>
      <x:c r="D394" s="56" t="n">
        <x:v>11.9</x:v>
      </x:c>
      <x:c r="E394" s="61" t="n">
        <x:v>4800</x:v>
      </x:c>
      <x:c r="F394" s="61" t="n">
        <x:v>51</x:v>
      </x:c>
      <x:c r="G394" s="61" t="n">
        <x:v>94.1</x:v>
      </x:c>
      <x:c r="H394" s="48" t="str">
        <x:v>1室1厅1</x:v>
      </x:c>
      <x:c r="I394" s="48" t="str">
        <x:v>东</x:v>
      </x:c>
      <x:c r="J394" s="48" t="str">
        <x:v>普装</x:v>
      </x:c>
      <x:c r="K394" s="48" t="str">
        <x:v>普通住宅</x:v>
      </x:c>
      <x:c r="L394" s="48" t="str">
        <x:v>是</x:v>
      </x:c>
      <x:c r="M394" s="48" t="str">
        <x:v>保留</x:v>
      </x:c>
      <x:c r="N394" s="48" t="str">
        <x:v>骏庭名园|1室1厅1|51|4800|东</x:v>
      </x:c>
      <x:c r="O394" s="48"/>
      <x:c r="P394" s="48" t="str">
        <x:v>未知（未逐条补齐）</x:v>
      </x:c>
      <x:c r="Q394" s="48" t="str">
        <x:v>https://shenzhen.leyoujia.com/zf/detail/2VobE4d8Z2XUU57bDswY52.html</x:v>
      </x:c>
      <x:c r="R394" s="48" t="str">
        <x:v>2026-08-13</x:v>
      </x:c>
    </x:row>
    <x:row r="395">
      <x:c r="A395" s="48" t="str">
        <x:v>中航凯特公寓</x:v>
      </x:c>
      <x:c r="B395" s="48" t="str">
        <x:v>中航凯特公寓</x:v>
      </x:c>
      <x:c r="C395" s="48" t="str">
        <x:v>红岭</x:v>
      </x:c>
      <x:c r="D395" s="56" t="n">
        <x:v>8.9</x:v>
      </x:c>
      <x:c r="E395" s="61" t="n">
        <x:v>2400</x:v>
      </x:c>
      <x:c r="F395" s="61" t="n">
        <x:v>28.11</x:v>
      </x:c>
      <x:c r="G395" s="61" t="n">
        <x:v>85.4</x:v>
      </x:c>
      <x:c r="H395" s="48" t="str">
        <x:v>1室0厅1</x:v>
      </x:c>
      <x:c r="I395" s="48" t="str">
        <x:v>北</x:v>
      </x:c>
      <x:c r="J395" s="48" t="str">
        <x:v>普装</x:v>
      </x:c>
      <x:c r="K395" s="48" t="str">
        <x:v>公寓</x:v>
      </x:c>
      <x:c r="L395" s="48" t="str">
        <x:v>是</x:v>
      </x:c>
      <x:c r="M395" s="48" t="str">
        <x:v>保留</x:v>
      </x:c>
      <x:c r="N395" s="48" t="str">
        <x:v>中航凯特公寓|1室0厅1|28|2400|北</x:v>
      </x:c>
      <x:c r="O395" s="48"/>
      <x:c r="P395" s="48" t="str">
        <x:v>未知（未逐条补齐）</x:v>
      </x:c>
      <x:c r="Q395" s="48" t="str">
        <x:v>https://shenzhen.leyoujia.com/zf/detail/SkrijQAYz5hkp2NbtWsieG.html</x:v>
      </x:c>
      <x:c r="R395" s="48" t="str">
        <x:v>2026-08-13</x:v>
      </x:c>
    </x:row>
    <x:row r="396">
      <x:c r="A396" s="48" t="str">
        <x:v>中航凯特公寓</x:v>
      </x:c>
      <x:c r="B396" s="48" t="str">
        <x:v>中航凯特公寓</x:v>
      </x:c>
      <x:c r="C396" s="48" t="str">
        <x:v>红岭</x:v>
      </x:c>
      <x:c r="D396" s="56" t="n">
        <x:v>8.9</x:v>
      </x:c>
      <x:c r="E396" s="61" t="n">
        <x:v>2500</x:v>
      </x:c>
      <x:c r="F396" s="61" t="n">
        <x:v>24.78</x:v>
      </x:c>
      <x:c r="G396" s="61" t="n">
        <x:v>100.9</x:v>
      </x:c>
      <x:c r="H396" s="48" t="str">
        <x:v>1室0厅1</x:v>
      </x:c>
      <x:c r="I396" s="48" t="str">
        <x:v>北</x:v>
      </x:c>
      <x:c r="J396" s="48" t="str">
        <x:v>普装</x:v>
      </x:c>
      <x:c r="K396" s="48" t="str">
        <x:v>公寓</x:v>
      </x:c>
      <x:c r="L396" s="48" t="str">
        <x:v>是</x:v>
      </x:c>
      <x:c r="M396" s="48" t="str">
        <x:v>保留</x:v>
      </x:c>
      <x:c r="N396" s="48" t="str">
        <x:v>中航凯特公寓|1室0厅1|25|2500|北</x:v>
      </x:c>
      <x:c r="O396" s="48"/>
      <x:c r="P396" s="48" t="str">
        <x:v>未知（未逐条补齐）</x:v>
      </x:c>
      <x:c r="Q396" s="48" t="str">
        <x:v>https://shenzhen.leyoujia.com/zf/detail/K5VNvurDmn6nEvWqwZnpY6.html</x:v>
      </x:c>
      <x:c r="R396" s="48" t="str">
        <x:v>2026-08-13</x:v>
      </x:c>
    </x:row>
    <x:row r="397">
      <x:c r="A397" s="48" t="str">
        <x:v>中航凯特公寓</x:v>
      </x:c>
      <x:c r="B397" s="48" t="str">
        <x:v>中航凯特公寓</x:v>
      </x:c>
      <x:c r="C397" s="48" t="str">
        <x:v>红岭</x:v>
      </x:c>
      <x:c r="D397" s="56" t="n">
        <x:v>8.9</x:v>
      </x:c>
      <x:c r="E397" s="61" t="n">
        <x:v>2600</x:v>
      </x:c>
      <x:c r="F397" s="61" t="n">
        <x:v>27.83</x:v>
      </x:c>
      <x:c r="G397" s="61" t="n">
        <x:v>93.4</x:v>
      </x:c>
      <x:c r="H397" s="48" t="str">
        <x:v>1室0厅1</x:v>
      </x:c>
      <x:c r="I397" s="48" t="str">
        <x:v>北</x:v>
      </x:c>
      <x:c r="J397" s="48" t="str">
        <x:v>精装</x:v>
      </x:c>
      <x:c r="K397" s="48" t="str">
        <x:v>公寓</x:v>
      </x:c>
      <x:c r="L397" s="48" t="str">
        <x:v>是</x:v>
      </x:c>
      <x:c r="M397" s="48" t="str">
        <x:v>保留</x:v>
      </x:c>
      <x:c r="N397" s="48" t="str">
        <x:v>中航凯特公寓|1室0厅1|28|2600|北</x:v>
      </x:c>
      <x:c r="O397" s="48"/>
      <x:c r="P397" s="48" t="str">
        <x:v>未知（未逐条补齐）</x:v>
      </x:c>
      <x:c r="Q397" s="48" t="str">
        <x:v>https://shenzhen.leyoujia.com/zf/detail/QctvMbm9gJFvLmcgjVxero.html</x:v>
      </x:c>
      <x:c r="R397" s="48" t="str">
        <x:v>2026-08-13</x:v>
      </x:c>
    </x:row>
    <x:row r="398">
      <x:c r="A398" s="48" t="str">
        <x:v>中航凯特公寓</x:v>
      </x:c>
      <x:c r="B398" s="48" t="str">
        <x:v>中航凯特公寓</x:v>
      </x:c>
      <x:c r="C398" s="48" t="str">
        <x:v>红岭</x:v>
      </x:c>
      <x:c r="D398" s="56" t="n">
        <x:v>8.9</x:v>
      </x:c>
      <x:c r="E398" s="61" t="n">
        <x:v>2600</x:v>
      </x:c>
      <x:c r="F398" s="61" t="n">
        <x:v>26.21</x:v>
      </x:c>
      <x:c r="G398" s="61" t="n">
        <x:v>99.2</x:v>
      </x:c>
      <x:c r="H398" s="48" t="str">
        <x:v>1室0厅1</x:v>
      </x:c>
      <x:c r="I398" s="48" t="str">
        <x:v>东</x:v>
      </x:c>
      <x:c r="J398" s="48" t="str">
        <x:v>普装</x:v>
      </x:c>
      <x:c r="K398" s="48" t="str">
        <x:v>公寓</x:v>
      </x:c>
      <x:c r="L398" s="48" t="str">
        <x:v>是</x:v>
      </x:c>
      <x:c r="M398" s="48" t="str">
        <x:v>保留</x:v>
      </x:c>
      <x:c r="N398" s="48" t="str">
        <x:v>中航凯特公寓|1室0厅1|26|2600|东</x:v>
      </x:c>
      <x:c r="O398" s="48"/>
      <x:c r="P398" s="48" t="str">
        <x:v>未知（未逐条补齐）</x:v>
      </x:c>
      <x:c r="Q398" s="48" t="str">
        <x:v>https://shenzhen.leyoujia.com/zf/detail/At86NCcw7X8wDnfQ3w59rb.html</x:v>
      </x:c>
      <x:c r="R398" s="48" t="str">
        <x:v>2026-08-13</x:v>
      </x:c>
    </x:row>
    <x:row r="399">
      <x:c r="A399" s="48" t="str">
        <x:v>中航凯特公寓</x:v>
      </x:c>
      <x:c r="B399" s="48" t="str">
        <x:v>中航凯特公寓</x:v>
      </x:c>
      <x:c r="C399" s="48" t="str">
        <x:v>红岭</x:v>
      </x:c>
      <x:c r="D399" s="56" t="n">
        <x:v>8.9</x:v>
      </x:c>
      <x:c r="E399" s="61" t="n">
        <x:v>2800</x:v>
      </x:c>
      <x:c r="F399" s="61" t="n">
        <x:v>35.35</x:v>
      </x:c>
      <x:c r="G399" s="61" t="n">
        <x:v>79.2</x:v>
      </x:c>
      <x:c r="H399" s="48" t="str">
        <x:v>1室0厅1</x:v>
      </x:c>
      <x:c r="I399" s="48" t="str">
        <x:v>西</x:v>
      </x:c>
      <x:c r="J399" s="48" t="str">
        <x:v>精装</x:v>
      </x:c>
      <x:c r="K399" s="48" t="str">
        <x:v>公寓</x:v>
      </x:c>
      <x:c r="L399" s="48" t="str">
        <x:v>是</x:v>
      </x:c>
      <x:c r="M399" s="48" t="str">
        <x:v>保留</x:v>
      </x:c>
      <x:c r="N399" s="48" t="str">
        <x:v>中航凯特公寓|1室0厅1|35|2800|西</x:v>
      </x:c>
      <x:c r="O399" s="48"/>
      <x:c r="P399" s="48" t="str">
        <x:v>未知（未逐条补齐）</x:v>
      </x:c>
      <x:c r="Q399" s="48" t="str">
        <x:v>https://shenzhen.leyoujia.com/zf/detail/KFLez1qAvq4FbY6NEwRusm.html</x:v>
      </x:c>
      <x:c r="R399" s="48" t="str">
        <x:v>2026-08-13</x:v>
      </x:c>
    </x:row>
    <x:row r="400">
      <x:c r="A400" s="48" t="str">
        <x:v>中航凯特公寓</x:v>
      </x:c>
      <x:c r="B400" s="48" t="str">
        <x:v>中航凯特公寓</x:v>
      </x:c>
      <x:c r="C400" s="48" t="str">
        <x:v>红岭</x:v>
      </x:c>
      <x:c r="D400" s="56" t="n">
        <x:v>8.9</x:v>
      </x:c>
      <x:c r="E400" s="61" t="n">
        <x:v>3000</x:v>
      </x:c>
      <x:c r="F400" s="61" t="n">
        <x:v>34.17</x:v>
      </x:c>
      <x:c r="G400" s="61" t="n">
        <x:v>87.8</x:v>
      </x:c>
      <x:c r="H400" s="48" t="str">
        <x:v>1室1厅1</x:v>
      </x:c>
      <x:c r="I400" s="48" t="str">
        <x:v>西北</x:v>
      </x:c>
      <x:c r="J400" s="48" t="str">
        <x:v>精装</x:v>
      </x:c>
      <x:c r="K400" s="48" t="str">
        <x:v>公寓</x:v>
      </x:c>
      <x:c r="L400" s="48" t="str">
        <x:v>是</x:v>
      </x:c>
      <x:c r="M400" s="48" t="str">
        <x:v>保留</x:v>
      </x:c>
      <x:c r="N400" s="48" t="str">
        <x:v>中航凯特公寓|1室1厅1|34|3000|西北</x:v>
      </x:c>
      <x:c r="O400" s="48"/>
      <x:c r="P400" s="48" t="str">
        <x:v>未知（未逐条补齐）</x:v>
      </x:c>
      <x:c r="Q400" s="48" t="str">
        <x:v>https://shenzhen.leyoujia.com/zf/detail/Bp7y826LjUWnqDvDJRg5yN.html</x:v>
      </x:c>
      <x:c r="R400" s="48" t="str">
        <x:v>2026-08-13</x:v>
      </x:c>
    </x:row>
    <x:row r="401">
      <x:c r="A401" s="48" t="str">
        <x:v>中航凯特公寓</x:v>
      </x:c>
      <x:c r="B401" s="48" t="str">
        <x:v>中航凯特公寓</x:v>
      </x:c>
      <x:c r="C401" s="48" t="str">
        <x:v>红岭</x:v>
      </x:c>
      <x:c r="D401" s="56" t="n">
        <x:v>8.9</x:v>
      </x:c>
      <x:c r="E401" s="61" t="n">
        <x:v>3000</x:v>
      </x:c>
      <x:c r="F401" s="61" t="n">
        <x:v>35.4</x:v>
      </x:c>
      <x:c r="G401" s="61" t="n">
        <x:v>84.7</x:v>
      </x:c>
      <x:c r="H401" s="48" t="str">
        <x:v>1室0厅1</x:v>
      </x:c>
      <x:c r="I401" s="48" t="str">
        <x:v>南</x:v>
      </x:c>
      <x:c r="J401" s="48" t="str">
        <x:v>精装</x:v>
      </x:c>
      <x:c r="K401" s="48" t="str">
        <x:v>公寓</x:v>
      </x:c>
      <x:c r="L401" s="48" t="str">
        <x:v>是</x:v>
      </x:c>
      <x:c r="M401" s="48" t="str">
        <x:v>保留</x:v>
      </x:c>
      <x:c r="N401" s="48" t="str">
        <x:v>中航凯特公寓|1室0厅1|35|3000|南</x:v>
      </x:c>
      <x:c r="O401" s="48"/>
      <x:c r="P401" s="48" t="str">
        <x:v>未知（未逐条补齐）</x:v>
      </x:c>
      <x:c r="Q401" s="48" t="str">
        <x:v>https://shenzhen.leyoujia.com/zf/detail/6ga5JAYtyQr4cdYt5Ya9Rq.html</x:v>
      </x:c>
      <x:c r="R401" s="48" t="str">
        <x:v>2026-08-13</x:v>
      </x:c>
    </x:row>
    <x:row r="402">
      <x:c r="A402" s="48" t="str">
        <x:v>中航凯特公寓</x:v>
      </x:c>
      <x:c r="B402" s="48" t="str">
        <x:v>中航凯特公寓</x:v>
      </x:c>
      <x:c r="C402" s="48" t="str">
        <x:v>红岭</x:v>
      </x:c>
      <x:c r="D402" s="56" t="n">
        <x:v>8.9</x:v>
      </x:c>
      <x:c r="E402" s="61" t="n">
        <x:v>3100</x:v>
      </x:c>
      <x:c r="F402" s="61" t="n">
        <x:v>35.3</x:v>
      </x:c>
      <x:c r="G402" s="61" t="n">
        <x:v>87.8</x:v>
      </x:c>
      <x:c r="H402" s="48" t="str">
        <x:v>1室0厅1</x:v>
      </x:c>
      <x:c r="I402" s="48" t="str">
        <x:v>西</x:v>
      </x:c>
      <x:c r="J402" s="48" t="str">
        <x:v>精装</x:v>
      </x:c>
      <x:c r="K402" s="48" t="str">
        <x:v>公寓</x:v>
      </x:c>
      <x:c r="L402" s="48" t="str">
        <x:v>是</x:v>
      </x:c>
      <x:c r="M402" s="48" t="str">
        <x:v>保留</x:v>
      </x:c>
      <x:c r="N402" s="48" t="str">
        <x:v>中航凯特公寓|1室0厅1|35|3100|西</x:v>
      </x:c>
      <x:c r="O402" s="48"/>
      <x:c r="P402" s="48" t="str">
        <x:v>未知（未逐条补齐）</x:v>
      </x:c>
      <x:c r="Q402" s="48" t="str">
        <x:v>https://shenzhen.leyoujia.com/zf/detail/3x3MNocxHpz62XAMS3TPNN.html</x:v>
      </x:c>
      <x:c r="R402" s="48" t="str">
        <x:v>2026-08-13</x:v>
      </x:c>
    </x:row>
    <x:row r="403">
      <x:c r="A403" s="48" t="str">
        <x:v>中航凯特公寓</x:v>
      </x:c>
      <x:c r="B403" s="48" t="str">
        <x:v>中航凯特公寓</x:v>
      </x:c>
      <x:c r="C403" s="48" t="str">
        <x:v>红岭</x:v>
      </x:c>
      <x:c r="D403" s="56" t="n">
        <x:v>8.9</x:v>
      </x:c>
      <x:c r="E403" s="61" t="n">
        <x:v>3100</x:v>
      </x:c>
      <x:c r="F403" s="61" t="n">
        <x:v>31.36</x:v>
      </x:c>
      <x:c r="G403" s="61" t="n">
        <x:v>98.9</x:v>
      </x:c>
      <x:c r="H403" s="48" t="str">
        <x:v>1室0厅1</x:v>
      </x:c>
      <x:c r="I403" s="48" t="str">
        <x:v>北</x:v>
      </x:c>
      <x:c r="J403" s="48" t="str">
        <x:v>精装</x:v>
      </x:c>
      <x:c r="K403" s="48" t="str">
        <x:v>公寓</x:v>
      </x:c>
      <x:c r="L403" s="48" t="str">
        <x:v>是</x:v>
      </x:c>
      <x:c r="M403" s="48" t="str">
        <x:v>保留</x:v>
      </x:c>
      <x:c r="N403" s="48" t="str">
        <x:v>中航凯特公寓|1室0厅1|31|3100|北</x:v>
      </x:c>
      <x:c r="O403" s="48"/>
      <x:c r="P403" s="48" t="str">
        <x:v>未知（未逐条补齐）</x:v>
      </x:c>
      <x:c r="Q403" s="48" t="str">
        <x:v>https://shenzhen.leyoujia.com/zf/detail/8rgcZJtxkZnNzdmEw5hfXS.html</x:v>
      </x:c>
      <x:c r="R403" s="48" t="str">
        <x:v>2026-08-13</x:v>
      </x:c>
    </x:row>
    <x:row r="404">
      <x:c r="A404" s="48" t="str">
        <x:v>中航凯特公寓</x:v>
      </x:c>
      <x:c r="B404" s="48" t="str">
        <x:v>中航凯特公寓</x:v>
      </x:c>
      <x:c r="C404" s="48" t="str">
        <x:v>红岭</x:v>
      </x:c>
      <x:c r="D404" s="56" t="n">
        <x:v>8.9</x:v>
      </x:c>
      <x:c r="E404" s="61" t="n">
        <x:v>3200</x:v>
      </x:c>
      <x:c r="F404" s="61" t="n">
        <x:v>39</x:v>
      </x:c>
      <x:c r="G404" s="61" t="n">
        <x:v>82.1</x:v>
      </x:c>
      <x:c r="H404" s="48" t="str">
        <x:v>1室0厅1</x:v>
      </x:c>
      <x:c r="I404" s="48" t="str">
        <x:v>西</x:v>
      </x:c>
      <x:c r="J404" s="48" t="str">
        <x:v>普装</x:v>
      </x:c>
      <x:c r="K404" s="48" t="str">
        <x:v>普通住宅</x:v>
      </x:c>
      <x:c r="L404" s="48" t="str">
        <x:v>是</x:v>
      </x:c>
      <x:c r="M404" s="48" t="str">
        <x:v>保留</x:v>
      </x:c>
      <x:c r="N404" s="48" t="str">
        <x:v>中航凯特公寓|1室0厅1|39|3200|西</x:v>
      </x:c>
      <x:c r="O404" s="48"/>
      <x:c r="P404" s="48" t="str">
        <x:v>未知（未逐条补齐）</x:v>
      </x:c>
      <x:c r="Q404" s="48" t="str">
        <x:v>https://shenzhen.leyoujia.com/zf/detail/Jo1jJjBN4X6cj5jk4UTmo9.html</x:v>
      </x:c>
      <x:c r="R404" s="48" t="str">
        <x:v>2026-08-13</x:v>
      </x:c>
    </x:row>
    <x:row r="405">
      <x:c r="A405" s="48" t="str">
        <x:v>中航凯特公寓</x:v>
      </x:c>
      <x:c r="B405" s="48" t="str">
        <x:v>中航凯特公寓</x:v>
      </x:c>
      <x:c r="C405" s="48" t="str">
        <x:v>红岭</x:v>
      </x:c>
      <x:c r="D405" s="56" t="n">
        <x:v>8.9</x:v>
      </x:c>
      <x:c r="E405" s="61" t="n">
        <x:v>3500</x:v>
      </x:c>
      <x:c r="F405" s="61" t="n">
        <x:v>38.31</x:v>
      </x:c>
      <x:c r="G405" s="61" t="n">
        <x:v>91.4</x:v>
      </x:c>
      <x:c r="H405" s="48" t="str">
        <x:v>1室0厅1</x:v>
      </x:c>
      <x:c r="I405" s="48" t="str">
        <x:v>西南</x:v>
      </x:c>
      <x:c r="J405" s="48" t="str">
        <x:v>精装</x:v>
      </x:c>
      <x:c r="K405" s="48" t="str">
        <x:v>公寓</x:v>
      </x:c>
      <x:c r="L405" s="48" t="str">
        <x:v>是</x:v>
      </x:c>
      <x:c r="M405" s="48" t="str">
        <x:v>保留</x:v>
      </x:c>
      <x:c r="N405" s="48" t="str">
        <x:v>中航凯特公寓|1室0厅1|38|3500|西南</x:v>
      </x:c>
      <x:c r="O405" s="48"/>
      <x:c r="P405" s="48" t="str">
        <x:v>未知（未逐条补齐）</x:v>
      </x:c>
      <x:c r="Q405" s="48" t="str">
        <x:v>https://shenzhen.leyoujia.com/zf/detail/5TE4vQ5D9awVwp8qFVmc2H.html</x:v>
      </x:c>
      <x:c r="R405" s="48" t="str">
        <x:v>2026-08-13</x:v>
      </x:c>
    </x:row>
    <x:row r="406">
      <x:c r="A406" s="48" t="str">
        <x:v>中航凯特公寓</x:v>
      </x:c>
      <x:c r="B406" s="48" t="str">
        <x:v>中航凯特公寓</x:v>
      </x:c>
      <x:c r="C406" s="48" t="str">
        <x:v>红岭</x:v>
      </x:c>
      <x:c r="D406" s="56" t="n">
        <x:v>8.9</x:v>
      </x:c>
      <x:c r="E406" s="61" t="n">
        <x:v>4500</x:v>
      </x:c>
      <x:c r="F406" s="61" t="n">
        <x:v>69</x:v>
      </x:c>
      <x:c r="G406" s="61" t="n">
        <x:v>65.2</x:v>
      </x:c>
      <x:c r="H406" s="48" t="str">
        <x:v>1室1厅1</x:v>
      </x:c>
      <x:c r="I406" s="48" t="str">
        <x:v>南</x:v>
      </x:c>
      <x:c r="J406" s="48" t="str">
        <x:v>待核</x:v>
      </x:c>
      <x:c r="K406" s="48" t="str">
        <x:v>普通住宅</x:v>
      </x:c>
      <x:c r="L406" s="48" t="str">
        <x:v>否</x:v>
      </x:c>
      <x:c r="M406" s="48" t="str">
        <x:v>异常高价</x:v>
      </x:c>
      <x:c r="N406" s="48" t="str">
        <x:v>中航凯特公寓|1室1厅1|69|4500|南</x:v>
      </x:c>
      <x:c r="O406" s="48"/>
      <x:c r="P406" s="48" t="str">
        <x:v>未知（未逐条补齐）</x:v>
      </x:c>
      <x:c r="Q406" s="48" t="str">
        <x:v>https://shenzhen.leyoujia.com/zf/detail/FmA6pGxC4Gygd1Whx8xNjb.html</x:v>
      </x:c>
      <x:c r="R406" s="48" t="str">
        <x:v>2026-08-13</x:v>
      </x:c>
    </x:row>
    <x:row r="407">
      <x:c r="A407" s="48" t="str">
        <x:v>深港豪苑</x:v>
      </x:c>
      <x:c r="B407" s="48" t="str">
        <x:v>深港豪苑</x:v>
      </x:c>
      <x:c r="C407" s="48" t="str">
        <x:v>红岭</x:v>
      </x:c>
      <x:c r="D407" s="56" t="n">
        <x:v>10.2</x:v>
      </x:c>
      <x:c r="E407" s="61" t="n">
        <x:v>3500</x:v>
      </x:c>
      <x:c r="F407" s="61" t="n">
        <x:v>50</x:v>
      </x:c>
      <x:c r="G407" s="61" t="n">
        <x:v>70</x:v>
      </x:c>
      <x:c r="H407" s="48" t="str">
        <x:v>1室0厅1</x:v>
      </x:c>
      <x:c r="I407" s="48" t="str">
        <x:v>北</x:v>
      </x:c>
      <x:c r="J407" s="48" t="str">
        <x:v>精装</x:v>
      </x:c>
      <x:c r="K407" s="48" t="str">
        <x:v>公寓</x:v>
      </x:c>
      <x:c r="L407" s="48" t="str">
        <x:v>是</x:v>
      </x:c>
      <x:c r="M407" s="48" t="str">
        <x:v>保留</x:v>
      </x:c>
      <x:c r="N407" s="48" t="str">
        <x:v>深港豪苑|1室0厅1|50|3500|北</x:v>
      </x:c>
      <x:c r="O407" s="48"/>
      <x:c r="P407" s="48" t="str">
        <x:v>未知（未逐条补齐）</x:v>
      </x:c>
      <x:c r="Q407" s="48" t="str">
        <x:v>https://shenzhen.leyoujia.com/zf/detail/YLJxfnZFzbUTPGKkiEcHWH.html</x:v>
      </x:c>
      <x:c r="R407" s="48" t="str">
        <x:v>2026-08-13</x:v>
      </x:c>
    </x:row>
    <x:row r="408">
      <x:c r="A408" s="48" t="str">
        <x:v>深港豪苑</x:v>
      </x:c>
      <x:c r="B408" s="48" t="str">
        <x:v>深港豪苑</x:v>
      </x:c>
      <x:c r="C408" s="48" t="str">
        <x:v>红岭</x:v>
      </x:c>
      <x:c r="D408" s="56" t="n">
        <x:v>10.2</x:v>
      </x:c>
      <x:c r="E408" s="61" t="n">
        <x:v>3580</x:v>
      </x:c>
      <x:c r="F408" s="61" t="n">
        <x:v>50</x:v>
      </x:c>
      <x:c r="G408" s="61" t="n">
        <x:v>71.6</x:v>
      </x:c>
      <x:c r="H408" s="48" t="str">
        <x:v>1室0厅1</x:v>
      </x:c>
      <x:c r="I408" s="48" t="str">
        <x:v>南</x:v>
      </x:c>
      <x:c r="J408" s="48" t="str">
        <x:v>精装</x:v>
      </x:c>
      <x:c r="K408" s="48" t="str">
        <x:v>普通住宅</x:v>
      </x:c>
      <x:c r="L408" s="48" t="str">
        <x:v>是</x:v>
      </x:c>
      <x:c r="M408" s="48" t="str">
        <x:v>保留</x:v>
      </x:c>
      <x:c r="N408" s="48" t="str">
        <x:v>深港豪苑|1室0厅1|50|3580|南</x:v>
      </x:c>
      <x:c r="O408" s="48"/>
      <x:c r="P408" s="48" t="str">
        <x:v>未知（未逐条补齐）</x:v>
      </x:c>
      <x:c r="Q408" s="48" t="str">
        <x:v>https://shenzhen.leyoujia.com/zf/detail/ByH8ZEhVPDS2cPoyjMsx9t.html</x:v>
      </x:c>
      <x:c r="R408" s="48" t="str">
        <x:v>2026-08-13</x:v>
      </x:c>
    </x:row>
    <x:row r="409">
      <x:c r="A409" s="48" t="str">
        <x:v>深港豪苑</x:v>
      </x:c>
      <x:c r="B409" s="48" t="str">
        <x:v>深港豪苑</x:v>
      </x:c>
      <x:c r="C409" s="48" t="str">
        <x:v>红岭</x:v>
      </x:c>
      <x:c r="D409" s="56" t="n">
        <x:v>10.2</x:v>
      </x:c>
      <x:c r="E409" s="61" t="n">
        <x:v>3600</x:v>
      </x:c>
      <x:c r="F409" s="61" t="n">
        <x:v>35</x:v>
      </x:c>
      <x:c r="G409" s="61" t="n">
        <x:v>102.9</x:v>
      </x:c>
      <x:c r="H409" s="48" t="str">
        <x:v>1室0厅1</x:v>
      </x:c>
      <x:c r="I409" s="48" t="str">
        <x:v>西</x:v>
      </x:c>
      <x:c r="J409" s="48" t="str">
        <x:v>精装</x:v>
      </x:c>
      <x:c r="K409" s="48" t="str">
        <x:v>普通住宅</x:v>
      </x:c>
      <x:c r="L409" s="48" t="str">
        <x:v>是</x:v>
      </x:c>
      <x:c r="M409" s="48" t="str">
        <x:v>保留</x:v>
      </x:c>
      <x:c r="N409" s="48" t="str">
        <x:v>深港豪苑|1室0厅1|35|3600|西</x:v>
      </x:c>
      <x:c r="O409" s="48"/>
      <x:c r="P409" s="48" t="str">
        <x:v>未知（未逐条补齐）</x:v>
      </x:c>
      <x:c r="Q409" s="48" t="str">
        <x:v>https://shenzhen.leyoujia.com/zf/detail/SCf5AHH3cvZWX94EtozzBY.html</x:v>
      </x:c>
      <x:c r="R409" s="48" t="str">
        <x:v>2026-08-13</x:v>
      </x:c>
    </x:row>
    <x:row r="410">
      <x:c r="A410" s="48" t="str">
        <x:v>深港豪苑</x:v>
      </x:c>
      <x:c r="B410" s="48" t="str">
        <x:v>深港豪苑</x:v>
      </x:c>
      <x:c r="C410" s="48" t="str">
        <x:v>红岭</x:v>
      </x:c>
      <x:c r="D410" s="56" t="n">
        <x:v>10.2</x:v>
      </x:c>
      <x:c r="E410" s="61" t="n">
        <x:v>3600</x:v>
      </x:c>
      <x:c r="F410" s="61" t="n">
        <x:v>50</x:v>
      </x:c>
      <x:c r="G410" s="61" t="n">
        <x:v>72</x:v>
      </x:c>
      <x:c r="H410" s="48" t="str">
        <x:v>1室0厅1</x:v>
      </x:c>
      <x:c r="I410" s="48" t="str">
        <x:v>北</x:v>
      </x:c>
      <x:c r="J410" s="48" t="str">
        <x:v>精装</x:v>
      </x:c>
      <x:c r="K410" s="48" t="str">
        <x:v>酒店式公寓</x:v>
      </x:c>
      <x:c r="L410" s="48" t="str">
        <x:v>是</x:v>
      </x:c>
      <x:c r="M410" s="48" t="str">
        <x:v>保留</x:v>
      </x:c>
      <x:c r="N410" s="48" t="str">
        <x:v>深港豪苑|1室0厅1|50|3600|北</x:v>
      </x:c>
      <x:c r="O410" s="48"/>
      <x:c r="P410" s="48" t="str">
        <x:v>未知（未逐条补齐）</x:v>
      </x:c>
      <x:c r="Q410" s="48" t="str">
        <x:v>https://shenzhen.leyoujia.com/zf/detail/CUf3Rwyh9GYn878jWq7qJd.html</x:v>
      </x:c>
      <x:c r="R410" s="48" t="str">
        <x:v>2026-08-13</x:v>
      </x:c>
    </x:row>
    <x:row r="411">
      <x:c r="A411" s="48" t="str">
        <x:v>深港豪苑</x:v>
      </x:c>
      <x:c r="B411" s="48" t="str">
        <x:v>深港豪苑</x:v>
      </x:c>
      <x:c r="C411" s="48" t="str">
        <x:v>红岭</x:v>
      </x:c>
      <x:c r="D411" s="56" t="n">
        <x:v>10.2</x:v>
      </x:c>
      <x:c r="E411" s="61" t="n">
        <x:v>3680</x:v>
      </x:c>
      <x:c r="F411" s="61" t="n">
        <x:v>50</x:v>
      </x:c>
      <x:c r="G411" s="61" t="n">
        <x:v>73.6</x:v>
      </x:c>
      <x:c r="H411" s="48" t="str">
        <x:v>1室0厅1</x:v>
      </x:c>
      <x:c r="I411" s="48" t="str">
        <x:v>北</x:v>
      </x:c>
      <x:c r="J411" s="48" t="str">
        <x:v>精装</x:v>
      </x:c>
      <x:c r="K411" s="48" t="str">
        <x:v>普通住宅</x:v>
      </x:c>
      <x:c r="L411" s="48" t="str">
        <x:v>是</x:v>
      </x:c>
      <x:c r="M411" s="48" t="str">
        <x:v>保留</x:v>
      </x:c>
      <x:c r="N411" s="48" t="str">
        <x:v>深港豪苑|1室0厅1|50|3680|北</x:v>
      </x:c>
      <x:c r="O411" s="48"/>
      <x:c r="P411" s="48" t="str">
        <x:v>未知（未逐条补齐）</x:v>
      </x:c>
      <x:c r="Q411" s="48" t="str">
        <x:v>https://shenzhen.leyoujia.com/zf/detail/LD6joSoW65A46cRMTYfdvA.html</x:v>
      </x:c>
      <x:c r="R411" s="48" t="str">
        <x:v>2026-08-13</x:v>
      </x:c>
    </x:row>
    <x:row r="412">
      <x:c r="A412" s="48" t="str">
        <x:v>深港豪苑</x:v>
      </x:c>
      <x:c r="B412" s="48" t="str">
        <x:v>深港豪苑</x:v>
      </x:c>
      <x:c r="C412" s="48" t="str">
        <x:v>红岭</x:v>
      </x:c>
      <x:c r="D412" s="56" t="n">
        <x:v>10.2</x:v>
      </x:c>
      <x:c r="E412" s="61" t="n">
        <x:v>3680</x:v>
      </x:c>
      <x:c r="F412" s="61" t="n">
        <x:v>20</x:v>
      </x:c>
      <x:c r="G412" s="61" t="n">
        <x:v>184</x:v>
      </x:c>
      <x:c r="H412" s="48" t="str">
        <x:v>1室0厅1</x:v>
      </x:c>
      <x:c r="I412" s="48" t="str">
        <x:v>东</x:v>
      </x:c>
      <x:c r="J412" s="48" t="str">
        <x:v>普装</x:v>
      </x:c>
      <x:c r="K412" s="48" t="str">
        <x:v>普通住宅</x:v>
      </x:c>
      <x:c r="L412" s="48" t="str">
        <x:v>是</x:v>
      </x:c>
      <x:c r="M412" s="48" t="str">
        <x:v>保留</x:v>
      </x:c>
      <x:c r="N412" s="48" t="str">
        <x:v>深港豪苑|1室0厅1|20|3680|东</x:v>
      </x:c>
      <x:c r="O412" s="48"/>
      <x:c r="P412" s="48" t="str">
        <x:v>未知（未逐条补齐）</x:v>
      </x:c>
      <x:c r="Q412" s="48" t="str">
        <x:v>https://shenzhen.leyoujia.com/zf/detail/A6v5UAmLj9dz66Tv4HhLho.html</x:v>
      </x:c>
      <x:c r="R412" s="48" t="str">
        <x:v>2026-08-13</x:v>
      </x:c>
    </x:row>
    <x:row r="413">
      <x:c r="A413" s="48" t="str">
        <x:v>深港豪苑</x:v>
      </x:c>
      <x:c r="B413" s="48" t="str">
        <x:v>深港豪苑</x:v>
      </x:c>
      <x:c r="C413" s="48" t="str">
        <x:v>红岭</x:v>
      </x:c>
      <x:c r="D413" s="56" t="n">
        <x:v>10.2</x:v>
      </x:c>
      <x:c r="E413" s="61" t="n">
        <x:v>3800</x:v>
      </x:c>
      <x:c r="F413" s="61" t="n">
        <x:v>50</x:v>
      </x:c>
      <x:c r="G413" s="61" t="n">
        <x:v>76</x:v>
      </x:c>
      <x:c r="H413" s="48" t="str">
        <x:v>1室0厅1</x:v>
      </x:c>
      <x:c r="I413" s="48" t="str">
        <x:v>北</x:v>
      </x:c>
      <x:c r="J413" s="48" t="str">
        <x:v>精装</x:v>
      </x:c>
      <x:c r="K413" s="48" t="str">
        <x:v>普通住宅</x:v>
      </x:c>
      <x:c r="L413" s="48" t="str">
        <x:v>是</x:v>
      </x:c>
      <x:c r="M413" s="48" t="str">
        <x:v>保留</x:v>
      </x:c>
      <x:c r="N413" s="48" t="str">
        <x:v>深港豪苑|1室0厅1|50|3800|北</x:v>
      </x:c>
      <x:c r="O413" s="48"/>
      <x:c r="P413" s="48" t="str">
        <x:v>未知（未逐条补齐）</x:v>
      </x:c>
      <x:c r="Q413" s="48" t="str">
        <x:v>https://shenzhen.leyoujia.com/zf/detail/UqELZiu4idgQkEtxUvoZne.html</x:v>
      </x:c>
      <x:c r="R413" s="48" t="str">
        <x:v>2026-08-13</x:v>
      </x:c>
    </x:row>
    <x:row r="414">
      <x:c r="A414" s="48" t="str">
        <x:v>深港豪苑</x:v>
      </x:c>
      <x:c r="B414" s="48" t="str">
        <x:v>深港豪苑</x:v>
      </x:c>
      <x:c r="C414" s="48" t="str">
        <x:v>红岭</x:v>
      </x:c>
      <x:c r="D414" s="56" t="n">
        <x:v>10.2</x:v>
      </x:c>
      <x:c r="E414" s="61" t="n">
        <x:v>3800</x:v>
      </x:c>
      <x:c r="F414" s="61" t="n">
        <x:v>50</x:v>
      </x:c>
      <x:c r="G414" s="61" t="n">
        <x:v>76</x:v>
      </x:c>
      <x:c r="H414" s="48" t="str">
        <x:v>1室0厅1</x:v>
      </x:c>
      <x:c r="I414" s="48" t="str">
        <x:v>北</x:v>
      </x:c>
      <x:c r="J414" s="48" t="str">
        <x:v>精装</x:v>
      </x:c>
      <x:c r="K414" s="48" t="str">
        <x:v>普通住宅</x:v>
      </x:c>
      <x:c r="L414" s="48" t="str">
        <x:v>否</x:v>
      </x:c>
      <x:c r="M414" s="48" t="str">
        <x:v>疑似重复挂牌</x:v>
      </x:c>
      <x:c r="N414" s="48" t="str">
        <x:v>深港豪苑|1室0厅1|50|3800|北</x:v>
      </x:c>
      <x:c r="O414" s="48"/>
      <x:c r="P414" s="48" t="str">
        <x:v>未知（未逐条补齐）</x:v>
      </x:c>
      <x:c r="Q414" s="48" t="str">
        <x:v>https://shenzhen.leyoujia.com/zf/detail/Ts7MeHPGq5HFEsh1Cz6fC1.html</x:v>
      </x:c>
      <x:c r="R414" s="48" t="str">
        <x:v>2026-08-13</x:v>
      </x:c>
    </x:row>
    <x:row r="415">
      <x:c r="A415" s="48" t="str">
        <x:v>深港豪苑</x:v>
      </x:c>
      <x:c r="B415" s="48" t="str">
        <x:v>深港豪苑</x:v>
      </x:c>
      <x:c r="C415" s="48" t="str">
        <x:v>红岭</x:v>
      </x:c>
      <x:c r="D415" s="56" t="n">
        <x:v>10.2</x:v>
      </x:c>
      <x:c r="E415" s="61" t="n">
        <x:v>3800</x:v>
      </x:c>
      <x:c r="F415" s="61" t="n">
        <x:v>50</x:v>
      </x:c>
      <x:c r="G415" s="61" t="n">
        <x:v>76</x:v>
      </x:c>
      <x:c r="H415" s="48" t="str">
        <x:v>1室0厅1</x:v>
      </x:c>
      <x:c r="I415" s="48" t="str">
        <x:v>北</x:v>
      </x:c>
      <x:c r="J415" s="48" t="str">
        <x:v>普装</x:v>
      </x:c>
      <x:c r="K415" s="48" t="str">
        <x:v>普通住宅</x:v>
      </x:c>
      <x:c r="L415" s="48" t="str">
        <x:v>否</x:v>
      </x:c>
      <x:c r="M415" s="48" t="str">
        <x:v>疑似重复挂牌</x:v>
      </x:c>
      <x:c r="N415" s="48" t="str">
        <x:v>深港豪苑|1室0厅1|50|3800|北</x:v>
      </x:c>
      <x:c r="O415" s="48"/>
      <x:c r="P415" s="48" t="str">
        <x:v>未知（未逐条补齐）</x:v>
      </x:c>
      <x:c r="Q415" s="48" t="str">
        <x:v>https://shenzhen.leyoujia.com/zf/detail/8WG5TjK9itYmWFLJLGKewe.html</x:v>
      </x:c>
      <x:c r="R415" s="48" t="str">
        <x:v>2026-08-13</x:v>
      </x:c>
    </x:row>
    <x:row r="416">
      <x:c r="A416" s="48" t="str">
        <x:v>深港豪苑</x:v>
      </x:c>
      <x:c r="B416" s="48" t="str">
        <x:v>深港豪苑</x:v>
      </x:c>
      <x:c r="C416" s="48" t="str">
        <x:v>红岭</x:v>
      </x:c>
      <x:c r="D416" s="56" t="n">
        <x:v>10.2</x:v>
      </x:c>
      <x:c r="E416" s="61" t="n">
        <x:v>4000</x:v>
      </x:c>
      <x:c r="F416" s="61" t="n">
        <x:v>50</x:v>
      </x:c>
      <x:c r="G416" s="61" t="n">
        <x:v>80</x:v>
      </x:c>
      <x:c r="H416" s="48" t="str">
        <x:v>1室0厅1</x:v>
      </x:c>
      <x:c r="I416" s="48" t="str">
        <x:v>北</x:v>
      </x:c>
      <x:c r="J416" s="48" t="str">
        <x:v>精装</x:v>
      </x:c>
      <x:c r="K416" s="48" t="str">
        <x:v>酒店式公寓</x:v>
      </x:c>
      <x:c r="L416" s="48" t="str">
        <x:v>是</x:v>
      </x:c>
      <x:c r="M416" s="48" t="str">
        <x:v>保留</x:v>
      </x:c>
      <x:c r="N416" s="48" t="str">
        <x:v>深港豪苑|1室0厅1|50|4000|北</x:v>
      </x:c>
      <x:c r="O416" s="48"/>
      <x:c r="P416" s="48" t="str">
        <x:v>未知（未逐条补齐）</x:v>
      </x:c>
      <x:c r="Q416" s="48" t="str">
        <x:v>https://shenzhen.leyoujia.com/zf/detail/WSDGi71fRgeQ4aKvDoFqqK.html</x:v>
      </x:c>
      <x:c r="R416" s="48" t="str">
        <x:v>2026-08-13</x:v>
      </x:c>
    </x:row>
    <x:row r="417">
      <x:c r="A417" s="48" t="str">
        <x:v>深港豪苑</x:v>
      </x:c>
      <x:c r="B417" s="48" t="str">
        <x:v>深港豪苑</x:v>
      </x:c>
      <x:c r="C417" s="48" t="str">
        <x:v>红岭</x:v>
      </x:c>
      <x:c r="D417" s="56" t="n">
        <x:v>10.2</x:v>
      </x:c>
      <x:c r="E417" s="61" t="n">
        <x:v>4000</x:v>
      </x:c>
      <x:c r="F417" s="61" t="n">
        <x:v>50</x:v>
      </x:c>
      <x:c r="G417" s="61" t="n">
        <x:v>80</x:v>
      </x:c>
      <x:c r="H417" s="48" t="str">
        <x:v>1室0厅1</x:v>
      </x:c>
      <x:c r="I417" s="48" t="str">
        <x:v>北</x:v>
      </x:c>
      <x:c r="J417" s="48" t="str">
        <x:v>精装</x:v>
      </x:c>
      <x:c r="K417" s="48" t="str">
        <x:v>酒店式公寓</x:v>
      </x:c>
      <x:c r="L417" s="48" t="str">
        <x:v>否</x:v>
      </x:c>
      <x:c r="M417" s="48" t="str">
        <x:v>疑似重复挂牌</x:v>
      </x:c>
      <x:c r="N417" s="48" t="str">
        <x:v>深港豪苑|1室0厅1|50|4000|北</x:v>
      </x:c>
      <x:c r="O417" s="48"/>
      <x:c r="P417" s="48" t="str">
        <x:v>未知（未逐条补齐）</x:v>
      </x:c>
      <x:c r="Q417" s="48" t="str">
        <x:v>https://shenzhen.leyoujia.com/zf/detail/TCkVTDoQjpkr5c3ZMsBVUC.html</x:v>
      </x:c>
      <x:c r="R417" s="48" t="str">
        <x:v>2026-08-13</x:v>
      </x:c>
    </x:row>
    <x:row r="418">
      <x:c r="A418" s="48" t="str">
        <x:v>深港豪苑</x:v>
      </x:c>
      <x:c r="B418" s="48" t="str">
        <x:v>深港豪苑</x:v>
      </x:c>
      <x:c r="C418" s="48" t="str">
        <x:v>红岭</x:v>
      </x:c>
      <x:c r="D418" s="56" t="n">
        <x:v>10.2</x:v>
      </x:c>
      <x:c r="E418" s="61" t="n">
        <x:v>4000</x:v>
      </x:c>
      <x:c r="F418" s="61" t="n">
        <x:v>40</x:v>
      </x:c>
      <x:c r="G418" s="61" t="n">
        <x:v>100</x:v>
      </x:c>
      <x:c r="H418" s="48" t="str">
        <x:v>1室0厅1</x:v>
      </x:c>
      <x:c r="I418" s="48" t="str">
        <x:v>东</x:v>
      </x:c>
      <x:c r="J418" s="48" t="str">
        <x:v>普装</x:v>
      </x:c>
      <x:c r="K418" s="48" t="str">
        <x:v>普通住宅</x:v>
      </x:c>
      <x:c r="L418" s="48" t="str">
        <x:v>是</x:v>
      </x:c>
      <x:c r="M418" s="48" t="str">
        <x:v>保留</x:v>
      </x:c>
      <x:c r="N418" s="48" t="str">
        <x:v>深港豪苑|1室0厅1|40|4000|东</x:v>
      </x:c>
      <x:c r="O418" s="48"/>
      <x:c r="P418" s="48" t="str">
        <x:v>未知（未逐条补齐）</x:v>
      </x:c>
      <x:c r="Q418" s="48" t="str">
        <x:v>https://shenzhen.leyoujia.com/zf/detail/WayKx9NSb5mbA8T2VafCGv.html</x:v>
      </x:c>
      <x:c r="R418" s="48" t="str">
        <x:v>2026-08-13</x:v>
      </x:c>
    </x:row>
    <x:row r="419">
      <x:c r="A419" s="48" t="str">
        <x:v>深港豪苑</x:v>
      </x:c>
      <x:c r="B419" s="48" t="str">
        <x:v>深港豪苑</x:v>
      </x:c>
      <x:c r="C419" s="48" t="str">
        <x:v>红岭</x:v>
      </x:c>
      <x:c r="D419" s="56" t="n">
        <x:v>10.2</x:v>
      </x:c>
      <x:c r="E419" s="61" t="n">
        <x:v>4000</x:v>
      </x:c>
      <x:c r="F419" s="61" t="n">
        <x:v>45</x:v>
      </x:c>
      <x:c r="G419" s="61" t="n">
        <x:v>88.9</x:v>
      </x:c>
      <x:c r="H419" s="48" t="str">
        <x:v>1室0厅1</x:v>
      </x:c>
      <x:c r="I419" s="48" t="str">
        <x:v>北</x:v>
      </x:c>
      <x:c r="J419" s="48" t="str">
        <x:v>精装</x:v>
      </x:c>
      <x:c r="K419" s="48" t="str">
        <x:v>普通住宅</x:v>
      </x:c>
      <x:c r="L419" s="48" t="str">
        <x:v>是</x:v>
      </x:c>
      <x:c r="M419" s="48" t="str">
        <x:v>保留</x:v>
      </x:c>
      <x:c r="N419" s="48" t="str">
        <x:v>深港豪苑|1室0厅1|45|4000|北</x:v>
      </x:c>
      <x:c r="O419" s="48"/>
      <x:c r="P419" s="48" t="str">
        <x:v>未知（未逐条补齐）</x:v>
      </x:c>
      <x:c r="Q419" s="48" t="str">
        <x:v>https://shenzhen.leyoujia.com/zf/detail/N2sLkWERFNJGfedCCxtwm5.html</x:v>
      </x:c>
      <x:c r="R419" s="48" t="str">
        <x:v>2026-08-13</x:v>
      </x:c>
    </x:row>
    <x:row r="420">
      <x:c r="A420" s="48" t="str">
        <x:v>深港豪苑</x:v>
      </x:c>
      <x:c r="B420" s="48" t="str">
        <x:v>深港豪苑</x:v>
      </x:c>
      <x:c r="C420" s="48" t="str">
        <x:v>红岭</x:v>
      </x:c>
      <x:c r="D420" s="56" t="n">
        <x:v>10.2</x:v>
      </x:c>
      <x:c r="E420" s="61" t="n">
        <x:v>4000</x:v>
      </x:c>
      <x:c r="F420" s="61" t="n">
        <x:v>50</x:v>
      </x:c>
      <x:c r="G420" s="61" t="n">
        <x:v>80</x:v>
      </x:c>
      <x:c r="H420" s="48" t="str">
        <x:v>1室0厅1</x:v>
      </x:c>
      <x:c r="I420" s="48" t="str">
        <x:v>北</x:v>
      </x:c>
      <x:c r="J420" s="48" t="str">
        <x:v>普装</x:v>
      </x:c>
      <x:c r="K420" s="48" t="str">
        <x:v>酒店式公寓</x:v>
      </x:c>
      <x:c r="L420" s="48" t="str">
        <x:v>否</x:v>
      </x:c>
      <x:c r="M420" s="48" t="str">
        <x:v>疑似重复挂牌</x:v>
      </x:c>
      <x:c r="N420" s="48" t="str">
        <x:v>深港豪苑|1室0厅1|50|4000|北</x:v>
      </x:c>
      <x:c r="O420" s="48"/>
      <x:c r="P420" s="48" t="str">
        <x:v>未知（未逐条补齐）</x:v>
      </x:c>
      <x:c r="Q420" s="48" t="str">
        <x:v>https://shenzhen.leyoujia.com/zf/detail/LnAdPVrwt3FdGkVQEA6qds.html</x:v>
      </x:c>
      <x:c r="R420" s="48" t="str">
        <x:v>2026-08-13</x:v>
      </x:c>
    </x:row>
    <x:row r="421">
      <x:c r="A421" s="48" t="str">
        <x:v>深港豪苑</x:v>
      </x:c>
      <x:c r="B421" s="48" t="str">
        <x:v>深港豪苑</x:v>
      </x:c>
      <x:c r="C421" s="48" t="str">
        <x:v>红岭</x:v>
      </x:c>
      <x:c r="D421" s="56" t="n">
        <x:v>10.2</x:v>
      </x:c>
      <x:c r="E421" s="61" t="n">
        <x:v>4000</x:v>
      </x:c>
      <x:c r="F421" s="61" t="n">
        <x:v>46</x:v>
      </x:c>
      <x:c r="G421" s="61" t="n">
        <x:v>87</x:v>
      </x:c>
      <x:c r="H421" s="48" t="str">
        <x:v>1室1厅1</x:v>
      </x:c>
      <x:c r="I421" s="48" t="str">
        <x:v>西北</x:v>
      </x:c>
      <x:c r="J421" s="48" t="str">
        <x:v>普装</x:v>
      </x:c>
      <x:c r="K421" s="48" t="str">
        <x:v>普通住宅</x:v>
      </x:c>
      <x:c r="L421" s="48" t="str">
        <x:v>是</x:v>
      </x:c>
      <x:c r="M421" s="48" t="str">
        <x:v>保留</x:v>
      </x:c>
      <x:c r="N421" s="48" t="str">
        <x:v>深港豪苑|1室1厅1|46|4000|西北</x:v>
      </x:c>
      <x:c r="O421" s="48"/>
      <x:c r="P421" s="48" t="str">
        <x:v>未知（未逐条补齐）</x:v>
      </x:c>
      <x:c r="Q421" s="48" t="str">
        <x:v>https://shenzhen.leyoujia.com/zf/detail/SnGkRhpTdQxssHk9jBaeqy.html</x:v>
      </x:c>
      <x:c r="R421" s="48" t="str">
        <x:v>2026-08-13</x:v>
      </x:c>
    </x:row>
    <x:row r="422">
      <x:c r="A422" s="48" t="str">
        <x:v>深港豪苑</x:v>
      </x:c>
      <x:c r="B422" s="48" t="str">
        <x:v>深港豪苑</x:v>
      </x:c>
      <x:c r="C422" s="48" t="str">
        <x:v>红岭</x:v>
      </x:c>
      <x:c r="D422" s="56" t="n">
        <x:v>10.2</x:v>
      </x:c>
      <x:c r="E422" s="61" t="n">
        <x:v>4000</x:v>
      </x:c>
      <x:c r="F422" s="61" t="n">
        <x:v>45</x:v>
      </x:c>
      <x:c r="G422" s="61" t="n">
        <x:v>88.9</x:v>
      </x:c>
      <x:c r="H422" s="48" t="str">
        <x:v>1室0厅1</x:v>
      </x:c>
      <x:c r="I422" s="48" t="str">
        <x:v>北</x:v>
      </x:c>
      <x:c r="J422" s="48" t="str">
        <x:v>精装</x:v>
      </x:c>
      <x:c r="K422" s="48" t="str">
        <x:v>普通住宅</x:v>
      </x:c>
      <x:c r="L422" s="48" t="str">
        <x:v>否</x:v>
      </x:c>
      <x:c r="M422" s="48" t="str">
        <x:v>疑似重复挂牌</x:v>
      </x:c>
      <x:c r="N422" s="48" t="str">
        <x:v>深港豪苑|1室0厅1|45|4000|北</x:v>
      </x:c>
      <x:c r="O422" s="48"/>
      <x:c r="P422" s="48" t="str">
        <x:v>未知（未逐条补齐）</x:v>
      </x:c>
      <x:c r="Q422" s="48" t="str">
        <x:v>https://shenzhen.leyoujia.com/zf/detail/HuvpxmfehVFcvffTG6Mqbc.html</x:v>
      </x:c>
      <x:c r="R422" s="48" t="str">
        <x:v>2026-08-13</x:v>
      </x:c>
    </x:row>
    <x:row r="423">
      <x:c r="A423" s="48" t="str">
        <x:v>深港豪苑</x:v>
      </x:c>
      <x:c r="B423" s="48" t="str">
        <x:v>深港豪苑</x:v>
      </x:c>
      <x:c r="C423" s="48" t="str">
        <x:v>红岭</x:v>
      </x:c>
      <x:c r="D423" s="56" t="n">
        <x:v>10.2</x:v>
      </x:c>
      <x:c r="E423" s="61" t="n">
        <x:v>4000</x:v>
      </x:c>
      <x:c r="F423" s="61" t="n">
        <x:v>50</x:v>
      </x:c>
      <x:c r="G423" s="61" t="n">
        <x:v>80</x:v>
      </x:c>
      <x:c r="H423" s="48" t="str">
        <x:v>1室0厅1</x:v>
      </x:c>
      <x:c r="I423" s="48" t="str">
        <x:v>北</x:v>
      </x:c>
      <x:c r="J423" s="48" t="str">
        <x:v>精装</x:v>
      </x:c>
      <x:c r="K423" s="48" t="str">
        <x:v>酒店式公寓</x:v>
      </x:c>
      <x:c r="L423" s="48" t="str">
        <x:v>否</x:v>
      </x:c>
      <x:c r="M423" s="48" t="str">
        <x:v>疑似重复挂牌</x:v>
      </x:c>
      <x:c r="N423" s="48" t="str">
        <x:v>深港豪苑|1室0厅1|50|4000|北</x:v>
      </x:c>
      <x:c r="O423" s="48"/>
      <x:c r="P423" s="48" t="str">
        <x:v>未知（未逐条补齐）</x:v>
      </x:c>
      <x:c r="Q423" s="48" t="str">
        <x:v>https://shenzhen.leyoujia.com/zf/detail/UdwSMrAgCVsr5czee3eeoG.html</x:v>
      </x:c>
      <x:c r="R423" s="48" t="str">
        <x:v>2026-08-13</x:v>
      </x:c>
    </x:row>
    <x:row r="424">
      <x:c r="A424" s="48" t="str">
        <x:v>深港豪苑</x:v>
      </x:c>
      <x:c r="B424" s="48" t="str">
        <x:v>深港豪苑</x:v>
      </x:c>
      <x:c r="C424" s="48" t="str">
        <x:v>红岭</x:v>
      </x:c>
      <x:c r="D424" s="56" t="n">
        <x:v>10.2</x:v>
      </x:c>
      <x:c r="E424" s="61" t="n">
        <x:v>4000</x:v>
      </x:c>
      <x:c r="F424" s="61" t="n">
        <x:v>50</x:v>
      </x:c>
      <x:c r="G424" s="61" t="n">
        <x:v>80</x:v>
      </x:c>
      <x:c r="H424" s="48" t="str">
        <x:v>1室0厅1</x:v>
      </x:c>
      <x:c r="I424" s="48" t="str">
        <x:v>北</x:v>
      </x:c>
      <x:c r="J424" s="48" t="str">
        <x:v>普装</x:v>
      </x:c>
      <x:c r="K424" s="48" t="str">
        <x:v>酒店式公寓</x:v>
      </x:c>
      <x:c r="L424" s="48" t="str">
        <x:v>否</x:v>
      </x:c>
      <x:c r="M424" s="48" t="str">
        <x:v>疑似重复挂牌</x:v>
      </x:c>
      <x:c r="N424" s="48" t="str">
        <x:v>深港豪苑|1室0厅1|50|4000|北</x:v>
      </x:c>
      <x:c r="O424" s="48"/>
      <x:c r="P424" s="48" t="str">
        <x:v>未知（未逐条补齐）</x:v>
      </x:c>
      <x:c r="Q424" s="48" t="str">
        <x:v>https://shenzhen.leyoujia.com/zf/detail/6rDTt1DDd8aySt5Dw9joza.html</x:v>
      </x:c>
      <x:c r="R424" s="48" t="str">
        <x:v>2026-08-13</x:v>
      </x:c>
    </x:row>
    <x:row r="425">
      <x:c r="A425" s="48" t="str">
        <x:v>深港豪苑</x:v>
      </x:c>
      <x:c r="B425" s="48" t="str">
        <x:v>深港豪苑</x:v>
      </x:c>
      <x:c r="C425" s="48" t="str">
        <x:v>红岭</x:v>
      </x:c>
      <x:c r="D425" s="56" t="n">
        <x:v>10.2</x:v>
      </x:c>
      <x:c r="E425" s="61" t="n">
        <x:v>4000</x:v>
      </x:c>
      <x:c r="F425" s="61" t="n">
        <x:v>50</x:v>
      </x:c>
      <x:c r="G425" s="61" t="n">
        <x:v>80</x:v>
      </x:c>
      <x:c r="H425" s="48" t="str">
        <x:v>1室0厅1</x:v>
      </x:c>
      <x:c r="I425" s="48" t="str">
        <x:v>北</x:v>
      </x:c>
      <x:c r="J425" s="48" t="str">
        <x:v>精装</x:v>
      </x:c>
      <x:c r="K425" s="48" t="str">
        <x:v>酒店式公寓</x:v>
      </x:c>
      <x:c r="L425" s="48" t="str">
        <x:v>否</x:v>
      </x:c>
      <x:c r="M425" s="48" t="str">
        <x:v>疑似重复挂牌</x:v>
      </x:c>
      <x:c r="N425" s="48" t="str">
        <x:v>深港豪苑|1室0厅1|50|4000|北</x:v>
      </x:c>
      <x:c r="O425" s="48"/>
      <x:c r="P425" s="48" t="str">
        <x:v>未知（未逐条补齐）</x:v>
      </x:c>
      <x:c r="Q425" s="48" t="str">
        <x:v>https://shenzhen.leyoujia.com/zf/detail/Mndts6hnptDpuiEPQEmJQt.html</x:v>
      </x:c>
      <x:c r="R425" s="48" t="str">
        <x:v>2026-08-13</x:v>
      </x:c>
    </x:row>
    <x:row r="426">
      <x:c r="A426" s="48" t="str">
        <x:v>深港豪苑</x:v>
      </x:c>
      <x:c r="B426" s="48" t="str">
        <x:v>深港豪苑</x:v>
      </x:c>
      <x:c r="C426" s="48" t="str">
        <x:v>红岭</x:v>
      </x:c>
      <x:c r="D426" s="56" t="n">
        <x:v>10.2</x:v>
      </x:c>
      <x:c r="E426" s="61" t="n">
        <x:v>4000</x:v>
      </x:c>
      <x:c r="F426" s="61" t="n">
        <x:v>50</x:v>
      </x:c>
      <x:c r="G426" s="61" t="n">
        <x:v>80</x:v>
      </x:c>
      <x:c r="H426" s="48" t="str">
        <x:v>1室0厅1</x:v>
      </x:c>
      <x:c r="I426" s="48" t="str">
        <x:v>北</x:v>
      </x:c>
      <x:c r="J426" s="48" t="str">
        <x:v>精装</x:v>
      </x:c>
      <x:c r="K426" s="48" t="str">
        <x:v>酒店式公寓</x:v>
      </x:c>
      <x:c r="L426" s="48" t="str">
        <x:v>否</x:v>
      </x:c>
      <x:c r="M426" s="48" t="str">
        <x:v>疑似重复挂牌</x:v>
      </x:c>
      <x:c r="N426" s="48" t="str">
        <x:v>深港豪苑|1室0厅1|50|4000|北</x:v>
      </x:c>
      <x:c r="O426" s="48"/>
      <x:c r="P426" s="48" t="str">
        <x:v>未知（未逐条补齐）</x:v>
      </x:c>
      <x:c r="Q426" s="48" t="str">
        <x:v>https://shenzhen.leyoujia.com/zf/detail/2afWsN5HkgLNAoDazUmHiL.html</x:v>
      </x:c>
      <x:c r="R426" s="48" t="str">
        <x:v>2026-08-13</x:v>
      </x:c>
    </x:row>
    <x:row r="427">
      <x:c r="A427" s="48" t="str">
        <x:v>风格名苑</x:v>
      </x:c>
      <x:c r="B427" s="48" t="str">
        <x:v>风格名苑</x:v>
      </x:c>
      <x:c r="C427" s="48" t="str">
        <x:v>红岭</x:v>
      </x:c>
      <x:c r="D427" s="56" t="n">
        <x:v>9.1</x:v>
      </x:c>
      <x:c r="E427" s="61" t="n">
        <x:v>3500</x:v>
      </x:c>
      <x:c r="F427" s="61" t="n">
        <x:v>31.03</x:v>
      </x:c>
      <x:c r="G427" s="61" t="n">
        <x:v>112.8</x:v>
      </x:c>
      <x:c r="H427" s="48" t="str">
        <x:v>1室0厅1</x:v>
      </x:c>
      <x:c r="I427" s="48" t="str">
        <x:v>东</x:v>
      </x:c>
      <x:c r="J427" s="48" t="str">
        <x:v>精装</x:v>
      </x:c>
      <x:c r="K427" s="48" t="str">
        <x:v>普通住宅</x:v>
      </x:c>
      <x:c r="L427" s="48" t="str">
        <x:v>是</x:v>
      </x:c>
      <x:c r="M427" s="48" t="str">
        <x:v>保留</x:v>
      </x:c>
      <x:c r="N427" s="48" t="str">
        <x:v>风格名苑|1室0厅1|31|3500|东</x:v>
      </x:c>
      <x:c r="O427" s="48"/>
      <x:c r="P427" s="48" t="str">
        <x:v>未知（未逐条补齐）</x:v>
      </x:c>
      <x:c r="Q427" s="48" t="str">
        <x:v>https://shenzhen.leyoujia.com/zf/detail/NRsMMcJFfZN7JZn35669gw.html</x:v>
      </x:c>
      <x:c r="R427" s="48" t="str">
        <x:v>2026-08-13</x:v>
      </x:c>
    </x:row>
    <x:row r="428">
      <x:c r="A428" s="48" t="str">
        <x:v>风格名苑</x:v>
      </x:c>
      <x:c r="B428" s="48" t="str">
        <x:v>风格名苑</x:v>
      </x:c>
      <x:c r="C428" s="48" t="str">
        <x:v>红岭</x:v>
      </x:c>
      <x:c r="D428" s="56" t="n">
        <x:v>9.1</x:v>
      </x:c>
      <x:c r="E428" s="61" t="n">
        <x:v>3500</x:v>
      </x:c>
      <x:c r="F428" s="61" t="n">
        <x:v>31.12</x:v>
      </x:c>
      <x:c r="G428" s="61" t="n">
        <x:v>112.5</x:v>
      </x:c>
      <x:c r="H428" s="48" t="str">
        <x:v>1室0厅1</x:v>
      </x:c>
      <x:c r="I428" s="48" t="str">
        <x:v>西</x:v>
      </x:c>
      <x:c r="J428" s="48" t="str">
        <x:v>精装</x:v>
      </x:c>
      <x:c r="K428" s="48" t="str">
        <x:v>普通住宅</x:v>
      </x:c>
      <x:c r="L428" s="48" t="str">
        <x:v>是</x:v>
      </x:c>
      <x:c r="M428" s="48" t="str">
        <x:v>保留</x:v>
      </x:c>
      <x:c r="N428" s="48" t="str">
        <x:v>风格名苑|1室0厅1|31|3500|西</x:v>
      </x:c>
      <x:c r="O428" s="48"/>
      <x:c r="P428" s="48" t="str">
        <x:v>未知（未逐条补齐）</x:v>
      </x:c>
      <x:c r="Q428" s="48" t="str">
        <x:v>https://shenzhen.leyoujia.com/zf/detail/XTqgYBp3dNnLYEqRUF4H4V.html</x:v>
      </x:c>
      <x:c r="R428" s="48" t="str">
        <x:v>2026-08-13</x:v>
      </x:c>
    </x:row>
    <x:row r="429">
      <x:c r="A429" s="48" t="str">
        <x:v>风格名苑</x:v>
      </x:c>
      <x:c r="B429" s="48" t="str">
        <x:v>风格名苑</x:v>
      </x:c>
      <x:c r="C429" s="48" t="str">
        <x:v>红岭</x:v>
      </x:c>
      <x:c r="D429" s="56" t="n">
        <x:v>9.1</x:v>
      </x:c>
      <x:c r="E429" s="61" t="n">
        <x:v>4600</x:v>
      </x:c>
      <x:c r="F429" s="61" t="n">
        <x:v>28.07</x:v>
      </x:c>
      <x:c r="G429" s="61" t="n">
        <x:v>163.9</x:v>
      </x:c>
      <x:c r="H429" s="48" t="str">
        <x:v>1室0厅1</x:v>
      </x:c>
      <x:c r="I429" s="48" t="str">
        <x:v>东</x:v>
      </x:c>
      <x:c r="J429" s="48" t="str">
        <x:v>精装</x:v>
      </x:c>
      <x:c r="K429" s="48" t="str">
        <x:v>普通住宅</x:v>
      </x:c>
      <x:c r="L429" s="48" t="str">
        <x:v>是</x:v>
      </x:c>
      <x:c r="M429" s="48" t="str">
        <x:v>保留</x:v>
      </x:c>
      <x:c r="N429" s="48" t="str">
        <x:v>风格名苑|1室0厅1|28|4600|东</x:v>
      </x:c>
      <x:c r="O429" s="48"/>
      <x:c r="P429" s="48" t="str">
        <x:v>未知（未逐条补齐）</x:v>
      </x:c>
      <x:c r="Q429" s="48" t="str">
        <x:v>https://shenzhen.leyoujia.com/zf/detail/LJqvNVFsrJxqVPVpoyz6Vc.html</x:v>
      </x:c>
      <x:c r="R429" s="48" t="str">
        <x:v>2026-08-13</x:v>
      </x:c>
    </x:row>
    <x:row r="430">
      <x:c r="A430" s="48" t="str">
        <x:v>风格名苑</x:v>
      </x:c>
      <x:c r="B430" s="48" t="str">
        <x:v>风格名苑</x:v>
      </x:c>
      <x:c r="C430" s="48" t="str">
        <x:v>红岭</x:v>
      </x:c>
      <x:c r="D430" s="56" t="n">
        <x:v>9.1</x:v>
      </x:c>
      <x:c r="E430" s="61" t="n">
        <x:v>5000</x:v>
      </x:c>
      <x:c r="F430" s="61" t="n">
        <x:v>46.04</x:v>
      </x:c>
      <x:c r="G430" s="61" t="n">
        <x:v>108.6</x:v>
      </x:c>
      <x:c r="H430" s="48" t="str">
        <x:v>1室1厅1</x:v>
      </x:c>
      <x:c r="I430" s="48" t="str">
        <x:v>南</x:v>
      </x:c>
      <x:c r="J430" s="48" t="str">
        <x:v>普装</x:v>
      </x:c>
      <x:c r="K430" s="48" t="str">
        <x:v>普通住宅</x:v>
      </x:c>
      <x:c r="L430" s="48" t="str">
        <x:v>是</x:v>
      </x:c>
      <x:c r="M430" s="48" t="str">
        <x:v>保留</x:v>
      </x:c>
      <x:c r="N430" s="48" t="str">
        <x:v>风格名苑|1室1厅1|46|5000|南</x:v>
      </x:c>
      <x:c r="O430" s="48"/>
      <x:c r="P430" s="48" t="str">
        <x:v>未知（未逐条补齐）</x:v>
      </x:c>
      <x:c r="Q430" s="48" t="str">
        <x:v>https://shenzhen.leyoujia.com/zf/detail/DttLQxFUDtuy2E81Te21zb.html</x:v>
      </x:c>
      <x:c r="R430" s="48" t="str">
        <x:v>2026-08-13</x:v>
      </x:c>
    </x:row>
    <x:row r="431">
      <x:c r="A431" s="48" t="str">
        <x:v>风格名苑</x:v>
      </x:c>
      <x:c r="B431" s="48" t="str">
        <x:v>风格名苑</x:v>
      </x:c>
      <x:c r="C431" s="48" t="str">
        <x:v>红岭</x:v>
      </x:c>
      <x:c r="D431" s="56" t="n">
        <x:v>9.1</x:v>
      </x:c>
      <x:c r="E431" s="61" t="n">
        <x:v>5000</x:v>
      </x:c>
      <x:c r="F431" s="61" t="n">
        <x:v>47.98</x:v>
      </x:c>
      <x:c r="G431" s="61" t="n">
        <x:v>104.2</x:v>
      </x:c>
      <x:c r="H431" s="48" t="str">
        <x:v>1室1厅1</x:v>
      </x:c>
      <x:c r="I431" s="48" t="str">
        <x:v>西北</x:v>
      </x:c>
      <x:c r="J431" s="48" t="str">
        <x:v>精装</x:v>
      </x:c>
      <x:c r="K431" s="48" t="str">
        <x:v>普通住宅</x:v>
      </x:c>
      <x:c r="L431" s="48" t="str">
        <x:v>是</x:v>
      </x:c>
      <x:c r="M431" s="48" t="str">
        <x:v>保留</x:v>
      </x:c>
      <x:c r="N431" s="48" t="str">
        <x:v>风格名苑|1室1厅1|48|5000|西北</x:v>
      </x:c>
      <x:c r="O431" s="48"/>
      <x:c r="P431" s="48" t="str">
        <x:v>未知（未逐条补齐）</x:v>
      </x:c>
      <x:c r="Q431" s="48" t="str">
        <x:v>https://shenzhen.leyoujia.com/zf/detail/G6g4owq87EQK8QPiJJdHzY.html</x:v>
      </x:c>
      <x:c r="R431" s="48" t="str">
        <x:v>2026-08-13</x:v>
      </x:c>
    </x:row>
    <x:row r="432">
      <x:c r="A432" s="48" t="str">
        <x:v>鸿翔花园</x:v>
      </x:c>
      <x:c r="B432" s="48" t="str">
        <x:v>鸿翔花园</x:v>
      </x:c>
      <x:c r="C432" s="48" t="str">
        <x:v>红岭</x:v>
      </x:c>
      <x:c r="D432" s="56" t="n">
        <x:v>10.5</x:v>
      </x:c>
      <x:c r="E432" s="61" t="n">
        <x:v>3300</x:v>
      </x:c>
      <x:c r="F432" s="61" t="n">
        <x:v>34.73</x:v>
      </x:c>
      <x:c r="G432" s="61" t="n">
        <x:v>95</x:v>
      </x:c>
      <x:c r="H432" s="48" t="str">
        <x:v>1室0厅1</x:v>
      </x:c>
      <x:c r="I432" s="48" t="str">
        <x:v>北</x:v>
      </x:c>
      <x:c r="J432" s="48" t="str">
        <x:v>普装</x:v>
      </x:c>
      <x:c r="K432" s="48" t="str">
        <x:v>普通住宅</x:v>
      </x:c>
      <x:c r="L432" s="48" t="str">
        <x:v>是</x:v>
      </x:c>
      <x:c r="M432" s="48" t="str">
        <x:v>保留</x:v>
      </x:c>
      <x:c r="N432" s="48" t="str">
        <x:v>鸿翔花园|1室0厅1|35|3300|北</x:v>
      </x:c>
      <x:c r="O432" s="48"/>
      <x:c r="P432" s="48" t="str">
        <x:v>未知（未逐条补齐）</x:v>
      </x:c>
      <x:c r="Q432" s="48" t="str">
        <x:v>https://shenzhen.leyoujia.com/zf/detail/R92WghaUynEo6BJX6bp8Rz.html</x:v>
      </x:c>
      <x:c r="R432" s="48" t="str">
        <x:v>2026-08-13</x:v>
      </x:c>
    </x:row>
    <x:row r="433">
      <x:c r="A433" s="48" t="str">
        <x:v>鸿翔花园</x:v>
      </x:c>
      <x:c r="B433" s="48" t="str">
        <x:v>鸿翔花园</x:v>
      </x:c>
      <x:c r="C433" s="48" t="str">
        <x:v>红岭</x:v>
      </x:c>
      <x:c r="D433" s="56" t="n">
        <x:v>10.5</x:v>
      </x:c>
      <x:c r="E433" s="61" t="n">
        <x:v>3400</x:v>
      </x:c>
      <x:c r="F433" s="61" t="n">
        <x:v>34.77</x:v>
      </x:c>
      <x:c r="G433" s="61" t="n">
        <x:v>97.8</x:v>
      </x:c>
      <x:c r="H433" s="48" t="str">
        <x:v>1室0厅1</x:v>
      </x:c>
      <x:c r="I433" s="48" t="str">
        <x:v>北</x:v>
      </x:c>
      <x:c r="J433" s="48" t="str">
        <x:v>普装</x:v>
      </x:c>
      <x:c r="K433" s="48" t="str">
        <x:v>公寓</x:v>
      </x:c>
      <x:c r="L433" s="48" t="str">
        <x:v>是</x:v>
      </x:c>
      <x:c r="M433" s="48" t="str">
        <x:v>保留</x:v>
      </x:c>
      <x:c r="N433" s="48" t="str">
        <x:v>鸿翔花园|1室0厅1|35|3400|北</x:v>
      </x:c>
      <x:c r="O433" s="48"/>
      <x:c r="P433" s="48" t="str">
        <x:v>未知（未逐条补齐）</x:v>
      </x:c>
      <x:c r="Q433" s="48" t="str">
        <x:v>https://shenzhen.leyoujia.com/zf/detail/GtkDSwR5KSghCETdToeK9B.html</x:v>
      </x:c>
      <x:c r="R433" s="48" t="str">
        <x:v>2026-08-13</x:v>
      </x:c>
    </x:row>
    <x:row r="434">
      <x:c r="A434" s="48" t="str">
        <x:v>鸿翔花园</x:v>
      </x:c>
      <x:c r="B434" s="48" t="str">
        <x:v>鸿翔花园</x:v>
      </x:c>
      <x:c r="C434" s="48" t="str">
        <x:v>红岭</x:v>
      </x:c>
      <x:c r="D434" s="56" t="n">
        <x:v>10.5</x:v>
      </x:c>
      <x:c r="E434" s="61" t="n">
        <x:v>3400</x:v>
      </x:c>
      <x:c r="F434" s="61" t="n">
        <x:v>35</x:v>
      </x:c>
      <x:c r="G434" s="61" t="n">
        <x:v>97.1</x:v>
      </x:c>
      <x:c r="H434" s="48" t="str">
        <x:v>1室0厅1</x:v>
      </x:c>
      <x:c r="I434" s="48" t="str">
        <x:v>北</x:v>
      </x:c>
      <x:c r="J434" s="48" t="str">
        <x:v>普装</x:v>
      </x:c>
      <x:c r="K434" s="48" t="str">
        <x:v>普通住宅</x:v>
      </x:c>
      <x:c r="L434" s="48" t="str">
        <x:v>否</x:v>
      </x:c>
      <x:c r="M434" s="48" t="str">
        <x:v>疑似重复挂牌</x:v>
      </x:c>
      <x:c r="N434" s="48" t="str">
        <x:v>鸿翔花园|1室0厅1|35|3400|北</x:v>
      </x:c>
      <x:c r="O434" s="48"/>
      <x:c r="P434" s="48" t="str">
        <x:v>未知（未逐条补齐）</x:v>
      </x:c>
      <x:c r="Q434" s="48" t="str">
        <x:v>https://shenzhen.leyoujia.com/zf/detail/93tX32zmvdoBLueVxWvqz8.html</x:v>
      </x:c>
      <x:c r="R434" s="48" t="str">
        <x:v>2026-08-13</x:v>
      </x:c>
    </x:row>
    <x:row r="435">
      <x:c r="A435" s="48" t="str">
        <x:v>鸿翔花园</x:v>
      </x:c>
      <x:c r="B435" s="48" t="str">
        <x:v>鸿翔花园</x:v>
      </x:c>
      <x:c r="C435" s="48" t="str">
        <x:v>红岭</x:v>
      </x:c>
      <x:c r="D435" s="56" t="n">
        <x:v>10.5</x:v>
      </x:c>
      <x:c r="E435" s="61" t="n">
        <x:v>3400</x:v>
      </x:c>
      <x:c r="F435" s="61" t="n">
        <x:v>34.54</x:v>
      </x:c>
      <x:c r="G435" s="61" t="n">
        <x:v>98.4</x:v>
      </x:c>
      <x:c r="H435" s="48" t="str">
        <x:v>1室0厅1</x:v>
      </x:c>
      <x:c r="I435" s="48" t="str">
        <x:v>北</x:v>
      </x:c>
      <x:c r="J435" s="48" t="str">
        <x:v>精装</x:v>
      </x:c>
      <x:c r="K435" s="48" t="str">
        <x:v>公寓</x:v>
      </x:c>
      <x:c r="L435" s="48" t="str">
        <x:v>否</x:v>
      </x:c>
      <x:c r="M435" s="48" t="str">
        <x:v>疑似重复挂牌</x:v>
      </x:c>
      <x:c r="N435" s="48" t="str">
        <x:v>鸿翔花园|1室0厅1|35|3400|北</x:v>
      </x:c>
      <x:c r="O435" s="48"/>
      <x:c r="P435" s="48" t="str">
        <x:v>未知（未逐条补齐）</x:v>
      </x:c>
      <x:c r="Q435" s="48" t="str">
        <x:v>https://shenzhen.leyoujia.com/zf/detail/91pNouA7nRWWjdBHzfpVjv.html</x:v>
      </x:c>
      <x:c r="R435" s="48" t="str">
        <x:v>2026-08-13</x:v>
      </x:c>
    </x:row>
    <x:row r="436">
      <x:c r="A436" s="48" t="str">
        <x:v>鸿翔花园</x:v>
      </x:c>
      <x:c r="B436" s="48" t="str">
        <x:v>鸿翔花园</x:v>
      </x:c>
      <x:c r="C436" s="48" t="str">
        <x:v>红岭</x:v>
      </x:c>
      <x:c r="D436" s="56" t="n">
        <x:v>10.5</x:v>
      </x:c>
      <x:c r="E436" s="61" t="n">
        <x:v>3500</x:v>
      </x:c>
      <x:c r="F436" s="61" t="n">
        <x:v>43</x:v>
      </x:c>
      <x:c r="G436" s="61" t="n">
        <x:v>81.4</x:v>
      </x:c>
      <x:c r="H436" s="48" t="str">
        <x:v>1室0厅1</x:v>
      </x:c>
      <x:c r="I436" s="48" t="str">
        <x:v>北</x:v>
      </x:c>
      <x:c r="J436" s="48" t="str">
        <x:v>精装</x:v>
      </x:c>
      <x:c r="K436" s="48" t="str">
        <x:v>公寓</x:v>
      </x:c>
      <x:c r="L436" s="48" t="str">
        <x:v>是</x:v>
      </x:c>
      <x:c r="M436" s="48" t="str">
        <x:v>保留</x:v>
      </x:c>
      <x:c r="N436" s="48" t="str">
        <x:v>鸿翔花园|1室0厅1|43|3500|北</x:v>
      </x:c>
      <x:c r="O436" s="48"/>
      <x:c r="P436" s="48" t="str">
        <x:v>未知（未逐条补齐）</x:v>
      </x:c>
      <x:c r="Q436" s="48" t="str">
        <x:v>https://shenzhen.leyoujia.com/zf/detail/AsQNEdZAeMbCAL7xmJtTtE.html</x:v>
      </x:c>
      <x:c r="R436" s="48" t="str">
        <x:v>2026-08-13</x:v>
      </x:c>
    </x:row>
    <x:row r="437">
      <x:c r="A437" s="48" t="str">
        <x:v>鸿翔花园</x:v>
      </x:c>
      <x:c r="B437" s="48" t="str">
        <x:v>鸿翔花园</x:v>
      </x:c>
      <x:c r="C437" s="48" t="str">
        <x:v>红岭</x:v>
      </x:c>
      <x:c r="D437" s="56" t="n">
        <x:v>10.5</x:v>
      </x:c>
      <x:c r="E437" s="61" t="n">
        <x:v>3500</x:v>
      </x:c>
      <x:c r="F437" s="61" t="n">
        <x:v>34.77</x:v>
      </x:c>
      <x:c r="G437" s="61" t="n">
        <x:v>100.7</x:v>
      </x:c>
      <x:c r="H437" s="48" t="str">
        <x:v>1室0厅1</x:v>
      </x:c>
      <x:c r="I437" s="48" t="str">
        <x:v>北</x:v>
      </x:c>
      <x:c r="J437" s="48" t="str">
        <x:v>精装</x:v>
      </x:c>
      <x:c r="K437" s="48" t="str">
        <x:v>公寓</x:v>
      </x:c>
      <x:c r="L437" s="48" t="str">
        <x:v>是</x:v>
      </x:c>
      <x:c r="M437" s="48" t="str">
        <x:v>保留</x:v>
      </x:c>
      <x:c r="N437" s="48" t="str">
        <x:v>鸿翔花园|1室0厅1|35|3500|北</x:v>
      </x:c>
      <x:c r="O437" s="48"/>
      <x:c r="P437" s="48" t="str">
        <x:v>未知（未逐条补齐）</x:v>
      </x:c>
      <x:c r="Q437" s="48" t="str">
        <x:v>https://shenzhen.leyoujia.com/zf/detail/7cNQRupNL5JNg6Hfs9XwnK.html</x:v>
      </x:c>
      <x:c r="R437" s="48" t="str">
        <x:v>2026-08-13</x:v>
      </x:c>
    </x:row>
    <x:row r="438">
      <x:c r="A438" s="48" t="str">
        <x:v>鸿翔花园</x:v>
      </x:c>
      <x:c r="B438" s="48" t="str">
        <x:v>鸿翔花园</x:v>
      </x:c>
      <x:c r="C438" s="48" t="str">
        <x:v>红岭</x:v>
      </x:c>
      <x:c r="D438" s="56" t="n">
        <x:v>10.5</x:v>
      </x:c>
      <x:c r="E438" s="61" t="n">
        <x:v>3500</x:v>
      </x:c>
      <x:c r="F438" s="61" t="n">
        <x:v>35</x:v>
      </x:c>
      <x:c r="G438" s="61" t="n">
        <x:v>100</x:v>
      </x:c>
      <x:c r="H438" s="48" t="str">
        <x:v>1室0厅1</x:v>
      </x:c>
      <x:c r="I438" s="48" t="str">
        <x:v>北</x:v>
      </x:c>
      <x:c r="J438" s="48" t="str">
        <x:v>普装</x:v>
      </x:c>
      <x:c r="K438" s="48" t="str">
        <x:v>公寓</x:v>
      </x:c>
      <x:c r="L438" s="48" t="str">
        <x:v>否</x:v>
      </x:c>
      <x:c r="M438" s="48" t="str">
        <x:v>疑似重复挂牌</x:v>
      </x:c>
      <x:c r="N438" s="48" t="str">
        <x:v>鸿翔花园|1室0厅1|35|3500|北</x:v>
      </x:c>
      <x:c r="O438" s="48"/>
      <x:c r="P438" s="48" t="str">
        <x:v>未知（未逐条补齐）</x:v>
      </x:c>
      <x:c r="Q438" s="48" t="str">
        <x:v>https://shenzhen.leyoujia.com/zf/detail/D5zK4HCXLNRLpH3GsZ8QA.html</x:v>
      </x:c>
      <x:c r="R438" s="48" t="str">
        <x:v>2026-08-13</x:v>
      </x:c>
    </x:row>
    <x:row r="439">
      <x:c r="A439" s="48" t="str">
        <x:v>鸿翔花园</x:v>
      </x:c>
      <x:c r="B439" s="48" t="str">
        <x:v>鸿翔花园</x:v>
      </x:c>
      <x:c r="C439" s="48" t="str">
        <x:v>红岭</x:v>
      </x:c>
      <x:c r="D439" s="56" t="n">
        <x:v>10.5</x:v>
      </x:c>
      <x:c r="E439" s="61" t="n">
        <x:v>3500</x:v>
      </x:c>
      <x:c r="F439" s="61" t="n">
        <x:v>41</x:v>
      </x:c>
      <x:c r="G439" s="61" t="n">
        <x:v>85.4</x:v>
      </x:c>
      <x:c r="H439" s="48" t="str">
        <x:v>1室0厅1</x:v>
      </x:c>
      <x:c r="I439" s="48" t="str">
        <x:v>北</x:v>
      </x:c>
      <x:c r="J439" s="48" t="str">
        <x:v>普装</x:v>
      </x:c>
      <x:c r="K439" s="48" t="str">
        <x:v>公寓</x:v>
      </x:c>
      <x:c r="L439" s="48" t="str">
        <x:v>是</x:v>
      </x:c>
      <x:c r="M439" s="48" t="str">
        <x:v>保留</x:v>
      </x:c>
      <x:c r="N439" s="48" t="str">
        <x:v>鸿翔花园|1室0厅1|41|3500|北</x:v>
      </x:c>
      <x:c r="O439" s="48"/>
      <x:c r="P439" s="48" t="str">
        <x:v>未知（未逐条补齐）</x:v>
      </x:c>
      <x:c r="Q439" s="48" t="str">
        <x:v>https://shenzhen.leyoujia.com/zf/detail/5maKgX7xtXJgvzVy1mycg7.html</x:v>
      </x:c>
      <x:c r="R439" s="48" t="str">
        <x:v>2026-08-13</x:v>
      </x:c>
    </x:row>
    <x:row r="440">
      <x:c r="A440" s="48" t="str">
        <x:v>鸿翔花园</x:v>
      </x:c>
      <x:c r="B440" s="48" t="str">
        <x:v>鸿翔花园</x:v>
      </x:c>
      <x:c r="C440" s="48" t="str">
        <x:v>红岭</x:v>
      </x:c>
      <x:c r="D440" s="56" t="n">
        <x:v>10.5</x:v>
      </x:c>
      <x:c r="E440" s="61" t="n">
        <x:v>3500</x:v>
      </x:c>
      <x:c r="F440" s="61" t="n">
        <x:v>34.7</x:v>
      </x:c>
      <x:c r="G440" s="61" t="n">
        <x:v>100.9</x:v>
      </x:c>
      <x:c r="H440" s="48" t="str">
        <x:v>1室0厅1</x:v>
      </x:c>
      <x:c r="I440" s="48" t="str">
        <x:v>北</x:v>
      </x:c>
      <x:c r="J440" s="48" t="str">
        <x:v>普装</x:v>
      </x:c>
      <x:c r="K440" s="48" t="str">
        <x:v>公寓</x:v>
      </x:c>
      <x:c r="L440" s="48" t="str">
        <x:v>否</x:v>
      </x:c>
      <x:c r="M440" s="48" t="str">
        <x:v>疑似重复挂牌</x:v>
      </x:c>
      <x:c r="N440" s="48" t="str">
        <x:v>鸿翔花园|1室0厅1|35|3500|北</x:v>
      </x:c>
      <x:c r="O440" s="48"/>
      <x:c r="P440" s="48" t="str">
        <x:v>未知（未逐条补齐）</x:v>
      </x:c>
      <x:c r="Q440" s="48" t="str">
        <x:v>https://shenzhen.leyoujia.com/zf/detail/KEHqRi5x22hKUiHX15MAmG.html</x:v>
      </x:c>
      <x:c r="R440" s="48" t="str">
        <x:v>2026-08-13</x:v>
      </x:c>
    </x:row>
    <x:row r="441">
      <x:c r="A441" s="48" t="str">
        <x:v>鸿翔花园</x:v>
      </x:c>
      <x:c r="B441" s="48" t="str">
        <x:v>鸿翔花园</x:v>
      </x:c>
      <x:c r="C441" s="48" t="str">
        <x:v>红岭</x:v>
      </x:c>
      <x:c r="D441" s="56" t="n">
        <x:v>10.5</x:v>
      </x:c>
      <x:c r="E441" s="61" t="n">
        <x:v>3600</x:v>
      </x:c>
      <x:c r="F441" s="61" t="n">
        <x:v>40.94</x:v>
      </x:c>
      <x:c r="G441" s="61" t="n">
        <x:v>87.9</x:v>
      </x:c>
      <x:c r="H441" s="48" t="str">
        <x:v>1室0厅1</x:v>
      </x:c>
      <x:c r="I441" s="48" t="str">
        <x:v>北</x:v>
      </x:c>
      <x:c r="J441" s="48" t="str">
        <x:v>精装</x:v>
      </x:c>
      <x:c r="K441" s="48" t="str">
        <x:v>公寓</x:v>
      </x:c>
      <x:c r="L441" s="48" t="str">
        <x:v>是</x:v>
      </x:c>
      <x:c r="M441" s="48" t="str">
        <x:v>保留</x:v>
      </x:c>
      <x:c r="N441" s="48" t="str">
        <x:v>鸿翔花园|1室0厅1|41|3600|北</x:v>
      </x:c>
      <x:c r="O441" s="48"/>
      <x:c r="P441" s="48" t="str">
        <x:v>未知（未逐条补齐）</x:v>
      </x:c>
      <x:c r="Q441" s="48" t="str">
        <x:v>https://shenzhen.leyoujia.com/zf/detail/CGFvM1NZ2Lo4EsX89WXaqm.html</x:v>
      </x:c>
      <x:c r="R441" s="48" t="str">
        <x:v>2026-08-13</x:v>
      </x:c>
    </x:row>
    <x:row r="442">
      <x:c r="A442" s="48" t="str">
        <x:v>鸿翔花园</x:v>
      </x:c>
      <x:c r="B442" s="48" t="str">
        <x:v>鸿翔花园</x:v>
      </x:c>
      <x:c r="C442" s="48" t="str">
        <x:v>红岭</x:v>
      </x:c>
      <x:c r="D442" s="56" t="n">
        <x:v>10.5</x:v>
      </x:c>
      <x:c r="E442" s="61" t="n">
        <x:v>4200</x:v>
      </x:c>
      <x:c r="F442" s="61" t="n">
        <x:v>45</x:v>
      </x:c>
      <x:c r="G442" s="61" t="n">
        <x:v>93.3</x:v>
      </x:c>
      <x:c r="H442" s="48" t="str">
        <x:v>1室0厅1</x:v>
      </x:c>
      <x:c r="I442" s="48" t="str">
        <x:v>南</x:v>
      </x:c>
      <x:c r="J442" s="48" t="str">
        <x:v>普装</x:v>
      </x:c>
      <x:c r="K442" s="48" t="str">
        <x:v>公寓</x:v>
      </x:c>
      <x:c r="L442" s="48" t="str">
        <x:v>否</x:v>
      </x:c>
      <x:c r="M442" s="48" t="str">
        <x:v>异常高价</x:v>
      </x:c>
      <x:c r="N442" s="48" t="str">
        <x:v>鸿翔花园|1室0厅1|45|4200|南</x:v>
      </x:c>
      <x:c r="O442" s="48"/>
      <x:c r="P442" s="48" t="str">
        <x:v>未知（未逐条补齐）</x:v>
      </x:c>
      <x:c r="Q442" s="48" t="str">
        <x:v>https://shenzhen.leyoujia.com/zf/detail/6CtM3eTpfBoezyDWE35eQo.html</x:v>
      </x:c>
      <x:c r="R442" s="48" t="str">
        <x:v>2026-08-13</x:v>
      </x:c>
    </x:row>
    <x:row r="443">
      <x:c r="A443" s="48" t="str">
        <x:v>国都花园</x:v>
      </x:c>
      <x:c r="B443" s="48" t="str">
        <x:v>国都花园</x:v>
      </x:c>
      <x:c r="C443" s="48" t="str">
        <x:v>红岭</x:v>
      </x:c>
      <x:c r="D443" s="56" t="n">
        <x:v>13.1</x:v>
      </x:c>
      <x:c r="E443" s="61" t="n">
        <x:v>3000</x:v>
      </x:c>
      <x:c r="F443" s="61" t="n">
        <x:v>38</x:v>
      </x:c>
      <x:c r="G443" s="61" t="n">
        <x:v>78.9</x:v>
      </x:c>
      <x:c r="H443" s="48" t="str">
        <x:v>1室1厅1</x:v>
      </x:c>
      <x:c r="I443" s="48" t="str">
        <x:v>东</x:v>
      </x:c>
      <x:c r="J443" s="48" t="str">
        <x:v>精装</x:v>
      </x:c>
      <x:c r="K443" s="48" t="str">
        <x:v>公寓</x:v>
      </x:c>
      <x:c r="L443" s="48" t="str">
        <x:v>是</x:v>
      </x:c>
      <x:c r="M443" s="48" t="str">
        <x:v>保留</x:v>
      </x:c>
      <x:c r="N443" s="48" t="str">
        <x:v>国都花园|1室1厅1|38|3000|东</x:v>
      </x:c>
      <x:c r="O443" s="48"/>
      <x:c r="P443" s="48" t="str">
        <x:v>未知（未逐条补齐）</x:v>
      </x:c>
      <x:c r="Q443" s="48" t="str">
        <x:v>https://shenzhen.leyoujia.com/zf/detail/TU7T7zWAZ9q6uvovfbZXTg.html</x:v>
      </x:c>
      <x:c r="R443" s="48" t="str">
        <x:v>2026-08-13</x:v>
      </x:c>
    </x:row>
    <x:row r="444">
      <x:c r="A444" s="48" t="str">
        <x:v>国都花园</x:v>
      </x:c>
      <x:c r="B444" s="48" t="str">
        <x:v>国都花园</x:v>
      </x:c>
      <x:c r="C444" s="48" t="str">
        <x:v>红岭</x:v>
      </x:c>
      <x:c r="D444" s="56" t="n">
        <x:v>13.1</x:v>
      </x:c>
      <x:c r="E444" s="61" t="n">
        <x:v>3200</x:v>
      </x:c>
      <x:c r="F444" s="61" t="n">
        <x:v>30</x:v>
      </x:c>
      <x:c r="G444" s="61" t="n">
        <x:v>106.7</x:v>
      </x:c>
      <x:c r="H444" s="48" t="str">
        <x:v>1室1厅1</x:v>
      </x:c>
      <x:c r="I444" s="48" t="str">
        <x:v>北</x:v>
      </x:c>
      <x:c r="J444" s="48" t="str">
        <x:v>普装</x:v>
      </x:c>
      <x:c r="K444" s="48" t="str">
        <x:v>普通住宅</x:v>
      </x:c>
      <x:c r="L444" s="48" t="str">
        <x:v>是</x:v>
      </x:c>
      <x:c r="M444" s="48" t="str">
        <x:v>保留</x:v>
      </x:c>
      <x:c r="N444" s="48" t="str">
        <x:v>国都花园|1室1厅1|30|3200|北</x:v>
      </x:c>
      <x:c r="O444" s="48"/>
      <x:c r="P444" s="48" t="str">
        <x:v>未知（未逐条补齐）</x:v>
      </x:c>
      <x:c r="Q444" s="48" t="str">
        <x:v>https://shenzhen.leyoujia.com/zf/detail/6B8fL4RSEdaYNmyDWciEUD.html</x:v>
      </x:c>
      <x:c r="R444" s="48" t="str">
        <x:v>2026-08-13</x:v>
      </x:c>
    </x:row>
    <x:row r="445">
      <x:c r="A445" s="48" t="str">
        <x:v>嘉福苑</x:v>
      </x:c>
      <x:c r="B445" s="48" t="str">
        <x:v>嘉福苑</x:v>
      </x:c>
      <x:c r="C445" s="48" t="str">
        <x:v>红岭</x:v>
      </x:c>
      <x:c r="D445" s="56" t="n">
        <x:v>11.7</x:v>
      </x:c>
      <x:c r="E445" s="61" t="n">
        <x:v>2600</x:v>
      </x:c>
      <x:c r="F445" s="61" t="n">
        <x:v>28</x:v>
      </x:c>
      <x:c r="G445" s="61" t="n">
        <x:v>92.9</x:v>
      </x:c>
      <x:c r="H445" s="48" t="str">
        <x:v>1室0厅1</x:v>
      </x:c>
      <x:c r="I445" s="48" t="str">
        <x:v>东</x:v>
      </x:c>
      <x:c r="J445" s="48" t="str">
        <x:v>精装</x:v>
      </x:c>
      <x:c r="K445" s="48" t="str">
        <x:v>普通住宅</x:v>
      </x:c>
      <x:c r="L445" s="48" t="str">
        <x:v>是</x:v>
      </x:c>
      <x:c r="M445" s="48" t="str">
        <x:v>保留</x:v>
      </x:c>
      <x:c r="N445" s="48" t="str">
        <x:v>嘉福苑|1室0厅1|28|2600|东</x:v>
      </x:c>
      <x:c r="O445" s="48"/>
      <x:c r="P445" s="48" t="str">
        <x:v>未知（未逐条补齐）</x:v>
      </x:c>
      <x:c r="Q445" s="48" t="str">
        <x:v>https://shenzhen.leyoujia.com/zf/detail/FdhVoxu6V7U99KMP6D3zK6.html</x:v>
      </x:c>
      <x:c r="R445" s="48" t="str">
        <x:v>2026-08-13</x:v>
      </x:c>
    </x:row>
    <x:row r="446">
      <x:c r="A446" s="48" t="str">
        <x:v>嘉福苑</x:v>
      </x:c>
      <x:c r="B446" s="48" t="str">
        <x:v>嘉福苑</x:v>
      </x:c>
      <x:c r="C446" s="48" t="str">
        <x:v>红岭</x:v>
      </x:c>
      <x:c r="D446" s="56" t="n">
        <x:v>11.7</x:v>
      </x:c>
      <x:c r="E446" s="61" t="n">
        <x:v>3080</x:v>
      </x:c>
      <x:c r="F446" s="61" t="n">
        <x:v>25</x:v>
      </x:c>
      <x:c r="G446" s="61" t="n">
        <x:v>123.2</x:v>
      </x:c>
      <x:c r="H446" s="48" t="str">
        <x:v>1室1厅1</x:v>
      </x:c>
      <x:c r="I446" s="48" t="str">
        <x:v>南北</x:v>
      </x:c>
      <x:c r="J446" s="48" t="str">
        <x:v>普装</x:v>
      </x:c>
      <x:c r="K446" s="48" t="str">
        <x:v>普通住宅</x:v>
      </x:c>
      <x:c r="L446" s="48" t="str">
        <x:v>是</x:v>
      </x:c>
      <x:c r="M446" s="48" t="str">
        <x:v>保留</x:v>
      </x:c>
      <x:c r="N446" s="48" t="str">
        <x:v>嘉福苑|1室1厅1|25|3080|南北</x:v>
      </x:c>
      <x:c r="O446" s="48"/>
      <x:c r="P446" s="48" t="str">
        <x:v>未知（未逐条补齐）</x:v>
      </x:c>
      <x:c r="Q446" s="48" t="str">
        <x:v>https://shenzhen.leyoujia.com/zf/detail/3kP2Uki31upHKZxBReRpkx.html</x:v>
      </x:c>
      <x:c r="R446" s="48" t="str">
        <x:v>2026-08-13</x:v>
      </x:c>
    </x:row>
    <x:row r="447">
      <x:c r="A447" s="48" t="str">
        <x:v>嘉福苑</x:v>
      </x:c>
      <x:c r="B447" s="48" t="str">
        <x:v>嘉福苑</x:v>
      </x:c>
      <x:c r="C447" s="48" t="str">
        <x:v>红岭</x:v>
      </x:c>
      <x:c r="D447" s="56" t="n">
        <x:v>11.7</x:v>
      </x:c>
      <x:c r="E447" s="61" t="n">
        <x:v>3180</x:v>
      </x:c>
      <x:c r="F447" s="61" t="n">
        <x:v>45</x:v>
      </x:c>
      <x:c r="G447" s="61" t="n">
        <x:v>70.7</x:v>
      </x:c>
      <x:c r="H447" s="48" t="str">
        <x:v>1室1厅1</x:v>
      </x:c>
      <x:c r="I447" s="48" t="str">
        <x:v>南</x:v>
      </x:c>
      <x:c r="J447" s="48" t="str">
        <x:v>普装</x:v>
      </x:c>
      <x:c r="K447" s="48" t="str">
        <x:v>普通住宅</x:v>
      </x:c>
      <x:c r="L447" s="48" t="str">
        <x:v>是</x:v>
      </x:c>
      <x:c r="M447" s="48" t="str">
        <x:v>保留</x:v>
      </x:c>
      <x:c r="N447" s="48" t="str">
        <x:v>嘉福苑|1室1厅1|45|3180|南</x:v>
      </x:c>
      <x:c r="O447" s="48"/>
      <x:c r="P447" s="48" t="str">
        <x:v>未知（未逐条补齐）</x:v>
      </x:c>
      <x:c r="Q447" s="48" t="str">
        <x:v>https://shenzhen.leyoujia.com/zf/detail/X6E73MU7TSLq5REaKYqszn.html</x:v>
      </x:c>
      <x:c r="R447" s="48" t="str">
        <x:v>2026-08-13</x:v>
      </x:c>
    </x:row>
    <x:row r="448">
      <x:c r="A448" s="48" t="str">
        <x:v>雅馨居</x:v>
      </x:c>
      <x:c r="B448" s="48" t="str">
        <x:v>TCL雅馨居</x:v>
      </x:c>
      <x:c r="C448" s="48" t="str">
        <x:v>红岭</x:v>
      </x:c>
      <x:c r="D448" s="56" t="n">
        <x:v>12.8</x:v>
      </x:c>
      <x:c r="E448" s="61" t="n">
        <x:v>2700</x:v>
      </x:c>
      <x:c r="F448" s="61" t="n">
        <x:v>30</x:v>
      </x:c>
      <x:c r="G448" s="61" t="n">
        <x:v>90</x:v>
      </x:c>
      <x:c r="H448" s="48" t="str">
        <x:v>1室0厅1</x:v>
      </x:c>
      <x:c r="I448" s="48" t="str">
        <x:v>南</x:v>
      </x:c>
      <x:c r="J448" s="48" t="str">
        <x:v>精装</x:v>
      </x:c>
      <x:c r="K448" s="48" t="str">
        <x:v>普通住宅</x:v>
      </x:c>
      <x:c r="L448" s="48" t="str">
        <x:v>是</x:v>
      </x:c>
      <x:c r="M448" s="48" t="str">
        <x:v>保留</x:v>
      </x:c>
      <x:c r="N448" s="48" t="str">
        <x:v>TCL雅馨居|1室0厅1|30|2700|南</x:v>
      </x:c>
      <x:c r="O448" s="48"/>
      <x:c r="P448" s="48" t="str">
        <x:v>未知（未逐条补齐）</x:v>
      </x:c>
      <x:c r="Q448" s="48" t="str">
        <x:v>https://shenzhen.leyoujia.com/zf/detail/7jTA8zjpzc9D55kcYSrTgw.html</x:v>
      </x:c>
      <x:c r="R448" s="48" t="str">
        <x:v>2026-08-13</x:v>
      </x:c>
    </x:row>
    <x:row r="449">
      <x:c r="A449" s="48" t="str">
        <x:v>雅馨居</x:v>
      </x:c>
      <x:c r="B449" s="48" t="str">
        <x:v>TCL雅馨居</x:v>
      </x:c>
      <x:c r="C449" s="48" t="str">
        <x:v>红岭</x:v>
      </x:c>
      <x:c r="D449" s="56" t="n">
        <x:v>12.8</x:v>
      </x:c>
      <x:c r="E449" s="61" t="n">
        <x:v>2800</x:v>
      </x:c>
      <x:c r="F449" s="61" t="n">
        <x:v>28.37</x:v>
      </x:c>
      <x:c r="G449" s="61" t="n">
        <x:v>98.7</x:v>
      </x:c>
      <x:c r="H449" s="48" t="str">
        <x:v>1室0厅1</x:v>
      </x:c>
      <x:c r="I449" s="48" t="str">
        <x:v>北</x:v>
      </x:c>
      <x:c r="J449" s="48" t="str">
        <x:v>精装</x:v>
      </x:c>
      <x:c r="K449" s="48" t="str">
        <x:v>普通住宅</x:v>
      </x:c>
      <x:c r="L449" s="48" t="str">
        <x:v>是</x:v>
      </x:c>
      <x:c r="M449" s="48" t="str">
        <x:v>保留</x:v>
      </x:c>
      <x:c r="N449" s="48" t="str">
        <x:v>TCL雅馨居|1室0厅1|28|2800|北</x:v>
      </x:c>
      <x:c r="O449" s="48"/>
      <x:c r="P449" s="48" t="str">
        <x:v>未知（未逐条补齐）</x:v>
      </x:c>
      <x:c r="Q449" s="48" t="str">
        <x:v>https://shenzhen.leyoujia.com/zf/detail/UPdGN2uT8KPdruNscBuMzm.html</x:v>
      </x:c>
      <x:c r="R449" s="48" t="str">
        <x:v>2026-08-13</x:v>
      </x:c>
    </x:row>
    <x:row r="450">
      <x:c r="A450" s="48" t="str">
        <x:v>雅馨居</x:v>
      </x:c>
      <x:c r="B450" s="48" t="str">
        <x:v>TCL雅馨居</x:v>
      </x:c>
      <x:c r="C450" s="48" t="str">
        <x:v>红岭</x:v>
      </x:c>
      <x:c r="D450" s="56" t="n">
        <x:v>12.8</x:v>
      </x:c>
      <x:c r="E450" s="61" t="n">
        <x:v>2800</x:v>
      </x:c>
      <x:c r="F450" s="61" t="n">
        <x:v>40</x:v>
      </x:c>
      <x:c r="G450" s="61" t="n">
        <x:v>70</x:v>
      </x:c>
      <x:c r="H450" s="48" t="str">
        <x:v>1室0厅1</x:v>
      </x:c>
      <x:c r="I450" s="48" t="str">
        <x:v>南</x:v>
      </x:c>
      <x:c r="J450" s="48" t="str">
        <x:v>精装</x:v>
      </x:c>
      <x:c r="K450" s="48" t="str">
        <x:v>普通住宅</x:v>
      </x:c>
      <x:c r="L450" s="48" t="str">
        <x:v>是</x:v>
      </x:c>
      <x:c r="M450" s="48" t="str">
        <x:v>保留</x:v>
      </x:c>
      <x:c r="N450" s="48" t="str">
        <x:v>TCL雅馨居|1室0厅1|40|2800|南</x:v>
      </x:c>
      <x:c r="O450" s="48"/>
      <x:c r="P450" s="48" t="str">
        <x:v>未知（未逐条补齐）</x:v>
      </x:c>
      <x:c r="Q450" s="48" t="str">
        <x:v>https://shenzhen.leyoujia.com/zf/detail/E3U29v9wUqNW2RDhMhABSD.html</x:v>
      </x:c>
      <x:c r="R450" s="48" t="str">
        <x:v>2026-08-13</x:v>
      </x:c>
    </x:row>
    <x:row r="451">
      <x:c r="A451" s="48" t="str">
        <x:v>雅馨居</x:v>
      </x:c>
      <x:c r="B451" s="48" t="str">
        <x:v>TCL雅馨居</x:v>
      </x:c>
      <x:c r="C451" s="48" t="str">
        <x:v>红岭</x:v>
      </x:c>
      <x:c r="D451" s="56" t="n">
        <x:v>12.8</x:v>
      </x:c>
      <x:c r="E451" s="61" t="n">
        <x:v>2800</x:v>
      </x:c>
      <x:c r="F451" s="61" t="n">
        <x:v>28.37</x:v>
      </x:c>
      <x:c r="G451" s="61" t="n">
        <x:v>98.7</x:v>
      </x:c>
      <x:c r="H451" s="48" t="str">
        <x:v>1室0厅1</x:v>
      </x:c>
      <x:c r="I451" s="48" t="str">
        <x:v>北</x:v>
      </x:c>
      <x:c r="J451" s="48" t="str">
        <x:v>精装</x:v>
      </x:c>
      <x:c r="K451" s="48" t="str">
        <x:v>普通住宅</x:v>
      </x:c>
      <x:c r="L451" s="48" t="str">
        <x:v>否</x:v>
      </x:c>
      <x:c r="M451" s="48" t="str">
        <x:v>疑似重复挂牌</x:v>
      </x:c>
      <x:c r="N451" s="48" t="str">
        <x:v>TCL雅馨居|1室0厅1|28|2800|北</x:v>
      </x:c>
      <x:c r="O451" s="48"/>
      <x:c r="P451" s="48" t="str">
        <x:v>未知（未逐条补齐）</x:v>
      </x:c>
      <x:c r="Q451" s="48" t="str">
        <x:v>https://shenzhen.leyoujia.com/zf/detail/5ScaKJx5RBgMhwCBsZviYP.html</x:v>
      </x:c>
      <x:c r="R451" s="48" t="str">
        <x:v>2026-08-13</x:v>
      </x:c>
    </x:row>
    <x:row r="452">
      <x:c r="A452" s="48" t="str">
        <x:v>雅馨居</x:v>
      </x:c>
      <x:c r="B452" s="48" t="str">
        <x:v>TCL雅馨居</x:v>
      </x:c>
      <x:c r="C452" s="48" t="str">
        <x:v>红岭</x:v>
      </x:c>
      <x:c r="D452" s="56" t="n">
        <x:v>12.8</x:v>
      </x:c>
      <x:c r="E452" s="61" t="n">
        <x:v>2900</x:v>
      </x:c>
      <x:c r="F452" s="61" t="n">
        <x:v>28.37</x:v>
      </x:c>
      <x:c r="G452" s="61" t="n">
        <x:v>102.2</x:v>
      </x:c>
      <x:c r="H452" s="48" t="str">
        <x:v>1室0厅1</x:v>
      </x:c>
      <x:c r="I452" s="48" t="str">
        <x:v>北</x:v>
      </x:c>
      <x:c r="J452" s="48" t="str">
        <x:v>普装</x:v>
      </x:c>
      <x:c r="K452" s="48" t="str">
        <x:v>普通住宅</x:v>
      </x:c>
      <x:c r="L452" s="48" t="str">
        <x:v>是</x:v>
      </x:c>
      <x:c r="M452" s="48" t="str">
        <x:v>保留</x:v>
      </x:c>
      <x:c r="N452" s="48" t="str">
        <x:v>TCL雅馨居|1室0厅1|28|2900|北</x:v>
      </x:c>
      <x:c r="O452" s="48"/>
      <x:c r="P452" s="48" t="str">
        <x:v>未知（未逐条补齐）</x:v>
      </x:c>
      <x:c r="Q452" s="48" t="str">
        <x:v>https://shenzhen.leyoujia.com/zf/detail/5BcMaexwpw5jQ7tECQFtns.html</x:v>
      </x:c>
      <x:c r="R452" s="48" t="str">
        <x:v>2026-08-13</x:v>
      </x:c>
    </x:row>
    <x:row r="453">
      <x:c r="A453" s="48" t="str">
        <x:v>雅馨居</x:v>
      </x:c>
      <x:c r="B453" s="48" t="str">
        <x:v>TCL雅馨居</x:v>
      </x:c>
      <x:c r="C453" s="48" t="str">
        <x:v>红岭</x:v>
      </x:c>
      <x:c r="D453" s="56" t="n">
        <x:v>12.8</x:v>
      </x:c>
      <x:c r="E453" s="61" t="n">
        <x:v>3000</x:v>
      </x:c>
      <x:c r="F453" s="61" t="n">
        <x:v>40</x:v>
      </x:c>
      <x:c r="G453" s="61" t="n">
        <x:v>75</x:v>
      </x:c>
      <x:c r="H453" s="48" t="str">
        <x:v>1室0厅1</x:v>
      </x:c>
      <x:c r="I453" s="48" t="str">
        <x:v>南</x:v>
      </x:c>
      <x:c r="J453" s="48" t="str">
        <x:v>精装</x:v>
      </x:c>
      <x:c r="K453" s="48" t="str">
        <x:v>普通住宅</x:v>
      </x:c>
      <x:c r="L453" s="48" t="str">
        <x:v>是</x:v>
      </x:c>
      <x:c r="M453" s="48" t="str">
        <x:v>保留</x:v>
      </x:c>
      <x:c r="N453" s="48" t="str">
        <x:v>TCL雅馨居|1室0厅1|40|3000|南</x:v>
      </x:c>
      <x:c r="O453" s="48"/>
      <x:c r="P453" s="48" t="str">
        <x:v>未知（未逐条补齐）</x:v>
      </x:c>
      <x:c r="Q453" s="48" t="str">
        <x:v>https://shenzhen.leyoujia.com/zf/detail/XHYW5NFtJT3rmriQqHfujV.html</x:v>
      </x:c>
      <x:c r="R453" s="48" t="str">
        <x:v>2026-08-13</x:v>
      </x:c>
    </x:row>
    <x:row r="454">
      <x:c r="A454" s="48" t="str">
        <x:v>雅馨居</x:v>
      </x:c>
      <x:c r="B454" s="48" t="str">
        <x:v>TCL雅馨居</x:v>
      </x:c>
      <x:c r="C454" s="48" t="str">
        <x:v>红岭</x:v>
      </x:c>
      <x:c r="D454" s="56" t="n">
        <x:v>12.8</x:v>
      </x:c>
      <x:c r="E454" s="61" t="n">
        <x:v>3200</x:v>
      </x:c>
      <x:c r="F454" s="61" t="n">
        <x:v>28.37</x:v>
      </x:c>
      <x:c r="G454" s="61" t="n">
        <x:v>112.8</x:v>
      </x:c>
      <x:c r="H454" s="48" t="str">
        <x:v>1室0厅1</x:v>
      </x:c>
      <x:c r="I454" s="48" t="str">
        <x:v>南</x:v>
      </x:c>
      <x:c r="J454" s="48" t="str">
        <x:v>普装</x:v>
      </x:c>
      <x:c r="K454" s="48" t="str">
        <x:v>普通住宅</x:v>
      </x:c>
      <x:c r="L454" s="48" t="str">
        <x:v>是</x:v>
      </x:c>
      <x:c r="M454" s="48" t="str">
        <x:v>保留</x:v>
      </x:c>
      <x:c r="N454" s="48" t="str">
        <x:v>TCL雅馨居|1室0厅1|28|3200|南</x:v>
      </x:c>
      <x:c r="O454" s="48"/>
      <x:c r="P454" s="48" t="str">
        <x:v>未知（未逐条补齐）</x:v>
      </x:c>
      <x:c r="Q454" s="48" t="str">
        <x:v>https://shenzhen.leyoujia.com/zf/detail/NDoBeZvzMpgsWdsJCJPNs6.html</x:v>
      </x:c>
      <x:c r="R454" s="48" t="str">
        <x:v>2026-08-13</x:v>
      </x:c>
    </x:row>
    <x:row r="455">
      <x:c r="A455" s="48" t="str">
        <x:v>雅馨居</x:v>
      </x:c>
      <x:c r="B455" s="48" t="str">
        <x:v>TCL雅馨居</x:v>
      </x:c>
      <x:c r="C455" s="48" t="str">
        <x:v>红岭</x:v>
      </x:c>
      <x:c r="D455" s="56" t="n">
        <x:v>12.8</x:v>
      </x:c>
      <x:c r="E455" s="61" t="n">
        <x:v>3200</x:v>
      </x:c>
      <x:c r="F455" s="61" t="n">
        <x:v>28.37</x:v>
      </x:c>
      <x:c r="G455" s="61" t="n">
        <x:v>112.8</x:v>
      </x:c>
      <x:c r="H455" s="48" t="str">
        <x:v>1室0厅1</x:v>
      </x:c>
      <x:c r="I455" s="48" t="str">
        <x:v>北</x:v>
      </x:c>
      <x:c r="J455" s="48" t="str">
        <x:v>普装</x:v>
      </x:c>
      <x:c r="K455" s="48" t="str">
        <x:v>普通住宅</x:v>
      </x:c>
      <x:c r="L455" s="48" t="str">
        <x:v>是</x:v>
      </x:c>
      <x:c r="M455" s="48" t="str">
        <x:v>保留</x:v>
      </x:c>
      <x:c r="N455" s="48" t="str">
        <x:v>TCL雅馨居|1室0厅1|28|3200|北</x:v>
      </x:c>
      <x:c r="O455" s="48"/>
      <x:c r="P455" s="48" t="str">
        <x:v>未知（未逐条补齐）</x:v>
      </x:c>
      <x:c r="Q455" s="48" t="str">
        <x:v>https://shenzhen.leyoujia.com/zf/detail/XzPMcirvtiMB9jnTrQN2H2.html</x:v>
      </x:c>
      <x:c r="R455" s="48" t="str">
        <x:v>2026-08-13</x:v>
      </x:c>
    </x:row>
    <x:row r="456">
      <x:c r="A456" s="48" t="str">
        <x:v>雅馨居</x:v>
      </x:c>
      <x:c r="B456" s="48" t="str">
        <x:v>TCL雅馨居</x:v>
      </x:c>
      <x:c r="C456" s="48" t="str">
        <x:v>红岭</x:v>
      </x:c>
      <x:c r="D456" s="56" t="n">
        <x:v>12.8</x:v>
      </x:c>
      <x:c r="E456" s="61" t="n">
        <x:v>3200</x:v>
      </x:c>
      <x:c r="F456" s="61" t="n">
        <x:v>28.37</x:v>
      </x:c>
      <x:c r="G456" s="61" t="n">
        <x:v>112.8</x:v>
      </x:c>
      <x:c r="H456" s="48" t="str">
        <x:v>1室0厅1</x:v>
      </x:c>
      <x:c r="I456" s="48" t="str">
        <x:v>北</x:v>
      </x:c>
      <x:c r="J456" s="48" t="str">
        <x:v>普装</x:v>
      </x:c>
      <x:c r="K456" s="48" t="str">
        <x:v>普通住宅</x:v>
      </x:c>
      <x:c r="L456" s="48" t="str">
        <x:v>否</x:v>
      </x:c>
      <x:c r="M456" s="48" t="str">
        <x:v>疑似重复挂牌</x:v>
      </x:c>
      <x:c r="N456" s="48" t="str">
        <x:v>TCL雅馨居|1室0厅1|28|3200|北</x:v>
      </x:c>
      <x:c r="O456" s="48"/>
      <x:c r="P456" s="48" t="str">
        <x:v>未知（未逐条补齐）</x:v>
      </x:c>
      <x:c r="Q456" s="48" t="str">
        <x:v>https://shenzhen.leyoujia.com/zf/detail/NGnCtcBC56HUyMHbGQS8KC.html</x:v>
      </x:c>
      <x:c r="R456" s="48" t="str">
        <x:v>2026-08-13</x:v>
      </x:c>
    </x:row>
    <x:row r="457">
      <x:c r="A457" s="48" t="str">
        <x:v>雅馨居</x:v>
      </x:c>
      <x:c r="B457" s="48" t="str">
        <x:v>TCL雅馨居</x:v>
      </x:c>
      <x:c r="C457" s="48" t="str">
        <x:v>红岭</x:v>
      </x:c>
      <x:c r="D457" s="56" t="n">
        <x:v>12.8</x:v>
      </x:c>
      <x:c r="E457" s="61" t="n">
        <x:v>3200</x:v>
      </x:c>
      <x:c r="F457" s="61" t="n">
        <x:v>40</x:v>
      </x:c>
      <x:c r="G457" s="61" t="n">
        <x:v>80</x:v>
      </x:c>
      <x:c r="H457" s="48" t="str">
        <x:v>1室0厅1</x:v>
      </x:c>
      <x:c r="I457" s="48" t="str">
        <x:v>南</x:v>
      </x:c>
      <x:c r="J457" s="48" t="str">
        <x:v>精装</x:v>
      </x:c>
      <x:c r="K457" s="48" t="str">
        <x:v>普通住宅</x:v>
      </x:c>
      <x:c r="L457" s="48" t="str">
        <x:v>是</x:v>
      </x:c>
      <x:c r="M457" s="48" t="str">
        <x:v>保留</x:v>
      </x:c>
      <x:c r="N457" s="48" t="str">
        <x:v>TCL雅馨居|1室0厅1|40|3200|南</x:v>
      </x:c>
      <x:c r="O457" s="48"/>
      <x:c r="P457" s="48" t="str">
        <x:v>未知（未逐条补齐）</x:v>
      </x:c>
      <x:c r="Q457" s="48" t="str">
        <x:v>https://shenzhen.leyoujia.com/zf/detail/NYMa5bjnXtnyPfXfgtdFR1.html</x:v>
      </x:c>
      <x:c r="R457" s="48" t="str">
        <x:v>2026-08-13</x:v>
      </x:c>
    </x:row>
    <x:row r="458">
      <x:c r="A458" s="48" t="str">
        <x:v>雅馨居</x:v>
      </x:c>
      <x:c r="B458" s="48" t="str">
        <x:v>TCL雅馨居</x:v>
      </x:c>
      <x:c r="C458" s="48" t="str">
        <x:v>红岭</x:v>
      </x:c>
      <x:c r="D458" s="56" t="n">
        <x:v>12.8</x:v>
      </x:c>
      <x:c r="E458" s="61" t="n">
        <x:v>3200</x:v>
      </x:c>
      <x:c r="F458" s="61" t="n">
        <x:v>40</x:v>
      </x:c>
      <x:c r="G458" s="61" t="n">
        <x:v>80</x:v>
      </x:c>
      <x:c r="H458" s="48" t="str">
        <x:v>1室0厅1</x:v>
      </x:c>
      <x:c r="I458" s="48" t="str">
        <x:v>南</x:v>
      </x:c>
      <x:c r="J458" s="48" t="str">
        <x:v>精装</x:v>
      </x:c>
      <x:c r="K458" s="48" t="str">
        <x:v>普通住宅</x:v>
      </x:c>
      <x:c r="L458" s="48" t="str">
        <x:v>否</x:v>
      </x:c>
      <x:c r="M458" s="48" t="str">
        <x:v>疑似重复挂牌</x:v>
      </x:c>
      <x:c r="N458" s="48" t="str">
        <x:v>TCL雅馨居|1室0厅1|40|3200|南</x:v>
      </x:c>
      <x:c r="O458" s="48"/>
      <x:c r="P458" s="48" t="str">
        <x:v>未知（未逐条补齐）</x:v>
      </x:c>
      <x:c r="Q458" s="48" t="str">
        <x:v>https://shenzhen.leyoujia.com/zf/detail/7rd229qbitGCFiNrfpPXSC.html</x:v>
      </x:c>
      <x:c r="R458" s="48" t="str">
        <x:v>2026-08-13</x:v>
      </x:c>
    </x:row>
    <x:row r="459">
      <x:c r="A459" s="48" t="str">
        <x:v>雅馨居</x:v>
      </x:c>
      <x:c r="B459" s="48" t="str">
        <x:v>TCL雅馨居</x:v>
      </x:c>
      <x:c r="C459" s="48" t="str">
        <x:v>红岭</x:v>
      </x:c>
      <x:c r="D459" s="56" t="n">
        <x:v>12.8</x:v>
      </x:c>
      <x:c r="E459" s="61" t="n">
        <x:v>3400</x:v>
      </x:c>
      <x:c r="F459" s="61" t="n">
        <x:v>32</x:v>
      </x:c>
      <x:c r="G459" s="61" t="n">
        <x:v>106.3</x:v>
      </x:c>
      <x:c r="H459" s="48" t="str">
        <x:v>1室1厅1</x:v>
      </x:c>
      <x:c r="I459" s="48" t="str">
        <x:v>东南</x:v>
      </x:c>
      <x:c r="J459" s="48" t="str">
        <x:v>精装</x:v>
      </x:c>
      <x:c r="K459" s="48" t="str">
        <x:v>普通住宅</x:v>
      </x:c>
      <x:c r="L459" s="48" t="str">
        <x:v>是</x:v>
      </x:c>
      <x:c r="M459" s="48" t="str">
        <x:v>保留</x:v>
      </x:c>
      <x:c r="N459" s="48" t="str">
        <x:v>TCL雅馨居|1室1厅1|32|3400|东南</x:v>
      </x:c>
      <x:c r="O459" s="48"/>
      <x:c r="P459" s="48" t="str">
        <x:v>未知（未逐条补齐）</x:v>
      </x:c>
      <x:c r="Q459" s="48" t="str">
        <x:v>https://shenzhen.leyoujia.com/zf/detail/L4honbF1AcTHNbby1nFzUz.html</x:v>
      </x:c>
      <x:c r="R459" s="48" t="str">
        <x:v>2026-08-13</x:v>
      </x:c>
    </x:row>
    <x:row r="460">
      <x:c r="A460" s="48" t="str">
        <x:v>雅馨居</x:v>
      </x:c>
      <x:c r="B460" s="48" t="str">
        <x:v>TCL雅馨居</x:v>
      </x:c>
      <x:c r="C460" s="48" t="str">
        <x:v>红岭</x:v>
      </x:c>
      <x:c r="D460" s="56" t="n">
        <x:v>12.8</x:v>
      </x:c>
      <x:c r="E460" s="61" t="n">
        <x:v>3700</x:v>
      </x:c>
      <x:c r="F460" s="61" t="n">
        <x:v>35</x:v>
      </x:c>
      <x:c r="G460" s="61" t="n">
        <x:v>105.7</x:v>
      </x:c>
      <x:c r="H460" s="48" t="str">
        <x:v>1室1厅1</x:v>
      </x:c>
      <x:c r="I460" s="48" t="str">
        <x:v>西南</x:v>
      </x:c>
      <x:c r="J460" s="48" t="str">
        <x:v>精装</x:v>
      </x:c>
      <x:c r="K460" s="48" t="str">
        <x:v>普通住宅</x:v>
      </x:c>
      <x:c r="L460" s="48" t="str">
        <x:v>是</x:v>
      </x:c>
      <x:c r="M460" s="48" t="str">
        <x:v>保留</x:v>
      </x:c>
      <x:c r="N460" s="48" t="str">
        <x:v>TCL雅馨居|1室1厅1|35|3700|西南</x:v>
      </x:c>
      <x:c r="O460" s="48"/>
      <x:c r="P460" s="48" t="str">
        <x:v>未知（未逐条补齐）</x:v>
      </x:c>
      <x:c r="Q460" s="48" t="str">
        <x:v>https://shenzhen.leyoujia.com/zf/detail/Ar3ExCKspr2Mgvp4EDwqqJ.html</x:v>
      </x:c>
      <x:c r="R460" s="48" t="str">
        <x:v>2026-08-13</x:v>
      </x:c>
    </x:row>
    <x:row r="461">
      <x:c r="A461" s="48" t="str">
        <x:v>雅馨居</x:v>
      </x:c>
      <x:c r="B461" s="48" t="str">
        <x:v>TCL雅馨居</x:v>
      </x:c>
      <x:c r="C461" s="48" t="str">
        <x:v>红岭</x:v>
      </x:c>
      <x:c r="D461" s="56" t="n">
        <x:v>12.8</x:v>
      </x:c>
      <x:c r="E461" s="61" t="n">
        <x:v>4200</x:v>
      </x:c>
      <x:c r="F461" s="61" t="n">
        <x:v>50</x:v>
      </x:c>
      <x:c r="G461" s="61" t="n">
        <x:v>84</x:v>
      </x:c>
      <x:c r="H461" s="48" t="str">
        <x:v>1室1厅1</x:v>
      </x:c>
      <x:c r="I461" s="48" t="str">
        <x:v>南</x:v>
      </x:c>
      <x:c r="J461" s="48" t="str">
        <x:v>精装</x:v>
      </x:c>
      <x:c r="K461" s="48" t="str">
        <x:v>普通住宅</x:v>
      </x:c>
      <x:c r="L461" s="48" t="str">
        <x:v>是</x:v>
      </x:c>
      <x:c r="M461" s="48" t="str">
        <x:v>保留</x:v>
      </x:c>
      <x:c r="N461" s="48" t="str">
        <x:v>TCL雅馨居|1室1厅1|50|4200|南</x:v>
      </x:c>
      <x:c r="O461" s="48"/>
      <x:c r="P461" s="48" t="str">
        <x:v>未知（未逐条补齐）</x:v>
      </x:c>
      <x:c r="Q461" s="48" t="str">
        <x:v>https://shenzhen.leyoujia.com/zf/detail/2v3BE32CYkbTkJJ1ni3KKu.html</x:v>
      </x:c>
      <x:c r="R461" s="48" t="str">
        <x:v>2026-08-13</x:v>
      </x:c>
    </x:row>
    <x:row r="462">
      <x:c r="A462" s="48" t="str">
        <x:v>雅馨居</x:v>
      </x:c>
      <x:c r="B462" s="48" t="str">
        <x:v>TCL雅馨居</x:v>
      </x:c>
      <x:c r="C462" s="48" t="str">
        <x:v>红岭</x:v>
      </x:c>
      <x:c r="D462" s="56" t="n">
        <x:v>12.8</x:v>
      </x:c>
      <x:c r="E462" s="61" t="n">
        <x:v>4300</x:v>
      </x:c>
      <x:c r="F462" s="61" t="n">
        <x:v>50</x:v>
      </x:c>
      <x:c r="G462" s="61" t="n">
        <x:v>86</x:v>
      </x:c>
      <x:c r="H462" s="48" t="str">
        <x:v>1室1厅1</x:v>
      </x:c>
      <x:c r="I462" s="48" t="str">
        <x:v>南</x:v>
      </x:c>
      <x:c r="J462" s="48" t="str">
        <x:v>精装</x:v>
      </x:c>
      <x:c r="K462" s="48" t="str">
        <x:v>普通住宅</x:v>
      </x:c>
      <x:c r="L462" s="48" t="str">
        <x:v>是</x:v>
      </x:c>
      <x:c r="M462" s="48" t="str">
        <x:v>保留</x:v>
      </x:c>
      <x:c r="N462" s="48" t="str">
        <x:v>TCL雅馨居|1室1厅1|50|4300|南</x:v>
      </x:c>
      <x:c r="O462" s="48"/>
      <x:c r="P462" s="48" t="str">
        <x:v>未知（未逐条补齐）</x:v>
      </x:c>
      <x:c r="Q462" s="48" t="str">
        <x:v>https://shenzhen.leyoujia.com/zf/detail/R76RQkieCnFSAHsFwCcqMa.html</x:v>
      </x:c>
      <x:c r="R462" s="48" t="str">
        <x:v>2026-08-13</x:v>
      </x:c>
    </x:row>
    <x:row r="463">
      <x:c r="A463" s="48" t="str">
        <x:v>雅馨居</x:v>
      </x:c>
      <x:c r="B463" s="48" t="str">
        <x:v>TCL雅馨居</x:v>
      </x:c>
      <x:c r="C463" s="48" t="str">
        <x:v>红岭</x:v>
      </x:c>
      <x:c r="D463" s="56" t="n">
        <x:v>12.8</x:v>
      </x:c>
      <x:c r="E463" s="61" t="n">
        <x:v>4300</x:v>
      </x:c>
      <x:c r="F463" s="61" t="n">
        <x:v>50</x:v>
      </x:c>
      <x:c r="G463" s="61" t="n">
        <x:v>86</x:v>
      </x:c>
      <x:c r="H463" s="48" t="str">
        <x:v>1室1厅1</x:v>
      </x:c>
      <x:c r="I463" s="48" t="str">
        <x:v>南</x:v>
      </x:c>
      <x:c r="J463" s="48" t="str">
        <x:v>精装</x:v>
      </x:c>
      <x:c r="K463" s="48" t="str">
        <x:v>普通住宅</x:v>
      </x:c>
      <x:c r="L463" s="48" t="str">
        <x:v>否</x:v>
      </x:c>
      <x:c r="M463" s="48" t="str">
        <x:v>疑似重复挂牌</x:v>
      </x:c>
      <x:c r="N463" s="48" t="str">
        <x:v>TCL雅馨居|1室1厅1|50|4300|南</x:v>
      </x:c>
      <x:c r="O463" s="48"/>
      <x:c r="P463" s="48" t="str">
        <x:v>未知（未逐条补齐）</x:v>
      </x:c>
      <x:c r="Q463" s="48" t="str">
        <x:v>https://shenzhen.leyoujia.com/zf/detail/KXXZGBsMMBXUtPL9zVkXaX.html</x:v>
      </x:c>
      <x:c r="R463" s="48" t="str">
        <x:v>2026-08-13</x:v>
      </x:c>
    </x:row>
    <x:row r="464">
      <x:c r="A464" s="48" t="str">
        <x:v>雅馨居</x:v>
      </x:c>
      <x:c r="B464" s="48" t="str">
        <x:v>TCL雅馨居</x:v>
      </x:c>
      <x:c r="C464" s="48" t="str">
        <x:v>红岭</x:v>
      </x:c>
      <x:c r="D464" s="56" t="n">
        <x:v>12.8</x:v>
      </x:c>
      <x:c r="E464" s="61" t="n">
        <x:v>4300</x:v>
      </x:c>
      <x:c r="F464" s="61" t="n">
        <x:v>50</x:v>
      </x:c>
      <x:c r="G464" s="61" t="n">
        <x:v>86</x:v>
      </x:c>
      <x:c r="H464" s="48" t="str">
        <x:v>1室1厅1</x:v>
      </x:c>
      <x:c r="I464" s="48" t="str">
        <x:v>南</x:v>
      </x:c>
      <x:c r="J464" s="48" t="str">
        <x:v>精装</x:v>
      </x:c>
      <x:c r="K464" s="48" t="str">
        <x:v>普通住宅</x:v>
      </x:c>
      <x:c r="L464" s="48" t="str">
        <x:v>否</x:v>
      </x:c>
      <x:c r="M464" s="48" t="str">
        <x:v>疑似重复挂牌</x:v>
      </x:c>
      <x:c r="N464" s="48" t="str">
        <x:v>TCL雅馨居|1室1厅1|50|4300|南</x:v>
      </x:c>
      <x:c r="O464" s="48"/>
      <x:c r="P464" s="48" t="str">
        <x:v>未知（未逐条补齐）</x:v>
      </x:c>
      <x:c r="Q464" s="48" t="str">
        <x:v>https://shenzhen.leyoujia.com/zf/detail/z2Kr62Wut1fbBr24ycHea.html</x:v>
      </x:c>
      <x:c r="R464" s="48" t="str">
        <x:v>2026-08-13</x:v>
      </x:c>
    </x:row>
    <x:row r="465">
      <x:c r="A465" s="48" t="str">
        <x:v>雅馨居</x:v>
      </x:c>
      <x:c r="B465" s="48" t="str">
        <x:v>TCL雅馨居</x:v>
      </x:c>
      <x:c r="C465" s="48" t="str">
        <x:v>红岭</x:v>
      </x:c>
      <x:c r="D465" s="56" t="n">
        <x:v>12.8</x:v>
      </x:c>
      <x:c r="E465" s="61" t="n">
        <x:v>4300</x:v>
      </x:c>
      <x:c r="F465" s="61" t="n">
        <x:v>50</x:v>
      </x:c>
      <x:c r="G465" s="61" t="n">
        <x:v>86</x:v>
      </x:c>
      <x:c r="H465" s="48" t="str">
        <x:v>1室1厅1</x:v>
      </x:c>
      <x:c r="I465" s="48" t="str">
        <x:v>南</x:v>
      </x:c>
      <x:c r="J465" s="48" t="str">
        <x:v>精装</x:v>
      </x:c>
      <x:c r="K465" s="48" t="str">
        <x:v>普通住宅</x:v>
      </x:c>
      <x:c r="L465" s="48" t="str">
        <x:v>否</x:v>
      </x:c>
      <x:c r="M465" s="48" t="str">
        <x:v>疑似重复挂牌</x:v>
      </x:c>
      <x:c r="N465" s="48" t="str">
        <x:v>TCL雅馨居|1室1厅1|50|4300|南</x:v>
      </x:c>
      <x:c r="O465" s="48"/>
      <x:c r="P465" s="48" t="str">
        <x:v>未知（未逐条补齐）</x:v>
      </x:c>
      <x:c r="Q465" s="48" t="str">
        <x:v>https://shenzhen.leyoujia.com/zf/detail/5LDGhombtXrJabweWCZt4G.html</x:v>
      </x:c>
      <x:c r="R465" s="48" t="str">
        <x:v>2026-08-13</x:v>
      </x:c>
    </x:row>
    <x:row r="466">
      <x:c r="A466" s="48" t="str">
        <x:v>雅馨居</x:v>
      </x:c>
      <x:c r="B466" s="48" t="str">
        <x:v>TCL雅馨居</x:v>
      </x:c>
      <x:c r="C466" s="48" t="str">
        <x:v>红岭</x:v>
      </x:c>
      <x:c r="D466" s="56" t="n">
        <x:v>12.8</x:v>
      </x:c>
      <x:c r="E466" s="61" t="n">
        <x:v>4300</x:v>
      </x:c>
      <x:c r="F466" s="61" t="n">
        <x:v>50</x:v>
      </x:c>
      <x:c r="G466" s="61" t="n">
        <x:v>86</x:v>
      </x:c>
      <x:c r="H466" s="48" t="str">
        <x:v>1室1厅1</x:v>
      </x:c>
      <x:c r="I466" s="48" t="str">
        <x:v>南</x:v>
      </x:c>
      <x:c r="J466" s="48" t="str">
        <x:v>精装</x:v>
      </x:c>
      <x:c r="K466" s="48" t="str">
        <x:v>普通住宅</x:v>
      </x:c>
      <x:c r="L466" s="48" t="str">
        <x:v>否</x:v>
      </x:c>
      <x:c r="M466" s="48" t="str">
        <x:v>疑似重复挂牌</x:v>
      </x:c>
      <x:c r="N466" s="48" t="str">
        <x:v>TCL雅馨居|1室1厅1|50|4300|南</x:v>
      </x:c>
      <x:c r="O466" s="48"/>
      <x:c r="P466" s="48" t="str">
        <x:v>未知（未逐条补齐）</x:v>
      </x:c>
      <x:c r="Q466" s="48" t="str">
        <x:v>https://shenzhen.leyoujia.com/zf/detail/6Xt29baXuC7iDbGtT2ygr6.html</x:v>
      </x:c>
      <x:c r="R466" s="48" t="str">
        <x:v>2026-08-13</x:v>
      </x:c>
    </x:row>
    <x:row r="467">
      <x:c r="A467" s="48" t="str">
        <x:v>雅馨居</x:v>
      </x:c>
      <x:c r="B467" s="48" t="str">
        <x:v>TCL雅馨居</x:v>
      </x:c>
      <x:c r="C467" s="48" t="str">
        <x:v>红岭</x:v>
      </x:c>
      <x:c r="D467" s="56" t="n">
        <x:v>12.8</x:v>
      </x:c>
      <x:c r="E467" s="61" t="n">
        <x:v>4500</x:v>
      </x:c>
      <x:c r="F467" s="61" t="n">
        <x:v>50</x:v>
      </x:c>
      <x:c r="G467" s="61" t="n">
        <x:v>90</x:v>
      </x:c>
      <x:c r="H467" s="48" t="str">
        <x:v>1室1厅1</x:v>
      </x:c>
      <x:c r="I467" s="48" t="str">
        <x:v>南</x:v>
      </x:c>
      <x:c r="J467" s="48" t="str">
        <x:v>精装</x:v>
      </x:c>
      <x:c r="K467" s="48" t="str">
        <x:v>普通住宅</x:v>
      </x:c>
      <x:c r="L467" s="48" t="str">
        <x:v>是</x:v>
      </x:c>
      <x:c r="M467" s="48" t="str">
        <x:v>保留</x:v>
      </x:c>
      <x:c r="N467" s="48" t="str">
        <x:v>TCL雅馨居|1室1厅1|50|4500|南</x:v>
      </x:c>
      <x:c r="O467" s="48"/>
      <x:c r="P467" s="48" t="str">
        <x:v>未知（未逐条补齐）</x:v>
      </x:c>
      <x:c r="Q467" s="48" t="str">
        <x:v>https://shenzhen.leyoujia.com/zf/detail/9PwAYpYp3Qq1wUkN1Vwqkr.html</x:v>
      </x:c>
      <x:c r="R467" s="48" t="str">
        <x:v>2026-08-13</x:v>
      </x:c>
    </x:row>
    <x:row r="468">
      <x:c r="A468" s="48" t="str">
        <x:v>雅馨居</x:v>
      </x:c>
      <x:c r="B468" s="48" t="str">
        <x:v>TCL雅馨居</x:v>
      </x:c>
      <x:c r="C468" s="48" t="str">
        <x:v>红岭</x:v>
      </x:c>
      <x:c r="D468" s="56" t="n">
        <x:v>12.8</x:v>
      </x:c>
      <x:c r="E468" s="61" t="n">
        <x:v>4500</x:v>
      </x:c>
      <x:c r="F468" s="61" t="n">
        <x:v>30</x:v>
      </x:c>
      <x:c r="G468" s="61" t="n">
        <x:v>150</x:v>
      </x:c>
      <x:c r="H468" s="48" t="str">
        <x:v>1室0厅1</x:v>
      </x:c>
      <x:c r="I468" s="48" t="str">
        <x:v>南</x:v>
      </x:c>
      <x:c r="J468" s="48" t="str">
        <x:v>精装</x:v>
      </x:c>
      <x:c r="K468" s="48" t="str">
        <x:v>住宅</x:v>
      </x:c>
      <x:c r="L468" s="48" t="str">
        <x:v>是</x:v>
      </x:c>
      <x:c r="M468" s="48" t="str">
        <x:v>保留</x:v>
      </x:c>
      <x:c r="N468" s="48" t="str">
        <x:v>TCL雅馨居|1室0厅1|30|4500|南</x:v>
      </x:c>
      <x:c r="O468" s="48"/>
      <x:c r="P468" s="48" t="str">
        <x:v>未知（未逐条补齐）</x:v>
      </x:c>
      <x:c r="Q468" s="48" t="str">
        <x:v>https://shenzhen.leyoujia.com/zf/detail/2vcYxAT9GAmcrcECcadaU3.html</x:v>
      </x:c>
      <x:c r="R468" s="48" t="str">
        <x:v>2026-08-13</x:v>
      </x:c>
    </x:row>
    <x:row r="469">
      <x:c r="A469" s="48" t="str">
        <x:v>雅馨居</x:v>
      </x:c>
      <x:c r="B469" s="48" t="str">
        <x:v>TCL雅馨居</x:v>
      </x:c>
      <x:c r="C469" s="48" t="str">
        <x:v>红岭</x:v>
      </x:c>
      <x:c r="D469" s="56" t="n">
        <x:v>12.8</x:v>
      </x:c>
      <x:c r="E469" s="61" t="n">
        <x:v>5000</x:v>
      </x:c>
      <x:c r="F469" s="61" t="n">
        <x:v>60</x:v>
      </x:c>
      <x:c r="G469" s="61" t="n">
        <x:v>83.3</x:v>
      </x:c>
      <x:c r="H469" s="48" t="str">
        <x:v>1室1厅1</x:v>
      </x:c>
      <x:c r="I469" s="48" t="str">
        <x:v>南</x:v>
      </x:c>
      <x:c r="J469" s="48" t="str">
        <x:v>普装</x:v>
      </x:c>
      <x:c r="K469" s="48" t="str">
        <x:v>普通住宅</x:v>
      </x:c>
      <x:c r="L469" s="48" t="str">
        <x:v>是</x:v>
      </x:c>
      <x:c r="M469" s="48" t="str">
        <x:v>保留</x:v>
      </x:c>
      <x:c r="N469" s="48" t="str">
        <x:v>TCL雅馨居|1室1厅1|60|5000|南</x:v>
      </x:c>
      <x:c r="O469" s="48"/>
      <x:c r="P469" s="48" t="str">
        <x:v>未知（未逐条补齐）</x:v>
      </x:c>
      <x:c r="Q469" s="48" t="str">
        <x:v>https://shenzhen.leyoujia.com/zf/detail/UTjSKt1Gjb7gYb2HxqZnMQ.html</x:v>
      </x:c>
      <x:c r="R469" s="48" t="str">
        <x:v>2026-08-13</x:v>
      </x:c>
    </x:row>
    <x:row r="470">
      <x:c r="A470" s="48" t="str">
        <x:v>建设集团大院</x:v>
      </x:c>
      <x:c r="B470" s="48" t="str">
        <x:v>建设集团大院</x:v>
      </x:c>
      <x:c r="C470" s="48" t="str">
        <x:v>红岭</x:v>
      </x:c>
      <x:c r="D470" s="56" t="n">
        <x:v>10.2</x:v>
      </x:c>
      <x:c r="E470" s="61" t="n">
        <x:v>2480</x:v>
      </x:c>
      <x:c r="F470" s="61" t="n">
        <x:v>25</x:v>
      </x:c>
      <x:c r="G470" s="61" t="n">
        <x:v>99.2</x:v>
      </x:c>
      <x:c r="H470" s="48" t="str">
        <x:v>1室0厅1</x:v>
      </x:c>
      <x:c r="I470" s="48" t="str">
        <x:v>东</x:v>
      </x:c>
      <x:c r="J470" s="48" t="str">
        <x:v>精装</x:v>
      </x:c>
      <x:c r="K470" s="48" t="str">
        <x:v>普通住宅</x:v>
      </x:c>
      <x:c r="L470" s="48" t="str">
        <x:v>是</x:v>
      </x:c>
      <x:c r="M470" s="48" t="str">
        <x:v>保留</x:v>
      </x:c>
      <x:c r="N470" s="48" t="str">
        <x:v>建设集团大院|1室0厅1|25|2480|东</x:v>
      </x:c>
      <x:c r="O470" s="48"/>
      <x:c r="P470" s="48" t="str">
        <x:v>未知（未逐条补齐）</x:v>
      </x:c>
      <x:c r="Q470" s="48" t="str">
        <x:v>https://shenzhen.leyoujia.com/zf/detail/4HtUmQduGFcyJBzznYR5BW.html</x:v>
      </x:c>
      <x:c r="R470" s="48" t="str">
        <x:v>2026-08-13</x:v>
      </x:c>
    </x:row>
    <x:row r="471">
      <x:c r="A471" s="48" t="str">
        <x:v>建设集团大院</x:v>
      </x:c>
      <x:c r="B471" s="48" t="str">
        <x:v>建设集团大院</x:v>
      </x:c>
      <x:c r="C471" s="48" t="str">
        <x:v>红岭</x:v>
      </x:c>
      <x:c r="D471" s="56" t="n">
        <x:v>10.2</x:v>
      </x:c>
      <x:c r="E471" s="61" t="n">
        <x:v>2680</x:v>
      </x:c>
      <x:c r="F471" s="61" t="n">
        <x:v>20</x:v>
      </x:c>
      <x:c r="G471" s="61" t="n">
        <x:v>134</x:v>
      </x:c>
      <x:c r="H471" s="48" t="str">
        <x:v>1室0厅1</x:v>
      </x:c>
      <x:c r="I471" s="48" t="str">
        <x:v>南</x:v>
      </x:c>
      <x:c r="J471" s="48" t="str">
        <x:v>普装</x:v>
      </x:c>
      <x:c r="K471" s="48" t="str">
        <x:v>公寓</x:v>
      </x:c>
      <x:c r="L471" s="48" t="str">
        <x:v>是</x:v>
      </x:c>
      <x:c r="M471" s="48" t="str">
        <x:v>保留</x:v>
      </x:c>
      <x:c r="N471" s="48" t="str">
        <x:v>建设集团大院|1室0厅1|20|2680|南</x:v>
      </x:c>
      <x:c r="O471" s="48"/>
      <x:c r="P471" s="48" t="str">
        <x:v>未知（未逐条补齐）</x:v>
      </x:c>
      <x:c r="Q471" s="48" t="str">
        <x:v>https://shenzhen.leyoujia.com/zf/detail/SpWh5MeauLC57unfMQqZaZ.html</x:v>
      </x:c>
      <x:c r="R471" s="48" t="str">
        <x:v>2026-08-13</x:v>
      </x:c>
    </x:row>
    <x:row r="472">
      <x:c r="A472" s="48" t="str">
        <x:v>长虹大厦</x:v>
      </x:c>
      <x:c r="B472" s="48" t="str">
        <x:v>长虹大厦</x:v>
      </x:c>
      <x:c r="C472" s="48" t="str">
        <x:v>红岭</x:v>
      </x:c>
      <x:c r="D472" s="56" t="n">
        <x:v>16.4</x:v>
      </x:c>
      <x:c r="E472" s="61" t="n">
        <x:v>3880</x:v>
      </x:c>
      <x:c r="F472" s="61" t="n">
        <x:v>40</x:v>
      </x:c>
      <x:c r="G472" s="61" t="n">
        <x:v>97</x:v>
      </x:c>
      <x:c r="H472" s="48" t="str">
        <x:v>1室1厅1</x:v>
      </x:c>
      <x:c r="I472" s="48" t="str">
        <x:v>东</x:v>
      </x:c>
      <x:c r="J472" s="48" t="str">
        <x:v>精装</x:v>
      </x:c>
      <x:c r="K472" s="48" t="str">
        <x:v>普通住宅</x:v>
      </x:c>
      <x:c r="L472" s="48" t="str">
        <x:v>是</x:v>
      </x:c>
      <x:c r="M472" s="48" t="str">
        <x:v>保留</x:v>
      </x:c>
      <x:c r="N472" s="48" t="str">
        <x:v>长虹大厦|1室1厅1|40|3880|东</x:v>
      </x:c>
      <x:c r="O472" s="48"/>
      <x:c r="P472" s="48" t="str">
        <x:v>未知（未逐条补齐）</x:v>
      </x:c>
      <x:c r="Q472" s="48" t="str">
        <x:v>https://shenzhen.leyoujia.com/zf/detail/BQK3fwpBkQKCsYH7QfLk5j.html</x:v>
      </x:c>
      <x:c r="R472" s="48" t="str">
        <x:v>2026-08-13</x:v>
      </x:c>
    </x:row>
    <x:row r="473">
      <x:c r="A473" s="48" t="str">
        <x:v>长虹大厦</x:v>
      </x:c>
      <x:c r="B473" s="48" t="str">
        <x:v>长虹大厦</x:v>
      </x:c>
      <x:c r="C473" s="48" t="str">
        <x:v>红岭</x:v>
      </x:c>
      <x:c r="D473" s="56" t="n">
        <x:v>16.4</x:v>
      </x:c>
      <x:c r="E473" s="61" t="n">
        <x:v>3880</x:v>
      </x:c>
      <x:c r="F473" s="61" t="n">
        <x:v>38</x:v>
      </x:c>
      <x:c r="G473" s="61" t="n">
        <x:v>102.1</x:v>
      </x:c>
      <x:c r="H473" s="48" t="str">
        <x:v>1室1厅1</x:v>
      </x:c>
      <x:c r="I473" s="48" t="str">
        <x:v>东</x:v>
      </x:c>
      <x:c r="J473" s="48" t="str">
        <x:v>普装</x:v>
      </x:c>
      <x:c r="K473" s="48" t="str">
        <x:v>公寓</x:v>
      </x:c>
      <x:c r="L473" s="48" t="str">
        <x:v>是</x:v>
      </x:c>
      <x:c r="M473" s="48" t="str">
        <x:v>保留</x:v>
      </x:c>
      <x:c r="N473" s="48" t="str">
        <x:v>长虹大厦|1室1厅1|38|3880|东</x:v>
      </x:c>
      <x:c r="O473" s="48"/>
      <x:c r="P473" s="48" t="str">
        <x:v>未知（未逐条补齐）</x:v>
      </x:c>
      <x:c r="Q473" s="48" t="str">
        <x:v>https://shenzhen.leyoujia.com/zf/detail/JpPvNpiw45vM4F5UnTCWq9.html</x:v>
      </x:c>
      <x:c r="R473" s="48" t="str">
        <x:v>2026-08-13</x:v>
      </x:c>
    </x:row>
    <x:row r="474">
      <x:c r="A474" s="48" t="str">
        <x:v>长虹大厦</x:v>
      </x:c>
      <x:c r="B474" s="48" t="str">
        <x:v>长虹大厦</x:v>
      </x:c>
      <x:c r="C474" s="48" t="str">
        <x:v>红岭</x:v>
      </x:c>
      <x:c r="D474" s="56" t="n">
        <x:v>16.4</x:v>
      </x:c>
      <x:c r="E474" s="61" t="n">
        <x:v>3980</x:v>
      </x:c>
      <x:c r="F474" s="61" t="n">
        <x:v>30</x:v>
      </x:c>
      <x:c r="G474" s="61" t="n">
        <x:v>132.7</x:v>
      </x:c>
      <x:c r="H474" s="48" t="str">
        <x:v>1室0厅1</x:v>
      </x:c>
      <x:c r="I474" s="48" t="str">
        <x:v>北</x:v>
      </x:c>
      <x:c r="J474" s="48" t="str">
        <x:v>普装</x:v>
      </x:c>
      <x:c r="K474" s="48" t="str">
        <x:v>普通住宅</x:v>
      </x:c>
      <x:c r="L474" s="48" t="str">
        <x:v>是</x:v>
      </x:c>
      <x:c r="M474" s="48" t="str">
        <x:v>保留</x:v>
      </x:c>
      <x:c r="N474" s="48" t="str">
        <x:v>长虹大厦|1室0厅1|30|3980|北</x:v>
      </x:c>
      <x:c r="O474" s="48"/>
      <x:c r="P474" s="48" t="str">
        <x:v>未知（未逐条补齐）</x:v>
      </x:c>
      <x:c r="Q474" s="48" t="str">
        <x:v>https://shenzhen.leyoujia.com/zf/detail/B3qt47Wfj9SjTG8dostHK8.html</x:v>
      </x:c>
      <x:c r="R474" s="48" t="str">
        <x:v>2026-08-13</x:v>
      </x:c>
    </x:row>
    <x:row r="475">
      <x:c r="A475" s="48" t="str">
        <x:v>长虹大厦</x:v>
      </x:c>
      <x:c r="B475" s="48" t="str">
        <x:v>长虹大厦</x:v>
      </x:c>
      <x:c r="C475" s="48" t="str">
        <x:v>红岭</x:v>
      </x:c>
      <x:c r="D475" s="56" t="n">
        <x:v>16.4</x:v>
      </x:c>
      <x:c r="E475" s="61" t="n">
        <x:v>3980</x:v>
      </x:c>
      <x:c r="F475" s="61" t="n">
        <x:v>30</x:v>
      </x:c>
      <x:c r="G475" s="61" t="n">
        <x:v>132.7</x:v>
      </x:c>
      <x:c r="H475" s="48" t="str">
        <x:v>1室0厅1</x:v>
      </x:c>
      <x:c r="I475" s="48" t="str">
        <x:v>东</x:v>
      </x:c>
      <x:c r="J475" s="48" t="str">
        <x:v>精装</x:v>
      </x:c>
      <x:c r="K475" s="48" t="str">
        <x:v>普通住宅</x:v>
      </x:c>
      <x:c r="L475" s="48" t="str">
        <x:v>是</x:v>
      </x:c>
      <x:c r="M475" s="48" t="str">
        <x:v>保留</x:v>
      </x:c>
      <x:c r="N475" s="48" t="str">
        <x:v>长虹大厦|1室0厅1|30|3980|东</x:v>
      </x:c>
      <x:c r="O475" s="48"/>
      <x:c r="P475" s="48" t="str">
        <x:v>未知（未逐条补齐）</x:v>
      </x:c>
      <x:c r="Q475" s="48" t="str">
        <x:v>https://shenzhen.leyoujia.com/zf/detail/RUTvDAFw6hn6TMqHhfD1aM.html</x:v>
      </x:c>
      <x:c r="R475" s="48" t="str">
        <x:v>2026-08-13</x:v>
      </x:c>
    </x:row>
    <x:row r="476">
      <x:c r="A476" s="48" t="str">
        <x:v>长虹大厦</x:v>
      </x:c>
      <x:c r="B476" s="48" t="str">
        <x:v>长虹大厦</x:v>
      </x:c>
      <x:c r="C476" s="48" t="str">
        <x:v>红岭</x:v>
      </x:c>
      <x:c r="D476" s="56" t="n">
        <x:v>16.4</x:v>
      </x:c>
      <x:c r="E476" s="61" t="n">
        <x:v>4180</x:v>
      </x:c>
      <x:c r="F476" s="61" t="n">
        <x:v>30</x:v>
      </x:c>
      <x:c r="G476" s="61" t="n">
        <x:v>139.3</x:v>
      </x:c>
      <x:c r="H476" s="48" t="str">
        <x:v>1室1厅1</x:v>
      </x:c>
      <x:c r="I476" s="48" t="str">
        <x:v>北</x:v>
      </x:c>
      <x:c r="J476" s="48" t="str">
        <x:v>精装</x:v>
      </x:c>
      <x:c r="K476" s="48" t="str">
        <x:v>普通住宅</x:v>
      </x:c>
      <x:c r="L476" s="48" t="str">
        <x:v>是</x:v>
      </x:c>
      <x:c r="M476" s="48" t="str">
        <x:v>保留</x:v>
      </x:c>
      <x:c r="N476" s="48" t="str">
        <x:v>长虹大厦|1室1厅1|30|4180|北</x:v>
      </x:c>
      <x:c r="O476" s="48"/>
      <x:c r="P476" s="48" t="str">
        <x:v>未知（未逐条补齐）</x:v>
      </x:c>
      <x:c r="Q476" s="48" t="str">
        <x:v>https://shenzhen.leyoujia.com/zf/detail/HDQbH7FcBpiibVUvQRL36N.html</x:v>
      </x:c>
      <x:c r="R476" s="48" t="str">
        <x:v>2026-08-13</x:v>
      </x:c>
    </x:row>
    <x:row r="477">
      <x:c r="A477" s="48" t="str">
        <x:v>长虹大厦</x:v>
      </x:c>
      <x:c r="B477" s="48" t="str">
        <x:v>长虹大厦</x:v>
      </x:c>
      <x:c r="C477" s="48" t="str">
        <x:v>红岭</x:v>
      </x:c>
      <x:c r="D477" s="56" t="n">
        <x:v>16.4</x:v>
      </x:c>
      <x:c r="E477" s="61" t="n">
        <x:v>4380</x:v>
      </x:c>
      <x:c r="F477" s="61" t="n">
        <x:v>30</x:v>
      </x:c>
      <x:c r="G477" s="61" t="n">
        <x:v>146</x:v>
      </x:c>
      <x:c r="H477" s="48" t="str">
        <x:v>1室1厅1</x:v>
      </x:c>
      <x:c r="I477" s="48" t="str">
        <x:v>南</x:v>
      </x:c>
      <x:c r="J477" s="48" t="str">
        <x:v>普装</x:v>
      </x:c>
      <x:c r="K477" s="48" t="str">
        <x:v>普通住宅</x:v>
      </x:c>
      <x:c r="L477" s="48" t="str">
        <x:v>是</x:v>
      </x:c>
      <x:c r="M477" s="48" t="str">
        <x:v>保留</x:v>
      </x:c>
      <x:c r="N477" s="48" t="str">
        <x:v>长虹大厦|1室1厅1|30|4380|南</x:v>
      </x:c>
      <x:c r="O477" s="48"/>
      <x:c r="P477" s="48" t="str">
        <x:v>未知（未逐条补齐）</x:v>
      </x:c>
      <x:c r="Q477" s="48" t="str">
        <x:v>https://shenzhen.leyoujia.com/zf/detail/NkhQDQHGGdpjpVxhQhQiHt.html</x:v>
      </x:c>
      <x:c r="R477" s="48" t="str">
        <x:v>2026-08-13</x:v>
      </x:c>
    </x:row>
    <x:row r="478">
      <x:c r="A478" s="48" t="str">
        <x:v>长虹大厦</x:v>
      </x:c>
      <x:c r="B478" s="48" t="str">
        <x:v>长虹大厦</x:v>
      </x:c>
      <x:c r="C478" s="48" t="str">
        <x:v>红岭</x:v>
      </x:c>
      <x:c r="D478" s="56" t="n">
        <x:v>16.4</x:v>
      </x:c>
      <x:c r="E478" s="61" t="n">
        <x:v>4380</x:v>
      </x:c>
      <x:c r="F478" s="61" t="n">
        <x:v>30</x:v>
      </x:c>
      <x:c r="G478" s="61" t="n">
        <x:v>146</x:v>
      </x:c>
      <x:c r="H478" s="48" t="str">
        <x:v>1室1厅1</x:v>
      </x:c>
      <x:c r="I478" s="48" t="str">
        <x:v>南</x:v>
      </x:c>
      <x:c r="J478" s="48" t="str">
        <x:v>精装</x:v>
      </x:c>
      <x:c r="K478" s="48" t="str">
        <x:v>普通住宅</x:v>
      </x:c>
      <x:c r="L478" s="48" t="str">
        <x:v>否</x:v>
      </x:c>
      <x:c r="M478" s="48" t="str">
        <x:v>疑似重复挂牌</x:v>
      </x:c>
      <x:c r="N478" s="48" t="str">
        <x:v>长虹大厦|1室1厅1|30|4380|南</x:v>
      </x:c>
      <x:c r="O478" s="48"/>
      <x:c r="P478" s="48" t="str">
        <x:v>未知（未逐条补齐）</x:v>
      </x:c>
      <x:c r="Q478" s="48" t="str">
        <x:v>https://shenzhen.leyoujia.com/zf/detail/GPkuir65ZfsR357zYy3huG.html</x:v>
      </x:c>
      <x:c r="R478" s="48" t="str">
        <x:v>2026-08-13</x:v>
      </x:c>
    </x:row>
    <x:row r="479">
      <x:c r="A479" s="48" t="str">
        <x:v>长虹大厦</x:v>
      </x:c>
      <x:c r="B479" s="48" t="str">
        <x:v>长虹大厦</x:v>
      </x:c>
      <x:c r="C479" s="48" t="str">
        <x:v>红岭</x:v>
      </x:c>
      <x:c r="D479" s="56" t="n">
        <x:v>16.4</x:v>
      </x:c>
      <x:c r="E479" s="61" t="n">
        <x:v>4680</x:v>
      </x:c>
      <x:c r="F479" s="61" t="n">
        <x:v>50</x:v>
      </x:c>
      <x:c r="G479" s="61" t="n">
        <x:v>93.6</x:v>
      </x:c>
      <x:c r="H479" s="48" t="str">
        <x:v>1室1厅1</x:v>
      </x:c>
      <x:c r="I479" s="48" t="str">
        <x:v>南</x:v>
      </x:c>
      <x:c r="J479" s="48" t="str">
        <x:v>精装</x:v>
      </x:c>
      <x:c r="K479" s="48" t="str">
        <x:v>普通住宅</x:v>
      </x:c>
      <x:c r="L479" s="48" t="str">
        <x:v>是</x:v>
      </x:c>
      <x:c r="M479" s="48" t="str">
        <x:v>保留</x:v>
      </x:c>
      <x:c r="N479" s="48" t="str">
        <x:v>长虹大厦|1室1厅1|50|4680|南</x:v>
      </x:c>
      <x:c r="O479" s="48"/>
      <x:c r="P479" s="48" t="str">
        <x:v>未知（未逐条补齐）</x:v>
      </x:c>
      <x:c r="Q479" s="48" t="str">
        <x:v>https://shenzhen.leyoujia.com/zf/detail/L9trrM1379Qw2k9FX3ZzWm.html</x:v>
      </x:c>
      <x:c r="R479" s="48" t="str">
        <x:v>2026-08-13</x:v>
      </x:c>
    </x:row>
    <x:row r="480">
      <x:c r="A480" s="48" t="str">
        <x:v>松园南小区</x:v>
      </x:c>
      <x:c r="B480" s="48" t="str">
        <x:v>松园南小区</x:v>
      </x:c>
      <x:c r="C480" s="48" t="str">
        <x:v>红岭</x:v>
      </x:c>
      <x:c r="D480" s="56" t="n">
        <x:v>14.2</x:v>
      </x:c>
      <x:c r="E480" s="61" t="n">
        <x:v>2400</x:v>
      </x:c>
      <x:c r="F480" s="61" t="n">
        <x:v>30</x:v>
      </x:c>
      <x:c r="G480" s="61" t="n">
        <x:v>80</x:v>
      </x:c>
      <x:c r="H480" s="48" t="str">
        <x:v>1室0厅1</x:v>
      </x:c>
      <x:c r="I480" s="48" t="str">
        <x:v>南</x:v>
      </x:c>
      <x:c r="J480" s="48" t="str">
        <x:v>待核</x:v>
      </x:c>
      <x:c r="K480" s="48" t="str">
        <x:v>住宅</x:v>
      </x:c>
      <x:c r="L480" s="48" t="str">
        <x:v>是</x:v>
      </x:c>
      <x:c r="M480" s="48" t="str">
        <x:v>保留</x:v>
      </x:c>
      <x:c r="N480" s="48" t="str">
        <x:v>松园南小区|1室0厅1|30|2400|南</x:v>
      </x:c>
      <x:c r="O480" s="48"/>
      <x:c r="P480" s="48" t="str">
        <x:v>未知（未逐条补齐）</x:v>
      </x:c>
      <x:c r="Q480" s="48" t="str">
        <x:v>https://shenzhen.leyoujia.com/zf/detail/DyQxtH1URMx4oiFP9s41RD.html</x:v>
      </x:c>
      <x:c r="R480" s="48" t="str">
        <x:v>2026-08-13</x:v>
      </x:c>
    </x:row>
    <x:row r="481">
      <x:c r="A481" s="48" t="str">
        <x:v>松园南小区</x:v>
      </x:c>
      <x:c r="B481" s="48" t="str">
        <x:v>松园南小区</x:v>
      </x:c>
      <x:c r="C481" s="48" t="str">
        <x:v>红岭</x:v>
      </x:c>
      <x:c r="D481" s="56" t="n">
        <x:v>14.2</x:v>
      </x:c>
      <x:c r="E481" s="61" t="n">
        <x:v>2580</x:v>
      </x:c>
      <x:c r="F481" s="61" t="n">
        <x:v>25</x:v>
      </x:c>
      <x:c r="G481" s="61" t="n">
        <x:v>103.2</x:v>
      </x:c>
      <x:c r="H481" s="48" t="str">
        <x:v>1室1厅1</x:v>
      </x:c>
      <x:c r="I481" s="48" t="str">
        <x:v>南</x:v>
      </x:c>
      <x:c r="J481" s="48" t="str">
        <x:v>普装</x:v>
      </x:c>
      <x:c r="K481" s="48" t="str">
        <x:v>普通住宅</x:v>
      </x:c>
      <x:c r="L481" s="48" t="str">
        <x:v>是</x:v>
      </x:c>
      <x:c r="M481" s="48" t="str">
        <x:v>保留</x:v>
      </x:c>
      <x:c r="N481" s="48" t="str">
        <x:v>松园南小区|1室1厅1|25|2580|南</x:v>
      </x:c>
      <x:c r="O481" s="48"/>
      <x:c r="P481" s="48" t="str">
        <x:v>未知（未逐条补齐）</x:v>
      </x:c>
      <x:c r="Q481" s="48" t="str">
        <x:v>https://shenzhen.leyoujia.com/zf/detail/73VrxDJ4HndpvNXFERdooq.html</x:v>
      </x:c>
      <x:c r="R481" s="48" t="str">
        <x:v>2026-08-13</x:v>
      </x:c>
    </x:row>
    <x:row r="482">
      <x:c r="A482" s="48" t="str">
        <x:v>松园南小区</x:v>
      </x:c>
      <x:c r="B482" s="48" t="str">
        <x:v>松园南小区</x:v>
      </x:c>
      <x:c r="C482" s="48" t="str">
        <x:v>红岭</x:v>
      </x:c>
      <x:c r="D482" s="56" t="n">
        <x:v>14.2</x:v>
      </x:c>
      <x:c r="E482" s="61" t="n">
        <x:v>2700</x:v>
      </x:c>
      <x:c r="F482" s="61" t="n">
        <x:v>30</x:v>
      </x:c>
      <x:c r="G482" s="61" t="n">
        <x:v>90</x:v>
      </x:c>
      <x:c r="H482" s="48" t="str">
        <x:v>1室0厅1</x:v>
      </x:c>
      <x:c r="I482" s="48" t="str">
        <x:v>东南</x:v>
      </x:c>
      <x:c r="J482" s="48" t="str">
        <x:v>普装</x:v>
      </x:c>
      <x:c r="K482" s="48" t="str">
        <x:v>公寓</x:v>
      </x:c>
      <x:c r="L482" s="48" t="str">
        <x:v>是</x:v>
      </x:c>
      <x:c r="M482" s="48" t="str">
        <x:v>保留</x:v>
      </x:c>
      <x:c r="N482" s="48" t="str">
        <x:v>松园南小区|1室0厅1|30|2700|东南</x:v>
      </x:c>
      <x:c r="O482" s="48"/>
      <x:c r="P482" s="48" t="str">
        <x:v>未知（未逐条补齐）</x:v>
      </x:c>
      <x:c r="Q482" s="48" t="str">
        <x:v>https://shenzhen.leyoujia.com/zf/detail/S6wz2v5VxvvffPSUk8rcQv.html</x:v>
      </x:c>
      <x:c r="R482" s="48" t="str">
        <x:v>2026-08-13</x:v>
      </x:c>
    </x:row>
    <x:row r="483">
      <x:c r="A483" s="48" t="str">
        <x:v>西湖小区</x:v>
      </x:c>
      <x:c r="B483" s="48" t="str">
        <x:v>西湖小区</x:v>
      </x:c>
      <x:c r="C483" s="48" t="str">
        <x:v>红岭</x:v>
      </x:c>
      <x:c r="D483" s="56" t="n">
        <x:v>15.9</x:v>
      </x:c>
      <x:c r="E483" s="61" t="n">
        <x:v>2400</x:v>
      </x:c>
      <x:c r="F483" s="61" t="n">
        <x:v>30</x:v>
      </x:c>
      <x:c r="G483" s="61" t="n">
        <x:v>80</x:v>
      </x:c>
      <x:c r="H483" s="48" t="str">
        <x:v>1室0厅1</x:v>
      </x:c>
      <x:c r="I483" s="48" t="str">
        <x:v>南</x:v>
      </x:c>
      <x:c r="J483" s="48" t="str">
        <x:v>普装</x:v>
      </x:c>
      <x:c r="K483" s="48" t="str">
        <x:v>普通住宅</x:v>
      </x:c>
      <x:c r="L483" s="48" t="str">
        <x:v>是</x:v>
      </x:c>
      <x:c r="M483" s="48" t="str">
        <x:v>保留</x:v>
      </x:c>
      <x:c r="N483" s="48" t="str">
        <x:v>西湖小区|1室0厅1|30|2400|南</x:v>
      </x:c>
      <x:c r="O483" s="48"/>
      <x:c r="P483" s="48" t="str">
        <x:v>未知（未逐条补齐）</x:v>
      </x:c>
      <x:c r="Q483" s="48" t="str">
        <x:v>https://shenzhen.leyoujia.com/zf/detail/TLtptLxyCeFe64rCXNBeBn.html</x:v>
      </x:c>
      <x:c r="R483" s="48" t="str">
        <x:v>2026-08-13</x:v>
      </x:c>
    </x:row>
    <x:row r="484">
      <x:c r="A484" s="48" t="str">
        <x:v>西湖小区</x:v>
      </x:c>
      <x:c r="B484" s="48" t="str">
        <x:v>西湖小区</x:v>
      </x:c>
      <x:c r="C484" s="48" t="str">
        <x:v>红岭</x:v>
      </x:c>
      <x:c r="D484" s="56" t="n">
        <x:v>15.9</x:v>
      </x:c>
      <x:c r="E484" s="61" t="n">
        <x:v>2400</x:v>
      </x:c>
      <x:c r="F484" s="61" t="n">
        <x:v>20</x:v>
      </x:c>
      <x:c r="G484" s="61" t="n">
        <x:v>120</x:v>
      </x:c>
      <x:c r="H484" s="48" t="str">
        <x:v>1室0厅1</x:v>
      </x:c>
      <x:c r="I484" s="48" t="str">
        <x:v>东</x:v>
      </x:c>
      <x:c r="J484" s="48" t="str">
        <x:v>普装</x:v>
      </x:c>
      <x:c r="K484" s="48" t="str">
        <x:v>普通住宅</x:v>
      </x:c>
      <x:c r="L484" s="48" t="str">
        <x:v>是</x:v>
      </x:c>
      <x:c r="M484" s="48" t="str">
        <x:v>保留</x:v>
      </x:c>
      <x:c r="N484" s="48" t="str">
        <x:v>西湖小区|1室0厅1|20|2400|东</x:v>
      </x:c>
      <x:c r="O484" s="48"/>
      <x:c r="P484" s="48" t="str">
        <x:v>未知（未逐条补齐）</x:v>
      </x:c>
      <x:c r="Q484" s="48" t="str">
        <x:v>https://shenzhen.leyoujia.com/zf/detail/WmWvu84rSxS14JbN8vo45v.html</x:v>
      </x:c>
      <x:c r="R484" s="48" t="str">
        <x:v>2026-08-13</x:v>
      </x:c>
    </x:row>
    <x:row r="485">
      <x:c r="A485" s="48" t="str">
        <x:v>西湖小区</x:v>
      </x:c>
      <x:c r="B485" s="48" t="str">
        <x:v>西湖小区</x:v>
      </x:c>
      <x:c r="C485" s="48" t="str">
        <x:v>红岭</x:v>
      </x:c>
      <x:c r="D485" s="56" t="n">
        <x:v>15.9</x:v>
      </x:c>
      <x:c r="E485" s="61" t="n">
        <x:v>2450</x:v>
      </x:c>
      <x:c r="F485" s="61" t="n">
        <x:v>20</x:v>
      </x:c>
      <x:c r="G485" s="61" t="n">
        <x:v>122.5</x:v>
      </x:c>
      <x:c r="H485" s="48" t="str">
        <x:v>1室0厅1</x:v>
      </x:c>
      <x:c r="I485" s="48" t="str">
        <x:v>北</x:v>
      </x:c>
      <x:c r="J485" s="48" t="str">
        <x:v>精装</x:v>
      </x:c>
      <x:c r="K485" s="48" t="str">
        <x:v>普通住宅</x:v>
      </x:c>
      <x:c r="L485" s="48" t="str">
        <x:v>是</x:v>
      </x:c>
      <x:c r="M485" s="48" t="str">
        <x:v>保留</x:v>
      </x:c>
      <x:c r="N485" s="48" t="str">
        <x:v>西湖小区|1室0厅1|20|2450|北</x:v>
      </x:c>
      <x:c r="O485" s="48"/>
      <x:c r="P485" s="48" t="str">
        <x:v>未知（未逐条补齐）</x:v>
      </x:c>
      <x:c r="Q485" s="48" t="str">
        <x:v>https://shenzhen.leyoujia.com/zf/detail/D5C4JeqFzsXAqM5NqFx9GJ.html</x:v>
      </x:c>
      <x:c r="R485" s="48" t="str">
        <x:v>2026-08-13</x:v>
      </x:c>
    </x:row>
    <x:row r="486">
      <x:c r="A486" s="48" t="str">
        <x:v>西湖小区</x:v>
      </x:c>
      <x:c r="B486" s="48" t="str">
        <x:v>西湖小区</x:v>
      </x:c>
      <x:c r="C486" s="48" t="str">
        <x:v>红岭</x:v>
      </x:c>
      <x:c r="D486" s="56" t="n">
        <x:v>15.9</x:v>
      </x:c>
      <x:c r="E486" s="61" t="n">
        <x:v>2480</x:v>
      </x:c>
      <x:c r="F486" s="61" t="n">
        <x:v>20</x:v>
      </x:c>
      <x:c r="G486" s="61" t="n">
        <x:v>124</x:v>
      </x:c>
      <x:c r="H486" s="48" t="str">
        <x:v>1室0厅1</x:v>
      </x:c>
      <x:c r="I486" s="48" t="str">
        <x:v>南</x:v>
      </x:c>
      <x:c r="J486" s="48" t="str">
        <x:v>精装</x:v>
      </x:c>
      <x:c r="K486" s="48" t="str">
        <x:v>公寓</x:v>
      </x:c>
      <x:c r="L486" s="48" t="str">
        <x:v>是</x:v>
      </x:c>
      <x:c r="M486" s="48" t="str">
        <x:v>保留</x:v>
      </x:c>
      <x:c r="N486" s="48" t="str">
        <x:v>西湖小区|1室0厅1|20|2480|南</x:v>
      </x:c>
      <x:c r="O486" s="48"/>
      <x:c r="P486" s="48" t="str">
        <x:v>未知（未逐条补齐）</x:v>
      </x:c>
      <x:c r="Q486" s="48" t="str">
        <x:v>https://shenzhen.leyoujia.com/zf/detail/65TEgS3DB9a2wvj1qi8w7A.html</x:v>
      </x:c>
      <x:c r="R486" s="48" t="str">
        <x:v>2026-08-13</x:v>
      </x:c>
    </x:row>
    <x:row r="487">
      <x:c r="A487" s="48" t="str">
        <x:v>西湖小区</x:v>
      </x:c>
      <x:c r="B487" s="48" t="str">
        <x:v>西湖小区</x:v>
      </x:c>
      <x:c r="C487" s="48" t="str">
        <x:v>红岭</x:v>
      </x:c>
      <x:c r="D487" s="56" t="n">
        <x:v>15.9</x:v>
      </x:c>
      <x:c r="E487" s="61" t="n">
        <x:v>2500</x:v>
      </x:c>
      <x:c r="F487" s="61" t="n">
        <x:v>30</x:v>
      </x:c>
      <x:c r="G487" s="61" t="n">
        <x:v>83.3</x:v>
      </x:c>
      <x:c r="H487" s="48" t="str">
        <x:v>1室0厅1</x:v>
      </x:c>
      <x:c r="I487" s="48" t="str">
        <x:v>南北</x:v>
      </x:c>
      <x:c r="J487" s="48" t="str">
        <x:v>普装</x:v>
      </x:c>
      <x:c r="K487" s="48" t="str">
        <x:v>普通住宅</x:v>
      </x:c>
      <x:c r="L487" s="48" t="str">
        <x:v>是</x:v>
      </x:c>
      <x:c r="M487" s="48" t="str">
        <x:v>保留</x:v>
      </x:c>
      <x:c r="N487" s="48" t="str">
        <x:v>西湖小区|1室0厅1|30|2500|南北</x:v>
      </x:c>
      <x:c r="O487" s="48"/>
      <x:c r="P487" s="48" t="str">
        <x:v>未知（未逐条补齐）</x:v>
      </x:c>
      <x:c r="Q487" s="48" t="str">
        <x:v>https://shenzhen.leyoujia.com/zf/detail/v1GUhV9GYePHE2BrMSVgW.html</x:v>
      </x:c>
      <x:c r="R487" s="48" t="str">
        <x:v>2026-08-13</x:v>
      </x:c>
    </x:row>
    <x:row r="488">
      <x:c r="A488" s="48" t="str">
        <x:v>西湖小区</x:v>
      </x:c>
      <x:c r="B488" s="48" t="str">
        <x:v>西湖小区</x:v>
      </x:c>
      <x:c r="C488" s="48" t="str">
        <x:v>红岭</x:v>
      </x:c>
      <x:c r="D488" s="56" t="n">
        <x:v>15.9</x:v>
      </x:c>
      <x:c r="E488" s="61" t="n">
        <x:v>2580</x:v>
      </x:c>
      <x:c r="F488" s="61" t="n">
        <x:v>25</x:v>
      </x:c>
      <x:c r="G488" s="61" t="n">
        <x:v>103.2</x:v>
      </x:c>
      <x:c r="H488" s="48" t="str">
        <x:v>1室0厅1</x:v>
      </x:c>
      <x:c r="I488" s="48" t="str">
        <x:v>南</x:v>
      </x:c>
      <x:c r="J488" s="48" t="str">
        <x:v>普装</x:v>
      </x:c>
      <x:c r="K488" s="48" t="str">
        <x:v>普通住宅</x:v>
      </x:c>
      <x:c r="L488" s="48" t="str">
        <x:v>是</x:v>
      </x:c>
      <x:c r="M488" s="48" t="str">
        <x:v>保留</x:v>
      </x:c>
      <x:c r="N488" s="48" t="str">
        <x:v>西湖小区|1室0厅1|25|2580|南</x:v>
      </x:c>
      <x:c r="O488" s="48"/>
      <x:c r="P488" s="48" t="str">
        <x:v>未知（未逐条补齐）</x:v>
      </x:c>
      <x:c r="Q488" s="48" t="str">
        <x:v>https://shenzhen.leyoujia.com/zf/detail/HEfuLtr31gPpgfkkeobpUx.html</x:v>
      </x:c>
      <x:c r="R488" s="48" t="str">
        <x:v>2026-08-13</x:v>
      </x:c>
    </x:row>
    <x:row r="489">
      <x:c r="A489" s="48" t="str">
        <x:v>西湖小区</x:v>
      </x:c>
      <x:c r="B489" s="48" t="str">
        <x:v>西湖小区</x:v>
      </x:c>
      <x:c r="C489" s="48" t="str">
        <x:v>红岭</x:v>
      </x:c>
      <x:c r="D489" s="56" t="n">
        <x:v>15.9</x:v>
      </x:c>
      <x:c r="E489" s="61" t="n">
        <x:v>2580</x:v>
      </x:c>
      <x:c r="F489" s="61" t="n">
        <x:v>15</x:v>
      </x:c>
      <x:c r="G489" s="61" t="n">
        <x:v>172</x:v>
      </x:c>
      <x:c r="H489" s="48" t="str">
        <x:v>1室0厅1</x:v>
      </x:c>
      <x:c r="I489" s="48" t="str">
        <x:v>南</x:v>
      </x:c>
      <x:c r="J489" s="48" t="str">
        <x:v>普装</x:v>
      </x:c>
      <x:c r="K489" s="48" t="str">
        <x:v>公寓</x:v>
      </x:c>
      <x:c r="L489" s="48" t="str">
        <x:v>是</x:v>
      </x:c>
      <x:c r="M489" s="48" t="str">
        <x:v>保留</x:v>
      </x:c>
      <x:c r="N489" s="48" t="str">
        <x:v>西湖小区|1室0厅1|15|2580|南</x:v>
      </x:c>
      <x:c r="O489" s="48"/>
      <x:c r="P489" s="48" t="str">
        <x:v>未知（未逐条补齐）</x:v>
      </x:c>
      <x:c r="Q489" s="48" t="str">
        <x:v>https://shenzhen.leyoujia.com/zf/detail/QDMLYBQrTFQh9HfJTJCWnJ.html</x:v>
      </x:c>
      <x:c r="R489" s="48" t="str">
        <x:v>2026-08-13</x:v>
      </x:c>
    </x:row>
    <x:row r="490">
      <x:c r="A490" s="48" t="str">
        <x:v>西湖小区</x:v>
      </x:c>
      <x:c r="B490" s="48" t="str">
        <x:v>西湖小区</x:v>
      </x:c>
      <x:c r="C490" s="48" t="str">
        <x:v>红岭</x:v>
      </x:c>
      <x:c r="D490" s="56" t="n">
        <x:v>15.9</x:v>
      </x:c>
      <x:c r="E490" s="61" t="n">
        <x:v>2580</x:v>
      </x:c>
      <x:c r="F490" s="61" t="n">
        <x:v>20</x:v>
      </x:c>
      <x:c r="G490" s="61" t="n">
        <x:v>129</x:v>
      </x:c>
      <x:c r="H490" s="48" t="str">
        <x:v>1室0厅1</x:v>
      </x:c>
      <x:c r="I490" s="48" t="str">
        <x:v>东</x:v>
      </x:c>
      <x:c r="J490" s="48" t="str">
        <x:v>待核</x:v>
      </x:c>
      <x:c r="K490" s="48" t="str">
        <x:v>住宅</x:v>
      </x:c>
      <x:c r="L490" s="48" t="str">
        <x:v>是</x:v>
      </x:c>
      <x:c r="M490" s="48" t="str">
        <x:v>保留</x:v>
      </x:c>
      <x:c r="N490" s="48" t="str">
        <x:v>西湖小区|1室0厅1|20|2580|东</x:v>
      </x:c>
      <x:c r="O490" s="48"/>
      <x:c r="P490" s="48" t="str">
        <x:v>未知（未逐条补齐）</x:v>
      </x:c>
      <x:c r="Q490" s="48" t="str">
        <x:v>https://shenzhen.leyoujia.com/zf/detail/KZN7ZEu4ELBb7dwWjhWTmn.html</x:v>
      </x:c>
      <x:c r="R490" s="48" t="str">
        <x:v>2026-08-13</x:v>
      </x:c>
    </x:row>
    <x:row r="491">
      <x:c r="A491" s="48" t="str">
        <x:v>西湖小区</x:v>
      </x:c>
      <x:c r="B491" s="48" t="str">
        <x:v>西湖小区</x:v>
      </x:c>
      <x:c r="C491" s="48" t="str">
        <x:v>红岭</x:v>
      </x:c>
      <x:c r="D491" s="56" t="n">
        <x:v>15.9</x:v>
      </x:c>
      <x:c r="E491" s="61" t="n">
        <x:v>2600</x:v>
      </x:c>
      <x:c r="F491" s="61" t="n">
        <x:v>21</x:v>
      </x:c>
      <x:c r="G491" s="61" t="n">
        <x:v>123.8</x:v>
      </x:c>
      <x:c r="H491" s="48" t="str">
        <x:v>1室0厅1</x:v>
      </x:c>
      <x:c r="I491" s="48" t="str">
        <x:v>北</x:v>
      </x:c>
      <x:c r="J491" s="48" t="str">
        <x:v>待核</x:v>
      </x:c>
      <x:c r="K491" s="48" t="str">
        <x:v>住宅</x:v>
      </x:c>
      <x:c r="L491" s="48" t="str">
        <x:v>是</x:v>
      </x:c>
      <x:c r="M491" s="48" t="str">
        <x:v>保留</x:v>
      </x:c>
      <x:c r="N491" s="48" t="str">
        <x:v>西湖小区|1室0厅1|21|2600|北</x:v>
      </x:c>
      <x:c r="O491" s="48"/>
      <x:c r="P491" s="48" t="str">
        <x:v>未知（未逐条补齐）</x:v>
      </x:c>
      <x:c r="Q491" s="48" t="str">
        <x:v>https://shenzhen.leyoujia.com/zf/detail/M9qy4KURL2JB7z3T6pBvqA.html</x:v>
      </x:c>
      <x:c r="R491" s="48" t="str">
        <x:v>2026-08-13</x:v>
      </x:c>
    </x:row>
    <x:row r="492">
      <x:c r="A492" s="48" t="str">
        <x:v>西湖小区</x:v>
      </x:c>
      <x:c r="B492" s="48" t="str">
        <x:v>西湖小区</x:v>
      </x:c>
      <x:c r="C492" s="48" t="str">
        <x:v>红岭</x:v>
      </x:c>
      <x:c r="D492" s="56" t="n">
        <x:v>15.9</x:v>
      </x:c>
      <x:c r="E492" s="61" t="n">
        <x:v>2600</x:v>
      </x:c>
      <x:c r="F492" s="61" t="n">
        <x:v>22</x:v>
      </x:c>
      <x:c r="G492" s="61" t="n">
        <x:v>118.2</x:v>
      </x:c>
      <x:c r="H492" s="48" t="str">
        <x:v>1室0厅1</x:v>
      </x:c>
      <x:c r="I492" s="48" t="str">
        <x:v>南</x:v>
      </x:c>
      <x:c r="J492" s="48" t="str">
        <x:v>待核</x:v>
      </x:c>
      <x:c r="K492" s="48" t="str">
        <x:v>住宅</x:v>
      </x:c>
      <x:c r="L492" s="48" t="str">
        <x:v>是</x:v>
      </x:c>
      <x:c r="M492" s="48" t="str">
        <x:v>保留</x:v>
      </x:c>
      <x:c r="N492" s="48" t="str">
        <x:v>西湖小区|1室0厅1|22|2600|南</x:v>
      </x:c>
      <x:c r="O492" s="48"/>
      <x:c r="P492" s="48" t="str">
        <x:v>未知（未逐条补齐）</x:v>
      </x:c>
      <x:c r="Q492" s="48" t="str">
        <x:v>https://shenzhen.leyoujia.com/zf/detail/VQDRvhWE3B9MYLQ5DAoKUT.html</x:v>
      </x:c>
      <x:c r="R492" s="48" t="str">
        <x:v>2026-08-13</x:v>
      </x:c>
    </x:row>
    <x:row r="493">
      <x:c r="A493" s="48" t="str">
        <x:v>西湖小区</x:v>
      </x:c>
      <x:c r="B493" s="48" t="str">
        <x:v>西湖小区</x:v>
      </x:c>
      <x:c r="C493" s="48" t="str">
        <x:v>红岭</x:v>
      </x:c>
      <x:c r="D493" s="56" t="n">
        <x:v>15.9</x:v>
      </x:c>
      <x:c r="E493" s="61" t="n">
        <x:v>2600</x:v>
      </x:c>
      <x:c r="F493" s="61" t="n">
        <x:v>21</x:v>
      </x:c>
      <x:c r="G493" s="61" t="n">
        <x:v>123.8</x:v>
      </x:c>
      <x:c r="H493" s="48" t="str">
        <x:v>1室0厅1</x:v>
      </x:c>
      <x:c r="I493" s="48" t="str">
        <x:v>北</x:v>
      </x:c>
      <x:c r="J493" s="48" t="str">
        <x:v>待核</x:v>
      </x:c>
      <x:c r="K493" s="48" t="str">
        <x:v>住宅</x:v>
      </x:c>
      <x:c r="L493" s="48" t="str">
        <x:v>否</x:v>
      </x:c>
      <x:c r="M493" s="48" t="str">
        <x:v>疑似重复挂牌</x:v>
      </x:c>
      <x:c r="N493" s="48" t="str">
        <x:v>西湖小区|1室0厅1|21|2600|北</x:v>
      </x:c>
      <x:c r="O493" s="48"/>
      <x:c r="P493" s="48" t="str">
        <x:v>未知（未逐条补齐）</x:v>
      </x:c>
      <x:c r="Q493" s="48" t="str">
        <x:v>https://shenzhen.leyoujia.com/zf/detail/SfyJSZD4xVQ2ofAafKuNLw.html</x:v>
      </x:c>
      <x:c r="R493" s="48" t="str">
        <x:v>2026-08-13</x:v>
      </x:c>
    </x:row>
    <x:row r="494">
      <x:c r="A494" s="48" t="str">
        <x:v>西湖小区</x:v>
      </x:c>
      <x:c r="B494" s="48" t="str">
        <x:v>西湖小区</x:v>
      </x:c>
      <x:c r="C494" s="48" t="str">
        <x:v>红岭</x:v>
      </x:c>
      <x:c r="D494" s="56" t="n">
        <x:v>15.9</x:v>
      </x:c>
      <x:c r="E494" s="61" t="n">
        <x:v>2650</x:v>
      </x:c>
      <x:c r="F494" s="61" t="n">
        <x:v>25</x:v>
      </x:c>
      <x:c r="G494" s="61" t="n">
        <x:v>106</x:v>
      </x:c>
      <x:c r="H494" s="48" t="str">
        <x:v>1室0厅1</x:v>
      </x:c>
      <x:c r="I494" s="48" t="str">
        <x:v>南</x:v>
      </x:c>
      <x:c r="J494" s="48" t="str">
        <x:v>待核</x:v>
      </x:c>
      <x:c r="K494" s="48" t="str">
        <x:v>普通住宅</x:v>
      </x:c>
      <x:c r="L494" s="48" t="str">
        <x:v>是</x:v>
      </x:c>
      <x:c r="M494" s="48" t="str">
        <x:v>保留</x:v>
      </x:c>
      <x:c r="N494" s="48" t="str">
        <x:v>西湖小区|1室0厅1|25|2650|南</x:v>
      </x:c>
      <x:c r="O494" s="48"/>
      <x:c r="P494" s="48" t="str">
        <x:v>未知（未逐条补齐）</x:v>
      </x:c>
      <x:c r="Q494" s="48" t="str">
        <x:v>https://shenzhen.leyoujia.com/zf/detail/8xcQZYvn6xWw8wa8e3aDDf.html</x:v>
      </x:c>
      <x:c r="R494" s="48" t="str">
        <x:v>2026-08-13</x:v>
      </x:c>
    </x:row>
    <x:row r="495">
      <x:c r="A495" s="48" t="str">
        <x:v>西湖小区</x:v>
      </x:c>
      <x:c r="B495" s="48" t="str">
        <x:v>西湖小区</x:v>
      </x:c>
      <x:c r="C495" s="48" t="str">
        <x:v>红岭</x:v>
      </x:c>
      <x:c r="D495" s="56" t="n">
        <x:v>15.9</x:v>
      </x:c>
      <x:c r="E495" s="61" t="n">
        <x:v>2680</x:v>
      </x:c>
      <x:c r="F495" s="61" t="n">
        <x:v>30</x:v>
      </x:c>
      <x:c r="G495" s="61" t="n">
        <x:v>89.3</x:v>
      </x:c>
      <x:c r="H495" s="48" t="str">
        <x:v>1室0厅1</x:v>
      </x:c>
      <x:c r="I495" s="48" t="str">
        <x:v>南</x:v>
      </x:c>
      <x:c r="J495" s="48" t="str">
        <x:v>待核</x:v>
      </x:c>
      <x:c r="K495" s="48" t="str">
        <x:v>住宅</x:v>
      </x:c>
      <x:c r="L495" s="48" t="str">
        <x:v>是</x:v>
      </x:c>
      <x:c r="M495" s="48" t="str">
        <x:v>保留</x:v>
      </x:c>
      <x:c r="N495" s="48" t="str">
        <x:v>西湖小区|1室0厅1|30|2680|南</x:v>
      </x:c>
      <x:c r="O495" s="48"/>
      <x:c r="P495" s="48" t="str">
        <x:v>未知（未逐条补齐）</x:v>
      </x:c>
      <x:c r="Q495" s="48" t="str">
        <x:v>https://shenzhen.leyoujia.com/zf/detail/SCMwLPezNbxDndYpcypyXy.html</x:v>
      </x:c>
      <x:c r="R495" s="48" t="str">
        <x:v>2026-08-13</x:v>
      </x:c>
    </x:row>
    <x:row r="496">
      <x:c r="A496" s="48" t="str">
        <x:v>西湖小区</x:v>
      </x:c>
      <x:c r="B496" s="48" t="str">
        <x:v>西湖小区</x:v>
      </x:c>
      <x:c r="C496" s="48" t="str">
        <x:v>红岭</x:v>
      </x:c>
      <x:c r="D496" s="56" t="n">
        <x:v>15.9</x:v>
      </x:c>
      <x:c r="E496" s="61" t="n">
        <x:v>2780</x:v>
      </x:c>
      <x:c r="F496" s="61" t="n">
        <x:v>30</x:v>
      </x:c>
      <x:c r="G496" s="61" t="n">
        <x:v>92.7</x:v>
      </x:c>
      <x:c r="H496" s="48" t="str">
        <x:v>1室0厅1</x:v>
      </x:c>
      <x:c r="I496" s="48" t="str">
        <x:v>东</x:v>
      </x:c>
      <x:c r="J496" s="48" t="str">
        <x:v>待核</x:v>
      </x:c>
      <x:c r="K496" s="48" t="str">
        <x:v>住宅</x:v>
      </x:c>
      <x:c r="L496" s="48" t="str">
        <x:v>是</x:v>
      </x:c>
      <x:c r="M496" s="48" t="str">
        <x:v>保留</x:v>
      </x:c>
      <x:c r="N496" s="48" t="str">
        <x:v>西湖小区|1室0厅1|30|2780|东</x:v>
      </x:c>
      <x:c r="O496" s="48"/>
      <x:c r="P496" s="48" t="str">
        <x:v>未知（未逐条补齐）</x:v>
      </x:c>
      <x:c r="Q496" s="48" t="str">
        <x:v>https://shenzhen.leyoujia.com/zf/detail/JNbgGh7rYqtNMV2M96YWMW.html</x:v>
      </x:c>
      <x:c r="R496" s="48" t="str">
        <x:v>2026-08-13</x:v>
      </x:c>
    </x:row>
    <x:row r="497">
      <x:c r="A497" s="48" t="str">
        <x:v>西湖小区</x:v>
      </x:c>
      <x:c r="B497" s="48" t="str">
        <x:v>西湖小区</x:v>
      </x:c>
      <x:c r="C497" s="48" t="str">
        <x:v>红岭</x:v>
      </x:c>
      <x:c r="D497" s="56" t="n">
        <x:v>15.9</x:v>
      </x:c>
      <x:c r="E497" s="61" t="n">
        <x:v>2880</x:v>
      </x:c>
      <x:c r="F497" s="61" t="n">
        <x:v>30</x:v>
      </x:c>
      <x:c r="G497" s="61" t="n">
        <x:v>96</x:v>
      </x:c>
      <x:c r="H497" s="48" t="str">
        <x:v>1室0厅1</x:v>
      </x:c>
      <x:c r="I497" s="48" t="str">
        <x:v>南</x:v>
      </x:c>
      <x:c r="J497" s="48" t="str">
        <x:v>待核</x:v>
      </x:c>
      <x:c r="K497" s="48" t="str">
        <x:v>普通住宅</x:v>
      </x:c>
      <x:c r="L497" s="48" t="str">
        <x:v>是</x:v>
      </x:c>
      <x:c r="M497" s="48" t="str">
        <x:v>保留</x:v>
      </x:c>
      <x:c r="N497" s="48" t="str">
        <x:v>西湖小区|1室0厅1|30|2880|南</x:v>
      </x:c>
      <x:c r="O497" s="48"/>
      <x:c r="P497" s="48" t="str">
        <x:v>未知（未逐条补齐）</x:v>
      </x:c>
      <x:c r="Q497" s="48" t="str">
        <x:v>https://shenzhen.leyoujia.com/zf/detail/L7L3Y2rk1KKtZNUhoknFVu.html</x:v>
      </x:c>
      <x:c r="R497" s="48" t="str">
        <x:v>2026-08-13</x:v>
      </x:c>
    </x:row>
    <x:row r="498">
      <x:c r="A498" s="48" t="str">
        <x:v>西湖小区</x:v>
      </x:c>
      <x:c r="B498" s="48" t="str">
        <x:v>西湖小区</x:v>
      </x:c>
      <x:c r="C498" s="48" t="str">
        <x:v>红岭</x:v>
      </x:c>
      <x:c r="D498" s="56" t="n">
        <x:v>15.9</x:v>
      </x:c>
      <x:c r="E498" s="61" t="n">
        <x:v>3000</x:v>
      </x:c>
      <x:c r="F498" s="61" t="n">
        <x:v>50</x:v>
      </x:c>
      <x:c r="G498" s="61" t="n">
        <x:v>60</x:v>
      </x:c>
      <x:c r="H498" s="48" t="str">
        <x:v>1室1厅1</x:v>
      </x:c>
      <x:c r="I498" s="48" t="str">
        <x:v>南北</x:v>
      </x:c>
      <x:c r="J498" s="48" t="str">
        <x:v>精装</x:v>
      </x:c>
      <x:c r="K498" s="48" t="str">
        <x:v>普通住宅</x:v>
      </x:c>
      <x:c r="L498" s="48" t="str">
        <x:v>否</x:v>
      </x:c>
      <x:c r="M498" s="48" t="str">
        <x:v>异常低价待核；异常高价</x:v>
      </x:c>
      <x:c r="N498" s="48" t="str">
        <x:v>西湖小区|1室1厅1|50|3000|南北</x:v>
      </x:c>
      <x:c r="O498" s="48"/>
      <x:c r="P498" s="48" t="str">
        <x:v>未知（未逐条补齐）</x:v>
      </x:c>
      <x:c r="Q498" s="48" t="str">
        <x:v>https://shenzhen.leyoujia.com/zf/detail/4ETM73tj36Mx4RWrEFDUkR.html</x:v>
      </x:c>
      <x:c r="R498" s="48" t="str">
        <x:v>2026-08-13</x:v>
      </x:c>
    </x:row>
    <x:row r="499">
      <x:c r="A499" s="48" t="str">
        <x:v>金园花园</x:v>
      </x:c>
      <x:c r="B499" s="48" t="str">
        <x:v>金园花园</x:v>
      </x:c>
      <x:c r="C499" s="48" t="str">
        <x:v>红岭</x:v>
      </x:c>
      <x:c r="D499" s="56" t="n">
        <x:v>15</x:v>
      </x:c>
      <x:c r="E499" s="61" t="n">
        <x:v>3500</x:v>
      </x:c>
      <x:c r="F499" s="61" t="n">
        <x:v>33</x:v>
      </x:c>
      <x:c r="G499" s="61" t="n">
        <x:v>106.1</x:v>
      </x:c>
      <x:c r="H499" s="48" t="str">
        <x:v>1室1厅1</x:v>
      </x:c>
      <x:c r="I499" s="48" t="str">
        <x:v>西</x:v>
      </x:c>
      <x:c r="J499" s="48" t="str">
        <x:v>普装</x:v>
      </x:c>
      <x:c r="K499" s="48" t="str">
        <x:v>普通住宅</x:v>
      </x:c>
      <x:c r="L499" s="48" t="str">
        <x:v>是</x:v>
      </x:c>
      <x:c r="M499" s="48" t="str">
        <x:v>保留</x:v>
      </x:c>
      <x:c r="N499" s="48" t="str">
        <x:v>金园花园|1室1厅1|33|3500|西</x:v>
      </x:c>
      <x:c r="O499" s="48"/>
      <x:c r="P499" s="48" t="str">
        <x:v>未知（未逐条补齐）</x:v>
      </x:c>
      <x:c r="Q499" s="48" t="str">
        <x:v>https://shenzhen.leyoujia.com/zf/detail/FLNrVTzeScuZStEpjKypm2.html</x:v>
      </x:c>
      <x:c r="R499" s="48" t="str">
        <x:v>2026-08-13</x:v>
      </x:c>
    </x:row>
    <x:row r="500">
      <x:c r="A500" s="48" t="str">
        <x:v>金园花园</x:v>
      </x:c>
      <x:c r="B500" s="48" t="str">
        <x:v>金园花园</x:v>
      </x:c>
      <x:c r="C500" s="48" t="str">
        <x:v>红岭</x:v>
      </x:c>
      <x:c r="D500" s="56" t="n">
        <x:v>15</x:v>
      </x:c>
      <x:c r="E500" s="61" t="n">
        <x:v>3500</x:v>
      </x:c>
      <x:c r="F500" s="61" t="n">
        <x:v>37</x:v>
      </x:c>
      <x:c r="G500" s="61" t="n">
        <x:v>94.6</x:v>
      </x:c>
      <x:c r="H500" s="48" t="str">
        <x:v>1室1厅1</x:v>
      </x:c>
      <x:c r="I500" s="48" t="str">
        <x:v>北</x:v>
      </x:c>
      <x:c r="J500" s="48" t="str">
        <x:v>精装</x:v>
      </x:c>
      <x:c r="K500" s="48" t="str">
        <x:v>普通住宅</x:v>
      </x:c>
      <x:c r="L500" s="48" t="str">
        <x:v>是</x:v>
      </x:c>
      <x:c r="M500" s="48" t="str">
        <x:v>保留</x:v>
      </x:c>
      <x:c r="N500" s="48" t="str">
        <x:v>金园花园|1室1厅1|37|3500|北</x:v>
      </x:c>
      <x:c r="O500" s="48"/>
      <x:c r="P500" s="48" t="str">
        <x:v>未知（未逐条补齐）</x:v>
      </x:c>
      <x:c r="Q500" s="48" t="str">
        <x:v>https://shenzhen.leyoujia.com/zf/detail/CpgfZyGTgncoWf2gSsSHjG.html</x:v>
      </x:c>
      <x:c r="R500" s="48" t="str">
        <x:v>2026-08-13</x:v>
      </x:c>
    </x:row>
    <x:row r="501">
      <x:c r="A501" s="48" t="str">
        <x:v>鹏盛村</x:v>
      </x:c>
      <x:c r="B501" s="48" t="str">
        <x:v>鹏盛村</x:v>
      </x:c>
      <x:c r="C501" s="48" t="str">
        <x:v>红岭</x:v>
      </x:c>
      <x:c r="D501" s="56" t="n">
        <x:v>15.3</x:v>
      </x:c>
      <x:c r="E501" s="61" t="n">
        <x:v>2400</x:v>
      </x:c>
      <x:c r="F501" s="61" t="n">
        <x:v>31.48</x:v>
      </x:c>
      <x:c r="G501" s="61" t="n">
        <x:v>76.2</x:v>
      </x:c>
      <x:c r="H501" s="48" t="str">
        <x:v>1室0厅1</x:v>
      </x:c>
      <x:c r="I501" s="48" t="str">
        <x:v>南</x:v>
      </x:c>
      <x:c r="J501" s="48" t="str">
        <x:v>普装</x:v>
      </x:c>
      <x:c r="K501" s="48" t="str">
        <x:v>普通住宅</x:v>
      </x:c>
      <x:c r="L501" s="48" t="str">
        <x:v>是</x:v>
      </x:c>
      <x:c r="M501" s="48" t="str">
        <x:v>保留</x:v>
      </x:c>
      <x:c r="N501" s="48" t="str">
        <x:v>鹏盛村|1室0厅1|31|2400|南</x:v>
      </x:c>
      <x:c r="O501" s="48"/>
      <x:c r="P501" s="48" t="str">
        <x:v>未知（未逐条补齐）</x:v>
      </x:c>
      <x:c r="Q501" s="48" t="str">
        <x:v>https://shenzhen.leyoujia.com/zf/detail/4BRaY4mduLqXBftQ41LoAZ.html</x:v>
      </x:c>
      <x:c r="R501" s="48" t="str">
        <x:v>2026-08-13</x:v>
      </x:c>
    </x:row>
    <x:row r="502">
      <x:c r="A502" s="48" t="str">
        <x:v>鹏盛村</x:v>
      </x:c>
      <x:c r="B502" s="48" t="str">
        <x:v>鹏盛村</x:v>
      </x:c>
      <x:c r="C502" s="48" t="str">
        <x:v>红岭</x:v>
      </x:c>
      <x:c r="D502" s="56" t="n">
        <x:v>15.3</x:v>
      </x:c>
      <x:c r="E502" s="61" t="n">
        <x:v>2500</x:v>
      </x:c>
      <x:c r="F502" s="61" t="n">
        <x:v>31.48</x:v>
      </x:c>
      <x:c r="G502" s="61" t="n">
        <x:v>79.4</x:v>
      </x:c>
      <x:c r="H502" s="48" t="str">
        <x:v>1室0厅1</x:v>
      </x:c>
      <x:c r="I502" s="48" t="str">
        <x:v>南</x:v>
      </x:c>
      <x:c r="J502" s="48" t="str">
        <x:v>精装</x:v>
      </x:c>
      <x:c r="K502" s="48" t="str">
        <x:v>普通住宅</x:v>
      </x:c>
      <x:c r="L502" s="48" t="str">
        <x:v>是</x:v>
      </x:c>
      <x:c r="M502" s="48" t="str">
        <x:v>保留</x:v>
      </x:c>
      <x:c r="N502" s="48" t="str">
        <x:v>鹏盛村|1室0厅1|31|2500|南</x:v>
      </x:c>
      <x:c r="O502" s="48"/>
      <x:c r="P502" s="48" t="str">
        <x:v>未知（未逐条补齐）</x:v>
      </x:c>
      <x:c r="Q502" s="48" t="str">
        <x:v>https://shenzhen.leyoujia.com/zf/detail/MDtiUheQrdj4tyfbafp1v1.html</x:v>
      </x:c>
      <x:c r="R502" s="48" t="str">
        <x:v>2026-08-13</x:v>
      </x:c>
    </x:row>
    <x:row r="503">
      <x:c r="A503" s="48" t="str">
        <x:v>鹏盛村</x:v>
      </x:c>
      <x:c r="B503" s="48" t="str">
        <x:v>鹏盛村</x:v>
      </x:c>
      <x:c r="C503" s="48" t="str">
        <x:v>红岭</x:v>
      </x:c>
      <x:c r="D503" s="56" t="n">
        <x:v>15.3</x:v>
      </x:c>
      <x:c r="E503" s="61" t="n">
        <x:v>2500</x:v>
      </x:c>
      <x:c r="F503" s="61" t="n">
        <x:v>31.48</x:v>
      </x:c>
      <x:c r="G503" s="61" t="n">
        <x:v>79.4</x:v>
      </x:c>
      <x:c r="H503" s="48" t="str">
        <x:v>1室0厅1</x:v>
      </x:c>
      <x:c r="I503" s="48" t="str">
        <x:v>南</x:v>
      </x:c>
      <x:c r="J503" s="48" t="str">
        <x:v>精装</x:v>
      </x:c>
      <x:c r="K503" s="48" t="str">
        <x:v>普通住宅</x:v>
      </x:c>
      <x:c r="L503" s="48" t="str">
        <x:v>否</x:v>
      </x:c>
      <x:c r="M503" s="48" t="str">
        <x:v>疑似重复挂牌</x:v>
      </x:c>
      <x:c r="N503" s="48" t="str">
        <x:v>鹏盛村|1室0厅1|31|2500|南</x:v>
      </x:c>
      <x:c r="O503" s="48"/>
      <x:c r="P503" s="48" t="str">
        <x:v>未知（未逐条补齐）</x:v>
      </x:c>
      <x:c r="Q503" s="48" t="str">
        <x:v>https://shenzhen.leyoujia.com/zf/detail/9WZjd7NEowBLCzULaLETq8.html</x:v>
      </x:c>
      <x:c r="R503" s="48" t="str">
        <x:v>2026-08-13</x:v>
      </x:c>
    </x:row>
    <x:row r="504">
      <x:c r="A504" s="48" t="str">
        <x:v>鹏盛村</x:v>
      </x:c>
      <x:c r="B504" s="48" t="str">
        <x:v>鹏盛村</x:v>
      </x:c>
      <x:c r="C504" s="48" t="str">
        <x:v>红岭</x:v>
      </x:c>
      <x:c r="D504" s="56" t="n">
        <x:v>15.3</x:v>
      </x:c>
      <x:c r="E504" s="61" t="n">
        <x:v>2600</x:v>
      </x:c>
      <x:c r="F504" s="61" t="n">
        <x:v>31.48</x:v>
      </x:c>
      <x:c r="G504" s="61" t="n">
        <x:v>82.6</x:v>
      </x:c>
      <x:c r="H504" s="48" t="str">
        <x:v>1室0厅1</x:v>
      </x:c>
      <x:c r="I504" s="48" t="str">
        <x:v>北</x:v>
      </x:c>
      <x:c r="J504" s="48" t="str">
        <x:v>普装</x:v>
      </x:c>
      <x:c r="K504" s="48" t="str">
        <x:v>普通住宅</x:v>
      </x:c>
      <x:c r="L504" s="48" t="str">
        <x:v>是</x:v>
      </x:c>
      <x:c r="M504" s="48" t="str">
        <x:v>保留</x:v>
      </x:c>
      <x:c r="N504" s="48" t="str">
        <x:v>鹏盛村|1室0厅1|31|2600|北</x:v>
      </x:c>
      <x:c r="O504" s="48"/>
      <x:c r="P504" s="48" t="str">
        <x:v>未知（未逐条补齐）</x:v>
      </x:c>
      <x:c r="Q504" s="48" t="str">
        <x:v>https://shenzhen.leyoujia.com/zf/detail/2RnxVQEv7LcXctWNYoQFHe.html</x:v>
      </x:c>
      <x:c r="R504" s="48" t="str">
        <x:v>2026-08-13</x:v>
      </x:c>
    </x:row>
    <x:row r="505">
      <x:c r="A505" s="48" t="str">
        <x:v>鹏盛村</x:v>
      </x:c>
      <x:c r="B505" s="48" t="str">
        <x:v>鹏盛村</x:v>
      </x:c>
      <x:c r="C505" s="48" t="str">
        <x:v>红岭</x:v>
      </x:c>
      <x:c r="D505" s="56" t="n">
        <x:v>15.3</x:v>
      </x:c>
      <x:c r="E505" s="61" t="n">
        <x:v>2600</x:v>
      </x:c>
      <x:c r="F505" s="61" t="n">
        <x:v>31.48</x:v>
      </x:c>
      <x:c r="G505" s="61" t="n">
        <x:v>82.6</x:v>
      </x:c>
      <x:c r="H505" s="48" t="str">
        <x:v>1室0厅1</x:v>
      </x:c>
      <x:c r="I505" s="48" t="str">
        <x:v>南</x:v>
      </x:c>
      <x:c r="J505" s="48" t="str">
        <x:v>普装</x:v>
      </x:c>
      <x:c r="K505" s="48" t="str">
        <x:v>普通住宅</x:v>
      </x:c>
      <x:c r="L505" s="48" t="str">
        <x:v>是</x:v>
      </x:c>
      <x:c r="M505" s="48" t="str">
        <x:v>保留</x:v>
      </x:c>
      <x:c r="N505" s="48" t="str">
        <x:v>鹏盛村|1室0厅1|31|2600|南</x:v>
      </x:c>
      <x:c r="O505" s="48"/>
      <x:c r="P505" s="48" t="str">
        <x:v>未知（未逐条补齐）</x:v>
      </x:c>
      <x:c r="Q505" s="48" t="str">
        <x:v>https://shenzhen.leyoujia.com/zf/detail/GooLrofbFEVHiKeCyYni5N.html</x:v>
      </x:c>
      <x:c r="R505" s="48" t="str">
        <x:v>2026-08-13</x:v>
      </x:c>
    </x:row>
    <x:row r="506">
      <x:c r="A506" s="48" t="str">
        <x:v>鹏盛村</x:v>
      </x:c>
      <x:c r="B506" s="48" t="str">
        <x:v>鹏盛村</x:v>
      </x:c>
      <x:c r="C506" s="48" t="str">
        <x:v>红岭</x:v>
      </x:c>
      <x:c r="D506" s="56" t="n">
        <x:v>15.3</x:v>
      </x:c>
      <x:c r="E506" s="61" t="n">
        <x:v>2600</x:v>
      </x:c>
      <x:c r="F506" s="61" t="n">
        <x:v>31.48</x:v>
      </x:c>
      <x:c r="G506" s="61" t="n">
        <x:v>82.6</x:v>
      </x:c>
      <x:c r="H506" s="48" t="str">
        <x:v>1室0厅1</x:v>
      </x:c>
      <x:c r="I506" s="48" t="str">
        <x:v>北</x:v>
      </x:c>
      <x:c r="J506" s="48" t="str">
        <x:v>普装</x:v>
      </x:c>
      <x:c r="K506" s="48" t="str">
        <x:v>普通住宅</x:v>
      </x:c>
      <x:c r="L506" s="48" t="str">
        <x:v>否</x:v>
      </x:c>
      <x:c r="M506" s="48" t="str">
        <x:v>疑似重复挂牌</x:v>
      </x:c>
      <x:c r="N506" s="48" t="str">
        <x:v>鹏盛村|1室0厅1|31|2600|北</x:v>
      </x:c>
      <x:c r="O506" s="48"/>
      <x:c r="P506" s="48" t="str">
        <x:v>未知（未逐条补齐）</x:v>
      </x:c>
      <x:c r="Q506" s="48" t="str">
        <x:v>https://shenzhen.leyoujia.com/zf/detail/CwpFX5YYXu49Xtr6M8DViy.html</x:v>
      </x:c>
      <x:c r="R506" s="48" t="str">
        <x:v>2026-08-13</x:v>
      </x:c>
    </x:row>
    <x:row r="507">
      <x:c r="A507" s="48" t="str">
        <x:v>鹏盛村</x:v>
      </x:c>
      <x:c r="B507" s="48" t="str">
        <x:v>鹏盛村</x:v>
      </x:c>
      <x:c r="C507" s="48" t="str">
        <x:v>红岭</x:v>
      </x:c>
      <x:c r="D507" s="56" t="n">
        <x:v>15.3</x:v>
      </x:c>
      <x:c r="E507" s="61" t="n">
        <x:v>2700</x:v>
      </x:c>
      <x:c r="F507" s="61" t="n">
        <x:v>31.48</x:v>
      </x:c>
      <x:c r="G507" s="61" t="n">
        <x:v>85.8</x:v>
      </x:c>
      <x:c r="H507" s="48" t="str">
        <x:v>1室0厅1</x:v>
      </x:c>
      <x:c r="I507" s="48" t="str">
        <x:v>北</x:v>
      </x:c>
      <x:c r="J507" s="48" t="str">
        <x:v>普装</x:v>
      </x:c>
      <x:c r="K507" s="48" t="str">
        <x:v>普通住宅</x:v>
      </x:c>
      <x:c r="L507" s="48" t="str">
        <x:v>是</x:v>
      </x:c>
      <x:c r="M507" s="48" t="str">
        <x:v>保留</x:v>
      </x:c>
      <x:c r="N507" s="48" t="str">
        <x:v>鹏盛村|1室0厅1|31|2700|北</x:v>
      </x:c>
      <x:c r="O507" s="48"/>
      <x:c r="P507" s="48" t="str">
        <x:v>未知（未逐条补齐）</x:v>
      </x:c>
      <x:c r="Q507" s="48" t="str">
        <x:v>https://shenzhen.leyoujia.com/zf/detail/4dBKZGkrCruSfwTYTU1LEU.html</x:v>
      </x:c>
      <x:c r="R507" s="48" t="str">
        <x:v>2026-08-13</x:v>
      </x:c>
    </x:row>
    <x:row r="508">
      <x:c r="A508" s="48" t="str">
        <x:v>鹏盛村</x:v>
      </x:c>
      <x:c r="B508" s="48" t="str">
        <x:v>鹏盛村</x:v>
      </x:c>
      <x:c r="C508" s="48" t="str">
        <x:v>红岭</x:v>
      </x:c>
      <x:c r="D508" s="56" t="n">
        <x:v>15.3</x:v>
      </x:c>
      <x:c r="E508" s="61" t="n">
        <x:v>2800</x:v>
      </x:c>
      <x:c r="F508" s="61" t="n">
        <x:v>31.48</x:v>
      </x:c>
      <x:c r="G508" s="61" t="n">
        <x:v>88.9</x:v>
      </x:c>
      <x:c r="H508" s="48" t="str">
        <x:v>1室0厅1</x:v>
      </x:c>
      <x:c r="I508" s="48" t="str">
        <x:v>南</x:v>
      </x:c>
      <x:c r="J508" s="48" t="str">
        <x:v>普装</x:v>
      </x:c>
      <x:c r="K508" s="48" t="str">
        <x:v>普通住宅</x:v>
      </x:c>
      <x:c r="L508" s="48" t="str">
        <x:v>是</x:v>
      </x:c>
      <x:c r="M508" s="48" t="str">
        <x:v>保留</x:v>
      </x:c>
      <x:c r="N508" s="48" t="str">
        <x:v>鹏盛村|1室0厅1|31|2800|南</x:v>
      </x:c>
      <x:c r="O508" s="48"/>
      <x:c r="P508" s="48" t="str">
        <x:v>未知（未逐条补齐）</x:v>
      </x:c>
      <x:c r="Q508" s="48" t="str">
        <x:v>https://shenzhen.leyoujia.com/zf/detail/L8keFAvZ3WF6Pb8WwXNFxu.html</x:v>
      </x:c>
      <x:c r="R508" s="48" t="str">
        <x:v>2026-08-13</x:v>
      </x:c>
    </x:row>
    <x:row r="509">
      <x:c r="A509" s="48" t="str">
        <x:v>鹏盛村</x:v>
      </x:c>
      <x:c r="B509" s="48" t="str">
        <x:v>鹏盛村</x:v>
      </x:c>
      <x:c r="C509" s="48" t="str">
        <x:v>红岭</x:v>
      </x:c>
      <x:c r="D509" s="56" t="n">
        <x:v>15.3</x:v>
      </x:c>
      <x:c r="E509" s="61" t="n">
        <x:v>2800</x:v>
      </x:c>
      <x:c r="F509" s="61" t="n">
        <x:v>31.48</x:v>
      </x:c>
      <x:c r="G509" s="61" t="n">
        <x:v>88.9</x:v>
      </x:c>
      <x:c r="H509" s="48" t="str">
        <x:v>1室1厅1</x:v>
      </x:c>
      <x:c r="I509" s="48" t="str">
        <x:v>南</x:v>
      </x:c>
      <x:c r="J509" s="48" t="str">
        <x:v>普装</x:v>
      </x:c>
      <x:c r="K509" s="48" t="str">
        <x:v>普通住宅</x:v>
      </x:c>
      <x:c r="L509" s="48" t="str">
        <x:v>是</x:v>
      </x:c>
      <x:c r="M509" s="48" t="str">
        <x:v>保留</x:v>
      </x:c>
      <x:c r="N509" s="48" t="str">
        <x:v>鹏盛村|1室1厅1|31|2800|南</x:v>
      </x:c>
      <x:c r="O509" s="48"/>
      <x:c r="P509" s="48" t="str">
        <x:v>未知（未逐条补齐）</x:v>
      </x:c>
      <x:c r="Q509" s="48" t="str">
        <x:v>https://shenzhen.leyoujia.com/zf/detail/Sht8WzsGNnGDQPRZwR81Cc.html</x:v>
      </x:c>
      <x:c r="R509" s="48" t="str">
        <x:v>2026-08-13</x:v>
      </x:c>
    </x:row>
    <x:row r="510">
      <x:c r="A510" s="48" t="str">
        <x:v>鹏盛村</x:v>
      </x:c>
      <x:c r="B510" s="48" t="str">
        <x:v>鹏盛村</x:v>
      </x:c>
      <x:c r="C510" s="48" t="str">
        <x:v>红岭</x:v>
      </x:c>
      <x:c r="D510" s="56" t="n">
        <x:v>15.3</x:v>
      </x:c>
      <x:c r="E510" s="61" t="n">
        <x:v>2800</x:v>
      </x:c>
      <x:c r="F510" s="61" t="n">
        <x:v>38.82</x:v>
      </x:c>
      <x:c r="G510" s="61" t="n">
        <x:v>72.1</x:v>
      </x:c>
      <x:c r="H510" s="48" t="str">
        <x:v>1室0厅1</x:v>
      </x:c>
      <x:c r="I510" s="48" t="str">
        <x:v>北</x:v>
      </x:c>
      <x:c r="J510" s="48" t="str">
        <x:v>普装</x:v>
      </x:c>
      <x:c r="K510" s="48" t="str">
        <x:v>普通住宅</x:v>
      </x:c>
      <x:c r="L510" s="48" t="str">
        <x:v>是</x:v>
      </x:c>
      <x:c r="M510" s="48" t="str">
        <x:v>保留</x:v>
      </x:c>
      <x:c r="N510" s="48" t="str">
        <x:v>鹏盛村|1室0厅1|39|2800|北</x:v>
      </x:c>
      <x:c r="O510" s="48"/>
      <x:c r="P510" s="48" t="str">
        <x:v>未知（未逐条补齐）</x:v>
      </x:c>
      <x:c r="Q510" s="48" t="str">
        <x:v>https://shenzhen.leyoujia.com/zf/detail/9CiUqPdLFR667G6xGjXSNu.html</x:v>
      </x:c>
      <x:c r="R510" s="48" t="str">
        <x:v>2026-08-13</x:v>
      </x:c>
    </x:row>
    <x:row r="511">
      <x:c r="A511" s="48" t="str">
        <x:v>鹏盛村</x:v>
      </x:c>
      <x:c r="B511" s="48" t="str">
        <x:v>鹏盛村</x:v>
      </x:c>
      <x:c r="C511" s="48" t="str">
        <x:v>红岭</x:v>
      </x:c>
      <x:c r="D511" s="56" t="n">
        <x:v>15.3</x:v>
      </x:c>
      <x:c r="E511" s="61" t="n">
        <x:v>2900</x:v>
      </x:c>
      <x:c r="F511" s="61" t="n">
        <x:v>38.82</x:v>
      </x:c>
      <x:c r="G511" s="61" t="n">
        <x:v>74.7</x:v>
      </x:c>
      <x:c r="H511" s="48" t="str">
        <x:v>1室0厅1</x:v>
      </x:c>
      <x:c r="I511" s="48" t="str">
        <x:v>西北</x:v>
      </x:c>
      <x:c r="J511" s="48" t="str">
        <x:v>普装</x:v>
      </x:c>
      <x:c r="K511" s="48" t="str">
        <x:v>普通住宅</x:v>
      </x:c>
      <x:c r="L511" s="48" t="str">
        <x:v>是</x:v>
      </x:c>
      <x:c r="M511" s="48" t="str">
        <x:v>保留</x:v>
      </x:c>
      <x:c r="N511" s="48" t="str">
        <x:v>鹏盛村|1室0厅1|39|2900|西北</x:v>
      </x:c>
      <x:c r="O511" s="48"/>
      <x:c r="P511" s="48" t="str">
        <x:v>未知（未逐条补齐）</x:v>
      </x:c>
      <x:c r="Q511" s="48" t="str">
        <x:v>https://shenzhen.leyoujia.com/zf/detail/S9bGn2RHwawJeaTkxfhMvp.html</x:v>
      </x:c>
      <x:c r="R511" s="48" t="str">
        <x:v>2026-08-13</x:v>
      </x:c>
    </x:row>
    <x:row r="512">
      <x:c r="A512" s="48" t="str">
        <x:v>鹏盛村</x:v>
      </x:c>
      <x:c r="B512" s="48" t="str">
        <x:v>鹏盛村</x:v>
      </x:c>
      <x:c r="C512" s="48" t="str">
        <x:v>红岭</x:v>
      </x:c>
      <x:c r="D512" s="56" t="n">
        <x:v>15.3</x:v>
      </x:c>
      <x:c r="E512" s="61" t="n">
        <x:v>2900</x:v>
      </x:c>
      <x:c r="F512" s="61" t="n">
        <x:v>41.81</x:v>
      </x:c>
      <x:c r="G512" s="61" t="n">
        <x:v>69.4</x:v>
      </x:c>
      <x:c r="H512" s="48" t="str">
        <x:v>1室1厅1</x:v>
      </x:c>
      <x:c r="I512" s="48" t="str">
        <x:v>东北</x:v>
      </x:c>
      <x:c r="J512" s="48" t="str">
        <x:v>精装</x:v>
      </x:c>
      <x:c r="K512" s="48" t="str">
        <x:v>普通住宅</x:v>
      </x:c>
      <x:c r="L512" s="48" t="str">
        <x:v>是</x:v>
      </x:c>
      <x:c r="M512" s="48" t="str">
        <x:v>保留</x:v>
      </x:c>
      <x:c r="N512" s="48" t="str">
        <x:v>鹏盛村|1室1厅1|42|2900|东北</x:v>
      </x:c>
      <x:c r="O512" s="48"/>
      <x:c r="P512" s="48" t="str">
        <x:v>未知（未逐条补齐）</x:v>
      </x:c>
      <x:c r="Q512" s="48" t="str">
        <x:v>https://shenzhen.leyoujia.com/zf/detail/4V6Z8Uk67AU1SwWoEXVZUc.html</x:v>
      </x:c>
      <x:c r="R512" s="48" t="str">
        <x:v>2026-08-13</x:v>
      </x:c>
    </x:row>
    <x:row r="513">
      <x:c r="A513" s="48" t="str">
        <x:v>鹏盛村</x:v>
      </x:c>
      <x:c r="B513" s="48" t="str">
        <x:v>鹏盛村</x:v>
      </x:c>
      <x:c r="C513" s="48" t="str">
        <x:v>红岭</x:v>
      </x:c>
      <x:c r="D513" s="56" t="n">
        <x:v>15.3</x:v>
      </x:c>
      <x:c r="E513" s="61" t="n">
        <x:v>2900</x:v>
      </x:c>
      <x:c r="F513" s="61" t="n">
        <x:v>38.82</x:v>
      </x:c>
      <x:c r="G513" s="61" t="n">
        <x:v>74.7</x:v>
      </x:c>
      <x:c r="H513" s="48" t="str">
        <x:v>1室0厅1</x:v>
      </x:c>
      <x:c r="I513" s="48" t="str">
        <x:v>西北</x:v>
      </x:c>
      <x:c r="J513" s="48" t="str">
        <x:v>普装</x:v>
      </x:c>
      <x:c r="K513" s="48" t="str">
        <x:v>普通住宅</x:v>
      </x:c>
      <x:c r="L513" s="48" t="str">
        <x:v>否</x:v>
      </x:c>
      <x:c r="M513" s="48" t="str">
        <x:v>疑似重复挂牌</x:v>
      </x:c>
      <x:c r="N513" s="48" t="str">
        <x:v>鹏盛村|1室0厅1|39|2900|西北</x:v>
      </x:c>
      <x:c r="O513" s="48"/>
      <x:c r="P513" s="48" t="str">
        <x:v>未知（未逐条补齐）</x:v>
      </x:c>
      <x:c r="Q513" s="48" t="str">
        <x:v>https://shenzhen.leyoujia.com/zf/detail/Y5M77MMsRsbXS8mUo4DpZw.html</x:v>
      </x:c>
      <x:c r="R513" s="48" t="str">
        <x:v>2026-08-13</x:v>
      </x:c>
    </x:row>
    <x:row r="514">
      <x:c r="A514" s="48" t="str">
        <x:v>鹏盛村</x:v>
      </x:c>
      <x:c r="B514" s="48" t="str">
        <x:v>鹏盛村</x:v>
      </x:c>
      <x:c r="C514" s="48" t="str">
        <x:v>红岭</x:v>
      </x:c>
      <x:c r="D514" s="56" t="n">
        <x:v>15.3</x:v>
      </x:c>
      <x:c r="E514" s="61" t="n">
        <x:v>2900</x:v>
      </x:c>
      <x:c r="F514" s="61" t="n">
        <x:v>38.82</x:v>
      </x:c>
      <x:c r="G514" s="61" t="n">
        <x:v>74.7</x:v>
      </x:c>
      <x:c r="H514" s="48" t="str">
        <x:v>1室0厅1</x:v>
      </x:c>
      <x:c r="I514" s="48" t="str">
        <x:v>西北</x:v>
      </x:c>
      <x:c r="J514" s="48" t="str">
        <x:v>精装</x:v>
      </x:c>
      <x:c r="K514" s="48" t="str">
        <x:v>普通住宅</x:v>
      </x:c>
      <x:c r="L514" s="48" t="str">
        <x:v>否</x:v>
      </x:c>
      <x:c r="M514" s="48" t="str">
        <x:v>疑似重复挂牌</x:v>
      </x:c>
      <x:c r="N514" s="48" t="str">
        <x:v>鹏盛村|1室0厅1|39|2900|西北</x:v>
      </x:c>
      <x:c r="O514" s="48"/>
      <x:c r="P514" s="48" t="str">
        <x:v>未知（未逐条补齐）</x:v>
      </x:c>
      <x:c r="Q514" s="48" t="str">
        <x:v>https://shenzhen.leyoujia.com/zf/detail/4FwwNGkgwwCy8LGWxxf5sq.html</x:v>
      </x:c>
      <x:c r="R514" s="48" t="str">
        <x:v>2026-08-13</x:v>
      </x:c>
    </x:row>
    <x:row r="515">
      <x:c r="A515" s="48" t="str">
        <x:v>鹏盛村</x:v>
      </x:c>
      <x:c r="B515" s="48" t="str">
        <x:v>鹏盛村</x:v>
      </x:c>
      <x:c r="C515" s="48" t="str">
        <x:v>红岭</x:v>
      </x:c>
      <x:c r="D515" s="56" t="n">
        <x:v>15.3</x:v>
      </x:c>
      <x:c r="E515" s="61" t="n">
        <x:v>3000</x:v>
      </x:c>
      <x:c r="F515" s="61" t="n">
        <x:v>37.48</x:v>
      </x:c>
      <x:c r="G515" s="61" t="n">
        <x:v>80</x:v>
      </x:c>
      <x:c r="H515" s="48" t="str">
        <x:v>1室0厅1</x:v>
      </x:c>
      <x:c r="I515" s="48" t="str">
        <x:v>东南</x:v>
      </x:c>
      <x:c r="J515" s="48" t="str">
        <x:v>精装</x:v>
      </x:c>
      <x:c r="K515" s="48" t="str">
        <x:v>普通住宅</x:v>
      </x:c>
      <x:c r="L515" s="48" t="str">
        <x:v>是</x:v>
      </x:c>
      <x:c r="M515" s="48" t="str">
        <x:v>保留</x:v>
      </x:c>
      <x:c r="N515" s="48" t="str">
        <x:v>鹏盛村|1室0厅1|37|3000|东南</x:v>
      </x:c>
      <x:c r="O515" s="48"/>
      <x:c r="P515" s="48" t="str">
        <x:v>未知（未逐条补齐）</x:v>
      </x:c>
      <x:c r="Q515" s="48" t="str">
        <x:v>https://shenzhen.leyoujia.com/zf/detail/Qd9oC1TsJcZ5mHGVtYJivA.html</x:v>
      </x:c>
      <x:c r="R515" s="48" t="str">
        <x:v>2026-08-13</x:v>
      </x:c>
    </x:row>
    <x:row r="516">
      <x:c r="A516" s="48" t="str">
        <x:v>鹏盛村</x:v>
      </x:c>
      <x:c r="B516" s="48" t="str">
        <x:v>鹏盛村</x:v>
      </x:c>
      <x:c r="C516" s="48" t="str">
        <x:v>红岭</x:v>
      </x:c>
      <x:c r="D516" s="56" t="n">
        <x:v>15.3</x:v>
      </x:c>
      <x:c r="E516" s="61" t="n">
        <x:v>3000</x:v>
      </x:c>
      <x:c r="F516" s="61" t="n">
        <x:v>41.81</x:v>
      </x:c>
      <x:c r="G516" s="61" t="n">
        <x:v>71.8</x:v>
      </x:c>
      <x:c r="H516" s="48" t="str">
        <x:v>1室0厅1</x:v>
      </x:c>
      <x:c r="I516" s="48" t="str">
        <x:v>西北</x:v>
      </x:c>
      <x:c r="J516" s="48" t="str">
        <x:v>精装</x:v>
      </x:c>
      <x:c r="K516" s="48" t="str">
        <x:v>普通住宅</x:v>
      </x:c>
      <x:c r="L516" s="48" t="str">
        <x:v>是</x:v>
      </x:c>
      <x:c r="M516" s="48" t="str">
        <x:v>保留</x:v>
      </x:c>
      <x:c r="N516" s="48" t="str">
        <x:v>鹏盛村|1室0厅1|42|3000|西北</x:v>
      </x:c>
      <x:c r="O516" s="48"/>
      <x:c r="P516" s="48" t="str">
        <x:v>未知（未逐条补齐）</x:v>
      </x:c>
      <x:c r="Q516" s="48" t="str">
        <x:v>https://shenzhen.leyoujia.com/zf/detail/24xr87kBjk2DiaFgScq2jA.html</x:v>
      </x:c>
      <x:c r="R516" s="48" t="str">
        <x:v>2026-08-13</x:v>
      </x:c>
    </x:row>
    <x:row r="517">
      <x:c r="A517" s="48" t="str">
        <x:v>鹏盛村</x:v>
      </x:c>
      <x:c r="B517" s="48" t="str">
        <x:v>鹏盛村</x:v>
      </x:c>
      <x:c r="C517" s="48" t="str">
        <x:v>红岭</x:v>
      </x:c>
      <x:c r="D517" s="56" t="n">
        <x:v>15.3</x:v>
      </x:c>
      <x:c r="E517" s="61" t="n">
        <x:v>3000</x:v>
      </x:c>
      <x:c r="F517" s="61" t="n">
        <x:v>38.82</x:v>
      </x:c>
      <x:c r="G517" s="61" t="n">
        <x:v>77.3</x:v>
      </x:c>
      <x:c r="H517" s="48" t="str">
        <x:v>1室0厅1</x:v>
      </x:c>
      <x:c r="I517" s="48" t="str">
        <x:v>西北</x:v>
      </x:c>
      <x:c r="J517" s="48" t="str">
        <x:v>精装</x:v>
      </x:c>
      <x:c r="K517" s="48" t="str">
        <x:v>普通住宅</x:v>
      </x:c>
      <x:c r="L517" s="48" t="str">
        <x:v>是</x:v>
      </x:c>
      <x:c r="M517" s="48" t="str">
        <x:v>保留</x:v>
      </x:c>
      <x:c r="N517" s="48" t="str">
        <x:v>鹏盛村|1室0厅1|39|3000|西北</x:v>
      </x:c>
      <x:c r="O517" s="48"/>
      <x:c r="P517" s="48" t="str">
        <x:v>未知（未逐条补齐）</x:v>
      </x:c>
      <x:c r="Q517" s="48" t="str">
        <x:v>https://shenzhen.leyoujia.com/zf/detail/KLD4f914HioEgrNQexTzNm.html</x:v>
      </x:c>
      <x:c r="R517" s="48" t="str">
        <x:v>2026-08-13</x:v>
      </x:c>
    </x:row>
    <x:row r="518">
      <x:c r="A518" s="48" t="str">
        <x:v>鹏盛村</x:v>
      </x:c>
      <x:c r="B518" s="48" t="str">
        <x:v>鹏盛村</x:v>
      </x:c>
      <x:c r="C518" s="48" t="str">
        <x:v>红岭</x:v>
      </x:c>
      <x:c r="D518" s="56" t="n">
        <x:v>15.3</x:v>
      </x:c>
      <x:c r="E518" s="61" t="n">
        <x:v>3100</x:v>
      </x:c>
      <x:c r="F518" s="61" t="n">
        <x:v>37.48</x:v>
      </x:c>
      <x:c r="G518" s="61" t="n">
        <x:v>82.7</x:v>
      </x:c>
      <x:c r="H518" s="48" t="str">
        <x:v>1室0厅1</x:v>
      </x:c>
      <x:c r="I518" s="48" t="str">
        <x:v>东南</x:v>
      </x:c>
      <x:c r="J518" s="48" t="str">
        <x:v>精装</x:v>
      </x:c>
      <x:c r="K518" s="48" t="str">
        <x:v>普通住宅</x:v>
      </x:c>
      <x:c r="L518" s="48" t="str">
        <x:v>是</x:v>
      </x:c>
      <x:c r="M518" s="48" t="str">
        <x:v>保留</x:v>
      </x:c>
      <x:c r="N518" s="48" t="str">
        <x:v>鹏盛村|1室0厅1|37|3100|东南</x:v>
      </x:c>
      <x:c r="O518" s="48"/>
      <x:c r="P518" s="48" t="str">
        <x:v>未知（未逐条补齐）</x:v>
      </x:c>
      <x:c r="Q518" s="48" t="str">
        <x:v>https://shenzhen.leyoujia.com/zf/detail/2nnjuEGMoogpFVi1YZdZ6y.html</x:v>
      </x:c>
      <x:c r="R518" s="48" t="str">
        <x:v>2026-08-13</x:v>
      </x:c>
    </x:row>
    <x:row r="519">
      <x:c r="A519" s="48" t="str">
        <x:v>鹏盛村</x:v>
      </x:c>
      <x:c r="B519" s="48" t="str">
        <x:v>鹏盛村</x:v>
      </x:c>
      <x:c r="C519" s="48" t="str">
        <x:v>红岭</x:v>
      </x:c>
      <x:c r="D519" s="56" t="n">
        <x:v>15.3</x:v>
      </x:c>
      <x:c r="E519" s="61" t="n">
        <x:v>3200</x:v>
      </x:c>
      <x:c r="F519" s="61" t="n">
        <x:v>38.82</x:v>
      </x:c>
      <x:c r="G519" s="61" t="n">
        <x:v>82.4</x:v>
      </x:c>
      <x:c r="H519" s="48" t="str">
        <x:v>1室0厅1</x:v>
      </x:c>
      <x:c r="I519" s="48" t="str">
        <x:v>东南</x:v>
      </x:c>
      <x:c r="J519" s="48" t="str">
        <x:v>普装</x:v>
      </x:c>
      <x:c r="K519" s="48" t="str">
        <x:v>普通住宅</x:v>
      </x:c>
      <x:c r="L519" s="48" t="str">
        <x:v>是</x:v>
      </x:c>
      <x:c r="M519" s="48" t="str">
        <x:v>保留</x:v>
      </x:c>
      <x:c r="N519" s="48" t="str">
        <x:v>鹏盛村|1室0厅1|39|3200|东南</x:v>
      </x:c>
      <x:c r="O519" s="48"/>
      <x:c r="P519" s="48" t="str">
        <x:v>未知（未逐条补齐）</x:v>
      </x:c>
      <x:c r="Q519" s="48" t="str">
        <x:v>https://shenzhen.leyoujia.com/zf/detail/UdAhuUTVrsUR9NEtJ57LN1.html</x:v>
      </x:c>
      <x:c r="R519" s="48" t="str">
        <x:v>2026-08-13</x:v>
      </x:c>
    </x:row>
    <x:row r="520">
      <x:c r="A520" s="48" t="str">
        <x:v>鹏盛村</x:v>
      </x:c>
      <x:c r="B520" s="48" t="str">
        <x:v>鹏盛村</x:v>
      </x:c>
      <x:c r="C520" s="48" t="str">
        <x:v>红岭</x:v>
      </x:c>
      <x:c r="D520" s="56" t="n">
        <x:v>15.3</x:v>
      </x:c>
      <x:c r="E520" s="61" t="n">
        <x:v>3200</x:v>
      </x:c>
      <x:c r="F520" s="61" t="n">
        <x:v>37.48</x:v>
      </x:c>
      <x:c r="G520" s="61" t="n">
        <x:v>85.4</x:v>
      </x:c>
      <x:c r="H520" s="48" t="str">
        <x:v>1室0厅1</x:v>
      </x:c>
      <x:c r="I520" s="48" t="str">
        <x:v>西南</x:v>
      </x:c>
      <x:c r="J520" s="48" t="str">
        <x:v>普装</x:v>
      </x:c>
      <x:c r="K520" s="48" t="str">
        <x:v>普通住宅</x:v>
      </x:c>
      <x:c r="L520" s="48" t="str">
        <x:v>是</x:v>
      </x:c>
      <x:c r="M520" s="48" t="str">
        <x:v>保留</x:v>
      </x:c>
      <x:c r="N520" s="48" t="str">
        <x:v>鹏盛村|1室0厅1|37|3200|西南</x:v>
      </x:c>
      <x:c r="O520" s="48"/>
      <x:c r="P520" s="48" t="str">
        <x:v>未知（未逐条补齐）</x:v>
      </x:c>
      <x:c r="Q520" s="48" t="str">
        <x:v>https://shenzhen.leyoujia.com/zf/detail/Gomx79nCWyFKxkbK6CcBw3.html</x:v>
      </x:c>
      <x:c r="R520" s="48" t="str">
        <x:v>2026-08-13</x:v>
      </x:c>
    </x:row>
    <x:row r="521">
      <x:c r="A521" s="48" t="str">
        <x:v>鹏盛村</x:v>
      </x:c>
      <x:c r="B521" s="48" t="str">
        <x:v>鹏盛村</x:v>
      </x:c>
      <x:c r="C521" s="48" t="str">
        <x:v>红岭</x:v>
      </x:c>
      <x:c r="D521" s="56" t="n">
        <x:v>15.3</x:v>
      </x:c>
      <x:c r="E521" s="61" t="n">
        <x:v>3200</x:v>
      </x:c>
      <x:c r="F521" s="61" t="n">
        <x:v>39.52</x:v>
      </x:c>
      <x:c r="G521" s="61" t="n">
        <x:v>81</x:v>
      </x:c>
      <x:c r="H521" s="48" t="str">
        <x:v>1室0厅1</x:v>
      </x:c>
      <x:c r="I521" s="48" t="str">
        <x:v>东南</x:v>
      </x:c>
      <x:c r="J521" s="48" t="str">
        <x:v>普装</x:v>
      </x:c>
      <x:c r="K521" s="48" t="str">
        <x:v>普通住宅</x:v>
      </x:c>
      <x:c r="L521" s="48" t="str">
        <x:v>是</x:v>
      </x:c>
      <x:c r="M521" s="48" t="str">
        <x:v>保留</x:v>
      </x:c>
      <x:c r="N521" s="48" t="str">
        <x:v>鹏盛村|1室0厅1|40|3200|东南</x:v>
      </x:c>
      <x:c r="O521" s="48"/>
      <x:c r="P521" s="48" t="str">
        <x:v>未知（未逐条补齐）</x:v>
      </x:c>
      <x:c r="Q521" s="48" t="str">
        <x:v>https://shenzhen.leyoujia.com/zf/detail/JJ5dBSuNUSxbyiwWnzYX9c.html</x:v>
      </x:c>
      <x:c r="R521" s="48" t="str">
        <x:v>2026-08-13</x:v>
      </x:c>
    </x:row>
    <x:row r="522">
      <x:c r="A522" s="48" t="str">
        <x:v>鹏盛村</x:v>
      </x:c>
      <x:c r="B522" s="48" t="str">
        <x:v>鹏盛村</x:v>
      </x:c>
      <x:c r="C522" s="48" t="str">
        <x:v>红岭</x:v>
      </x:c>
      <x:c r="D522" s="56" t="n">
        <x:v>15.3</x:v>
      </x:c>
      <x:c r="E522" s="61" t="n">
        <x:v>3200</x:v>
      </x:c>
      <x:c r="F522" s="61" t="n">
        <x:v>41.81</x:v>
      </x:c>
      <x:c r="G522" s="61" t="n">
        <x:v>76.5</x:v>
      </x:c>
      <x:c r="H522" s="48" t="str">
        <x:v>1室0厅1</x:v>
      </x:c>
      <x:c r="I522" s="48" t="str">
        <x:v>西北</x:v>
      </x:c>
      <x:c r="J522" s="48" t="str">
        <x:v>普装</x:v>
      </x:c>
      <x:c r="K522" s="48" t="str">
        <x:v>普通住宅</x:v>
      </x:c>
      <x:c r="L522" s="48" t="str">
        <x:v>是</x:v>
      </x:c>
      <x:c r="M522" s="48" t="str">
        <x:v>保留</x:v>
      </x:c>
      <x:c r="N522" s="48" t="str">
        <x:v>鹏盛村|1室0厅1|42|3200|西北</x:v>
      </x:c>
      <x:c r="O522" s="48"/>
      <x:c r="P522" s="48" t="str">
        <x:v>未知（未逐条补齐）</x:v>
      </x:c>
      <x:c r="Q522" s="48" t="str">
        <x:v>https://shenzhen.leyoujia.com/zf/detail/C8r61M2Hzat77eQHYF8cs.html</x:v>
      </x:c>
      <x:c r="R522" s="48" t="str">
        <x:v>2026-08-13</x:v>
      </x:c>
    </x:row>
    <x:row r="523">
      <x:c r="A523" s="48" t="str">
        <x:v>鹏盛村</x:v>
      </x:c>
      <x:c r="B523" s="48" t="str">
        <x:v>鹏盛村</x:v>
      </x:c>
      <x:c r="C523" s="48" t="str">
        <x:v>红岭</x:v>
      </x:c>
      <x:c r="D523" s="56" t="n">
        <x:v>15.3</x:v>
      </x:c>
      <x:c r="E523" s="61" t="n">
        <x:v>3200</x:v>
      </x:c>
      <x:c r="F523" s="61" t="n">
        <x:v>39.52</x:v>
      </x:c>
      <x:c r="G523" s="61" t="n">
        <x:v>81</x:v>
      </x:c>
      <x:c r="H523" s="48" t="str">
        <x:v>1室0厅1</x:v>
      </x:c>
      <x:c r="I523" s="48" t="str">
        <x:v>西南</x:v>
      </x:c>
      <x:c r="J523" s="48" t="str">
        <x:v>普装</x:v>
      </x:c>
      <x:c r="K523" s="48" t="str">
        <x:v>普通住宅</x:v>
      </x:c>
      <x:c r="L523" s="48" t="str">
        <x:v>是</x:v>
      </x:c>
      <x:c r="M523" s="48" t="str">
        <x:v>保留</x:v>
      </x:c>
      <x:c r="N523" s="48" t="str">
        <x:v>鹏盛村|1室0厅1|40|3200|西南</x:v>
      </x:c>
      <x:c r="O523" s="48"/>
      <x:c r="P523" s="48" t="str">
        <x:v>未知（未逐条补齐）</x:v>
      </x:c>
      <x:c r="Q523" s="48" t="str">
        <x:v>https://shenzhen.leyoujia.com/zf/detail/74LKUHwi5sHutMEoYB7oD8.html</x:v>
      </x:c>
      <x:c r="R523" s="48" t="str">
        <x:v>2026-08-13</x:v>
      </x:c>
    </x:row>
    <x:row r="524">
      <x:c r="A524" s="48" t="str">
        <x:v>鹏盛村</x:v>
      </x:c>
      <x:c r="B524" s="48" t="str">
        <x:v>鹏盛村</x:v>
      </x:c>
      <x:c r="C524" s="48" t="str">
        <x:v>红岭</x:v>
      </x:c>
      <x:c r="D524" s="56" t="n">
        <x:v>15.3</x:v>
      </x:c>
      <x:c r="E524" s="61" t="n">
        <x:v>3200</x:v>
      </x:c>
      <x:c r="F524" s="61" t="n">
        <x:v>38.82</x:v>
      </x:c>
      <x:c r="G524" s="61" t="n">
        <x:v>82.4</x:v>
      </x:c>
      <x:c r="H524" s="48" t="str">
        <x:v>1室0厅1</x:v>
      </x:c>
      <x:c r="I524" s="48" t="str">
        <x:v>南</x:v>
      </x:c>
      <x:c r="J524" s="48" t="str">
        <x:v>精装</x:v>
      </x:c>
      <x:c r="K524" s="48" t="str">
        <x:v>普通住宅</x:v>
      </x:c>
      <x:c r="L524" s="48" t="str">
        <x:v>是</x:v>
      </x:c>
      <x:c r="M524" s="48" t="str">
        <x:v>保留</x:v>
      </x:c>
      <x:c r="N524" s="48" t="str">
        <x:v>鹏盛村|1室0厅1|39|3200|南</x:v>
      </x:c>
      <x:c r="O524" s="48"/>
      <x:c r="P524" s="48" t="str">
        <x:v>未知（未逐条补齐）</x:v>
      </x:c>
      <x:c r="Q524" s="48" t="str">
        <x:v>https://shenzhen.leyoujia.com/zf/detail/UZB1zR2iBBxZhqPKRvWC6.html</x:v>
      </x:c>
      <x:c r="R524" s="48" t="str">
        <x:v>2026-08-13</x:v>
      </x:c>
    </x:row>
    <x:row r="525">
      <x:c r="A525" s="48" t="str">
        <x:v>鹏盛村</x:v>
      </x:c>
      <x:c r="B525" s="48" t="str">
        <x:v>鹏盛村</x:v>
      </x:c>
      <x:c r="C525" s="48" t="str">
        <x:v>红岭</x:v>
      </x:c>
      <x:c r="D525" s="56" t="n">
        <x:v>15.3</x:v>
      </x:c>
      <x:c r="E525" s="61" t="n">
        <x:v>3300</x:v>
      </x:c>
      <x:c r="F525" s="61" t="n">
        <x:v>41.81</x:v>
      </x:c>
      <x:c r="G525" s="61" t="n">
        <x:v>78.9</x:v>
      </x:c>
      <x:c r="H525" s="48" t="str">
        <x:v>1室0厅1</x:v>
      </x:c>
      <x:c r="I525" s="48" t="str">
        <x:v>东北</x:v>
      </x:c>
      <x:c r="J525" s="48" t="str">
        <x:v>精装</x:v>
      </x:c>
      <x:c r="K525" s="48" t="str">
        <x:v>普通住宅</x:v>
      </x:c>
      <x:c r="L525" s="48" t="str">
        <x:v>是</x:v>
      </x:c>
      <x:c r="M525" s="48" t="str">
        <x:v>保留</x:v>
      </x:c>
      <x:c r="N525" s="48" t="str">
        <x:v>鹏盛村|1室0厅1|42|3300|东北</x:v>
      </x:c>
      <x:c r="O525" s="48"/>
      <x:c r="P525" s="48" t="str">
        <x:v>未知（未逐条补齐）</x:v>
      </x:c>
      <x:c r="Q525" s="48" t="str">
        <x:v>https://shenzhen.leyoujia.com/zf/detail/F5Qx2HF61VDVyFgLYpjwBw.html</x:v>
      </x:c>
      <x:c r="R525" s="48" t="str">
        <x:v>2026-08-13</x:v>
      </x:c>
    </x:row>
    <x:row r="526">
      <x:c r="A526" s="48" t="str">
        <x:v>鹏盛村</x:v>
      </x:c>
      <x:c r="B526" s="48" t="str">
        <x:v>鹏盛村</x:v>
      </x:c>
      <x:c r="C526" s="48" t="str">
        <x:v>红岭</x:v>
      </x:c>
      <x:c r="D526" s="56" t="n">
        <x:v>15.3</x:v>
      </x:c>
      <x:c r="E526" s="61" t="n">
        <x:v>3300</x:v>
      </x:c>
      <x:c r="F526" s="61" t="n">
        <x:v>41.81</x:v>
      </x:c>
      <x:c r="G526" s="61" t="n">
        <x:v>78.9</x:v>
      </x:c>
      <x:c r="H526" s="48" t="str">
        <x:v>1室0厅1</x:v>
      </x:c>
      <x:c r="I526" s="48" t="str">
        <x:v>东北</x:v>
      </x:c>
      <x:c r="J526" s="48" t="str">
        <x:v>普装</x:v>
      </x:c>
      <x:c r="K526" s="48" t="str">
        <x:v>普通住宅</x:v>
      </x:c>
      <x:c r="L526" s="48" t="str">
        <x:v>否</x:v>
      </x:c>
      <x:c r="M526" s="48" t="str">
        <x:v>疑似重复挂牌</x:v>
      </x:c>
      <x:c r="N526" s="48" t="str">
        <x:v>鹏盛村|1室0厅1|42|3300|东北</x:v>
      </x:c>
      <x:c r="O526" s="48"/>
      <x:c r="P526" s="48" t="str">
        <x:v>未知（未逐条补齐）</x:v>
      </x:c>
      <x:c r="Q526" s="48" t="str">
        <x:v>https://shenzhen.leyoujia.com/zf/detail/L5GUmKT4rRGZphqJPGsUJD.html</x:v>
      </x:c>
      <x:c r="R526" s="48" t="str">
        <x:v>2026-08-13</x:v>
      </x:c>
    </x:row>
    <x:row r="527">
      <x:c r="A527" s="48" t="str">
        <x:v>鹏盛村</x:v>
      </x:c>
      <x:c r="B527" s="48" t="str">
        <x:v>鹏盛村</x:v>
      </x:c>
      <x:c r="C527" s="48" t="str">
        <x:v>红岭</x:v>
      </x:c>
      <x:c r="D527" s="56" t="n">
        <x:v>15.3</x:v>
      </x:c>
      <x:c r="E527" s="61" t="n">
        <x:v>3300</x:v>
      </x:c>
      <x:c r="F527" s="61" t="n">
        <x:v>38.82</x:v>
      </x:c>
      <x:c r="G527" s="61" t="n">
        <x:v>85</x:v>
      </x:c>
      <x:c r="H527" s="48" t="str">
        <x:v>1室0厅1</x:v>
      </x:c>
      <x:c r="I527" s="48" t="str">
        <x:v>南</x:v>
      </x:c>
      <x:c r="J527" s="48" t="str">
        <x:v>精装</x:v>
      </x:c>
      <x:c r="K527" s="48" t="str">
        <x:v>普通住宅</x:v>
      </x:c>
      <x:c r="L527" s="48" t="str">
        <x:v>是</x:v>
      </x:c>
      <x:c r="M527" s="48" t="str">
        <x:v>保留</x:v>
      </x:c>
      <x:c r="N527" s="48" t="str">
        <x:v>鹏盛村|1室0厅1|39|3300|南</x:v>
      </x:c>
      <x:c r="O527" s="48"/>
      <x:c r="P527" s="48" t="str">
        <x:v>未知（未逐条补齐）</x:v>
      </x:c>
      <x:c r="Q527" s="48" t="str">
        <x:v>https://shenzhen.leyoujia.com/zf/detail/RPhH4GeQEo6EV1hCzd7UyB.html</x:v>
      </x:c>
      <x:c r="R527" s="48" t="str">
        <x:v>2026-08-13</x:v>
      </x:c>
    </x:row>
    <x:row r="528">
      <x:c r="A528" s="48" t="str">
        <x:v>鹏盛村</x:v>
      </x:c>
      <x:c r="B528" s="48" t="str">
        <x:v>鹏盛村</x:v>
      </x:c>
      <x:c r="C528" s="48" t="str">
        <x:v>红岭</x:v>
      </x:c>
      <x:c r="D528" s="56" t="n">
        <x:v>15.3</x:v>
      </x:c>
      <x:c r="E528" s="61" t="n">
        <x:v>3400</x:v>
      </x:c>
      <x:c r="F528" s="61" t="n">
        <x:v>38.82</x:v>
      </x:c>
      <x:c r="G528" s="61" t="n">
        <x:v>87.6</x:v>
      </x:c>
      <x:c r="H528" s="48" t="str">
        <x:v>1室1厅1</x:v>
      </x:c>
      <x:c r="I528" s="48" t="str">
        <x:v>东北</x:v>
      </x:c>
      <x:c r="J528" s="48" t="str">
        <x:v>精装</x:v>
      </x:c>
      <x:c r="K528" s="48" t="str">
        <x:v>普通住宅</x:v>
      </x:c>
      <x:c r="L528" s="48" t="str">
        <x:v>是</x:v>
      </x:c>
      <x:c r="M528" s="48" t="str">
        <x:v>保留</x:v>
      </x:c>
      <x:c r="N528" s="48" t="str">
        <x:v>鹏盛村|1室1厅1|39|3400|东北</x:v>
      </x:c>
      <x:c r="O528" s="48"/>
      <x:c r="P528" s="48" t="str">
        <x:v>未知（未逐条补齐）</x:v>
      </x:c>
      <x:c r="Q528" s="48" t="str">
        <x:v>https://shenzhen.leyoujia.com/zf/detail/Heq21UVm8Ye1TKdn5ektu2.html</x:v>
      </x:c>
      <x:c r="R528" s="48" t="str">
        <x:v>2026-08-13</x:v>
      </x:c>
    </x:row>
    <x:row r="529">
      <x:c r="A529" s="48" t="str">
        <x:v>鹏盛村</x:v>
      </x:c>
      <x:c r="B529" s="48" t="str">
        <x:v>鹏盛村</x:v>
      </x:c>
      <x:c r="C529" s="48" t="str">
        <x:v>红岭</x:v>
      </x:c>
      <x:c r="D529" s="56" t="n">
        <x:v>15.3</x:v>
      </x:c>
      <x:c r="E529" s="61" t="n">
        <x:v>3500</x:v>
      </x:c>
      <x:c r="F529" s="61" t="n">
        <x:v>38.82</x:v>
      </x:c>
      <x:c r="G529" s="61" t="n">
        <x:v>90.2</x:v>
      </x:c>
      <x:c r="H529" s="48" t="str">
        <x:v>1室0厅1</x:v>
      </x:c>
      <x:c r="I529" s="48" t="str">
        <x:v>西北</x:v>
      </x:c>
      <x:c r="J529" s="48" t="str">
        <x:v>普装</x:v>
      </x:c>
      <x:c r="K529" s="48" t="str">
        <x:v>普通住宅</x:v>
      </x:c>
      <x:c r="L529" s="48" t="str">
        <x:v>是</x:v>
      </x:c>
      <x:c r="M529" s="48" t="str">
        <x:v>保留</x:v>
      </x:c>
      <x:c r="N529" s="48" t="str">
        <x:v>鹏盛村|1室0厅1|39|3500|西北</x:v>
      </x:c>
      <x:c r="O529" s="48"/>
      <x:c r="P529" s="48" t="str">
        <x:v>未知（未逐条补齐）</x:v>
      </x:c>
      <x:c r="Q529" s="48" t="str">
        <x:v>https://shenzhen.leyoujia.com/zf/detail/G3KzUmsmcaBtgMmQFrqcA8.html</x:v>
      </x:c>
      <x:c r="R529" s="48" t="str">
        <x:v>2026-08-13</x:v>
      </x:c>
    </x:row>
    <x:row r="530">
      <x:c r="A530" s="48" t="str">
        <x:v>鹏盛村</x:v>
      </x:c>
      <x:c r="B530" s="48" t="str">
        <x:v>鹏盛村</x:v>
      </x:c>
      <x:c r="C530" s="48" t="str">
        <x:v>红岭</x:v>
      </x:c>
      <x:c r="D530" s="56" t="n">
        <x:v>15.3</x:v>
      </x:c>
      <x:c r="E530" s="61" t="n">
        <x:v>3500</x:v>
      </x:c>
      <x:c r="F530" s="61" t="n">
        <x:v>38.82</x:v>
      </x:c>
      <x:c r="G530" s="61" t="n">
        <x:v>90.2</x:v>
      </x:c>
      <x:c r="H530" s="48" t="str">
        <x:v>1室0厅1</x:v>
      </x:c>
      <x:c r="I530" s="48" t="str">
        <x:v>西南</x:v>
      </x:c>
      <x:c r="J530" s="48" t="str">
        <x:v>普装</x:v>
      </x:c>
      <x:c r="K530" s="48" t="str">
        <x:v>普通住宅</x:v>
      </x:c>
      <x:c r="L530" s="48" t="str">
        <x:v>是</x:v>
      </x:c>
      <x:c r="M530" s="48" t="str">
        <x:v>保留</x:v>
      </x:c>
      <x:c r="N530" s="48" t="str">
        <x:v>鹏盛村|1室0厅1|39|3500|西南</x:v>
      </x:c>
      <x:c r="O530" s="48"/>
      <x:c r="P530" s="48" t="str">
        <x:v>未知（未逐条补齐）</x:v>
      </x:c>
      <x:c r="Q530" s="48" t="str">
        <x:v>https://shenzhen.leyoujia.com/zf/detail/5b4Q6dR4Neaob7sMbBE41G.html</x:v>
      </x:c>
      <x:c r="R530" s="48" t="str">
        <x:v>2026-08-13</x:v>
      </x:c>
    </x:row>
    <x:row r="531">
      <x:c r="A531" s="48" t="str">
        <x:v>鹏盛村</x:v>
      </x:c>
      <x:c r="B531" s="48" t="str">
        <x:v>鹏盛村</x:v>
      </x:c>
      <x:c r="C531" s="48" t="str">
        <x:v>红岭</x:v>
      </x:c>
      <x:c r="D531" s="56" t="n">
        <x:v>15.3</x:v>
      </x:c>
      <x:c r="E531" s="61" t="n">
        <x:v>3600</x:v>
      </x:c>
      <x:c r="F531" s="61" t="n">
        <x:v>39.52</x:v>
      </x:c>
      <x:c r="G531" s="61" t="n">
        <x:v>91.1</x:v>
      </x:c>
      <x:c r="H531" s="48" t="str">
        <x:v>1室1厅1</x:v>
      </x:c>
      <x:c r="I531" s="48" t="str">
        <x:v>北</x:v>
      </x:c>
      <x:c r="J531" s="48" t="str">
        <x:v>普装</x:v>
      </x:c>
      <x:c r="K531" s="48" t="str">
        <x:v>普通住宅</x:v>
      </x:c>
      <x:c r="L531" s="48" t="str">
        <x:v>是</x:v>
      </x:c>
      <x:c r="M531" s="48" t="str">
        <x:v>保留</x:v>
      </x:c>
      <x:c r="N531" s="48" t="str">
        <x:v>鹏盛村|1室1厅1|40|3600|北</x:v>
      </x:c>
      <x:c r="O531" s="48"/>
      <x:c r="P531" s="48" t="str">
        <x:v>未知（未逐条补齐）</x:v>
      </x:c>
      <x:c r="Q531" s="48" t="str">
        <x:v>https://shenzhen.leyoujia.com/zf/detail/FvXBmfsTV3Eob1HcFVgGx6.html</x:v>
      </x:c>
      <x:c r="R531" s="48" t="str">
        <x:v>2026-08-13</x:v>
      </x:c>
    </x:row>
    <x:row r="532">
      <x:c r="A532" s="48" t="str">
        <x:v>鹏盛村</x:v>
      </x:c>
      <x:c r="B532" s="48" t="str">
        <x:v>鹏盛村</x:v>
      </x:c>
      <x:c r="C532" s="48" t="str">
        <x:v>红岭</x:v>
      </x:c>
      <x:c r="D532" s="56" t="n">
        <x:v>15.3</x:v>
      </x:c>
      <x:c r="E532" s="61" t="n">
        <x:v>3700</x:v>
      </x:c>
      <x:c r="F532" s="61" t="n">
        <x:v>50.85</x:v>
      </x:c>
      <x:c r="G532" s="61" t="n">
        <x:v>72.8</x:v>
      </x:c>
      <x:c r="H532" s="48" t="str">
        <x:v>1室0厅1</x:v>
      </x:c>
      <x:c r="I532" s="48" t="str">
        <x:v>南</x:v>
      </x:c>
      <x:c r="J532" s="48" t="str">
        <x:v>精装</x:v>
      </x:c>
      <x:c r="K532" s="48" t="str">
        <x:v>普通住宅</x:v>
      </x:c>
      <x:c r="L532" s="48" t="str">
        <x:v>是</x:v>
      </x:c>
      <x:c r="M532" s="48" t="str">
        <x:v>保留</x:v>
      </x:c>
      <x:c r="N532" s="48" t="str">
        <x:v>鹏盛村|1室0厅1|51|3700|南</x:v>
      </x:c>
      <x:c r="O532" s="48"/>
      <x:c r="P532" s="48" t="str">
        <x:v>未知（未逐条补齐）</x:v>
      </x:c>
      <x:c r="Q532" s="48" t="str">
        <x:v>https://shenzhen.leyoujia.com/zf/detail/SumXCGoatPxjABZ7RtpskS.html</x:v>
      </x:c>
      <x:c r="R532" s="48" t="str">
        <x:v>2026-08-13</x:v>
      </x:c>
    </x:row>
    <x:row r="533">
      <x:c r="A533" s="48" t="str">
        <x:v>鹏盛村</x:v>
      </x:c>
      <x:c r="B533" s="48" t="str">
        <x:v>鹏盛村</x:v>
      </x:c>
      <x:c r="C533" s="48" t="str">
        <x:v>红岭</x:v>
      </x:c>
      <x:c r="D533" s="56" t="n">
        <x:v>15.3</x:v>
      </x:c>
      <x:c r="E533" s="61" t="n">
        <x:v>3700</x:v>
      </x:c>
      <x:c r="F533" s="61" t="n">
        <x:v>57.79</x:v>
      </x:c>
      <x:c r="G533" s="61" t="n">
        <x:v>64</x:v>
      </x:c>
      <x:c r="H533" s="48" t="str">
        <x:v>1室1厅1</x:v>
      </x:c>
      <x:c r="I533" s="48" t="str">
        <x:v>西北</x:v>
      </x:c>
      <x:c r="J533" s="48" t="str">
        <x:v>普装</x:v>
      </x:c>
      <x:c r="K533" s="48" t="str">
        <x:v>普通住宅</x:v>
      </x:c>
      <x:c r="L533" s="48" t="str">
        <x:v>是</x:v>
      </x:c>
      <x:c r="M533" s="48" t="str">
        <x:v>保留</x:v>
      </x:c>
      <x:c r="N533" s="48" t="str">
        <x:v>鹏盛村|1室1厅1|58|3700|西北</x:v>
      </x:c>
      <x:c r="O533" s="48"/>
      <x:c r="P533" s="48" t="str">
        <x:v>未知（未逐条补齐）</x:v>
      </x:c>
      <x:c r="Q533" s="48" t="str">
        <x:v>https://shenzhen.leyoujia.com/zf/detail/9q7EtL7LgX3bFw5pRSweEL.html</x:v>
      </x:c>
      <x:c r="R533" s="48" t="str">
        <x:v>2026-08-13</x:v>
      </x:c>
    </x:row>
    <x:row r="534">
      <x:c r="A534" s="48" t="str">
        <x:v>鹏盛村</x:v>
      </x:c>
      <x:c r="B534" s="48" t="str">
        <x:v>鹏盛村</x:v>
      </x:c>
      <x:c r="C534" s="48" t="str">
        <x:v>红岭</x:v>
      </x:c>
      <x:c r="D534" s="56" t="n">
        <x:v>15.3</x:v>
      </x:c>
      <x:c r="E534" s="61" t="n">
        <x:v>4000</x:v>
      </x:c>
      <x:c r="F534" s="61" t="n">
        <x:v>37.48</x:v>
      </x:c>
      <x:c r="G534" s="61" t="n">
        <x:v>106.7</x:v>
      </x:c>
      <x:c r="H534" s="48" t="str">
        <x:v>1室0厅1</x:v>
      </x:c>
      <x:c r="I534" s="48" t="str">
        <x:v>西南</x:v>
      </x:c>
      <x:c r="J534" s="48" t="str">
        <x:v>精装</x:v>
      </x:c>
      <x:c r="K534" s="48" t="str">
        <x:v>普通住宅</x:v>
      </x:c>
      <x:c r="L534" s="48" t="str">
        <x:v>是</x:v>
      </x:c>
      <x:c r="M534" s="48" t="str">
        <x:v>保留</x:v>
      </x:c>
      <x:c r="N534" s="48" t="str">
        <x:v>鹏盛村|1室0厅1|37|4000|西南</x:v>
      </x:c>
      <x:c r="O534" s="48"/>
      <x:c r="P534" s="48" t="str">
        <x:v>未知（未逐条补齐）</x:v>
      </x:c>
      <x:c r="Q534" s="48" t="str">
        <x:v>https://shenzhen.leyoujia.com/zf/detail/QN7LYjaK51UULUCATtMyHw.html</x:v>
      </x:c>
      <x:c r="R534" s="48" t="str">
        <x:v>2026-08-13</x:v>
      </x:c>
    </x:row>
    <x:row r="535">
      <x:c r="A535" s="48" t="str">
        <x:v>鹏盛村</x:v>
      </x:c>
      <x:c r="B535" s="48" t="str">
        <x:v>鹏盛村</x:v>
      </x:c>
      <x:c r="C535" s="48" t="str">
        <x:v>红岭</x:v>
      </x:c>
      <x:c r="D535" s="56" t="n">
        <x:v>15.3</x:v>
      </x:c>
      <x:c r="E535" s="61" t="n">
        <x:v>4200</x:v>
      </x:c>
      <x:c r="F535" s="61" t="n">
        <x:v>57.79</x:v>
      </x:c>
      <x:c r="G535" s="61" t="n">
        <x:v>72.7</x:v>
      </x:c>
      <x:c r="H535" s="48" t="str">
        <x:v>1室0厅1</x:v>
      </x:c>
      <x:c r="I535" s="48" t="str">
        <x:v>东北</x:v>
      </x:c>
      <x:c r="J535" s="48" t="str">
        <x:v>精装</x:v>
      </x:c>
      <x:c r="K535" s="48" t="str">
        <x:v>普通住宅</x:v>
      </x:c>
      <x:c r="L535" s="48" t="str">
        <x:v>是</x:v>
      </x:c>
      <x:c r="M535" s="48" t="str">
        <x:v>保留</x:v>
      </x:c>
      <x:c r="N535" s="48" t="str">
        <x:v>鹏盛村|1室0厅1|58|4200|东北</x:v>
      </x:c>
      <x:c r="O535" s="48"/>
      <x:c r="P535" s="48" t="str">
        <x:v>未知（未逐条补齐）</x:v>
      </x:c>
      <x:c r="Q535" s="48" t="str">
        <x:v>https://shenzhen.leyoujia.com/zf/detail/FJucjGF7UnkHwtVBpVUzxY.html</x:v>
      </x:c>
      <x:c r="R535" s="48" t="str">
        <x:v>2026-08-13</x:v>
      </x:c>
    </x:row>
    <x:row r="536">
      <x:c r="A536" s="48" t="str">
        <x:v>鹏盛村</x:v>
      </x:c>
      <x:c r="B536" s="48" t="str">
        <x:v>鹏盛村</x:v>
      </x:c>
      <x:c r="C536" s="48" t="str">
        <x:v>红岭</x:v>
      </x:c>
      <x:c r="D536" s="56" t="n">
        <x:v>15.3</x:v>
      </x:c>
      <x:c r="E536" s="61" t="n">
        <x:v>4800</x:v>
      </x:c>
      <x:c r="F536" s="61" t="n">
        <x:v>57.79</x:v>
      </x:c>
      <x:c r="G536" s="61" t="n">
        <x:v>83.1</x:v>
      </x:c>
      <x:c r="H536" s="48" t="str">
        <x:v>1室1厅1</x:v>
      </x:c>
      <x:c r="I536" s="48" t="str">
        <x:v>西北</x:v>
      </x:c>
      <x:c r="J536" s="48" t="str">
        <x:v>精装</x:v>
      </x:c>
      <x:c r="K536" s="48" t="str">
        <x:v>普通住宅</x:v>
      </x:c>
      <x:c r="L536" s="48" t="str">
        <x:v>否</x:v>
      </x:c>
      <x:c r="M536" s="48" t="str">
        <x:v>异常高价</x:v>
      </x:c>
      <x:c r="N536" s="48" t="str">
        <x:v>鹏盛村|1室1厅1|58|4800|西北</x:v>
      </x:c>
      <x:c r="O536" s="48"/>
      <x:c r="P536" s="48" t="str">
        <x:v>未知（未逐条补齐）</x:v>
      </x:c>
      <x:c r="Q536" s="48" t="str">
        <x:v>https://shenzhen.leyoujia.com/zf/detail/QdrynNqSydmgpMMg1hc8wf.html</x:v>
      </x:c>
      <x:c r="R536" s="48" t="str">
        <x:v>2026-08-13</x:v>
      </x:c>
    </x:row>
    <x:row r="537">
      <x:c r="A537" s="48" t="str">
        <x:v>鹏盛村</x:v>
      </x:c>
      <x:c r="B537" s="48" t="str">
        <x:v>鹏盛村</x:v>
      </x:c>
      <x:c r="C537" s="48" t="str">
        <x:v>红岭</x:v>
      </x:c>
      <x:c r="D537" s="56" t="n">
        <x:v>15.3</x:v>
      </x:c>
      <x:c r="E537" s="61" t="n">
        <x:v>5000</x:v>
      </x:c>
      <x:c r="F537" s="61" t="n">
        <x:v>47</x:v>
      </x:c>
      <x:c r="G537" s="61" t="n">
        <x:v>106.4</x:v>
      </x:c>
      <x:c r="H537" s="48" t="str">
        <x:v>1室1厅1</x:v>
      </x:c>
      <x:c r="I537" s="48" t="str">
        <x:v>北</x:v>
      </x:c>
      <x:c r="J537" s="48" t="str">
        <x:v>精装</x:v>
      </x:c>
      <x:c r="K537" s="48" t="str">
        <x:v>普通住宅</x:v>
      </x:c>
      <x:c r="L537" s="48" t="str">
        <x:v>否</x:v>
      </x:c>
      <x:c r="M537" s="48" t="str">
        <x:v>异常高价</x:v>
      </x:c>
      <x:c r="N537" s="48" t="str">
        <x:v>鹏盛村|1室1厅1|47|5000|北</x:v>
      </x:c>
      <x:c r="O537" s="48"/>
      <x:c r="P537" s="48" t="str">
        <x:v>未知（未逐条补齐）</x:v>
      </x:c>
      <x:c r="Q537" s="48" t="str">
        <x:v>https://shenzhen.leyoujia.com/zf/detail/Ggw16CnkByuACcZXGdCp2M.html</x:v>
      </x:c>
      <x:c r="R537" s="48" t="str">
        <x:v>2026-08-13</x:v>
      </x:c>
    </x:row>
    <x:row r="538">
      <x:c r="A538" s="48" t="str">
        <x:v>盛夏公寓</x:v>
      </x:c>
      <x:c r="B538" s="48" t="str">
        <x:v>盛夏公寓</x:v>
      </x:c>
      <x:c r="C538" s="48" t="str">
        <x:v>红岭</x:v>
      </x:c>
      <x:c r="D538" s="56" t="n">
        <x:v>16.2</x:v>
      </x:c>
      <x:c r="E538" s="61" t="n">
        <x:v>2800</x:v>
      </x:c>
      <x:c r="F538" s="61" t="n">
        <x:v>30</x:v>
      </x:c>
      <x:c r="G538" s="61" t="n">
        <x:v>93.3</x:v>
      </x:c>
      <x:c r="H538" s="48" t="str">
        <x:v>1室0厅1</x:v>
      </x:c>
      <x:c r="I538" s="48" t="str">
        <x:v>南</x:v>
      </x:c>
      <x:c r="J538" s="48" t="str">
        <x:v>普装</x:v>
      </x:c>
      <x:c r="K538" s="48" t="str">
        <x:v>公寓</x:v>
      </x:c>
      <x:c r="L538" s="48" t="str">
        <x:v>是</x:v>
      </x:c>
      <x:c r="M538" s="48" t="str">
        <x:v>保留</x:v>
      </x:c>
      <x:c r="N538" s="48" t="str">
        <x:v>盛夏公寓|1室0厅1|30|2800|南</x:v>
      </x:c>
      <x:c r="O538" s="48"/>
      <x:c r="P538" s="48" t="str">
        <x:v>未知（未逐条补齐）</x:v>
      </x:c>
      <x:c r="Q538" s="48" t="str">
        <x:v>https://shenzhen.leyoujia.com/zf/detail/9iKkoeCPkt4EMUmpc5pKRq.html</x:v>
      </x:c>
      <x:c r="R538" s="48" t="str">
        <x:v>2026-08-13</x:v>
      </x:c>
    </x:row>
    <x:row r="539">
      <x:c r="A539" s="48" t="str">
        <x:v>盛夏公寓</x:v>
      </x:c>
      <x:c r="B539" s="48" t="str">
        <x:v>盛夏公寓</x:v>
      </x:c>
      <x:c r="C539" s="48" t="str">
        <x:v>红岭</x:v>
      </x:c>
      <x:c r="D539" s="56" t="n">
        <x:v>16.2</x:v>
      </x:c>
      <x:c r="E539" s="61" t="n">
        <x:v>3000</x:v>
      </x:c>
      <x:c r="F539" s="61" t="n">
        <x:v>30</x:v>
      </x:c>
      <x:c r="G539" s="61" t="n">
        <x:v>100</x:v>
      </x:c>
      <x:c r="H539" s="48" t="str">
        <x:v>1室0厅2</x:v>
      </x:c>
      <x:c r="I539" s="48" t="str">
        <x:v>南</x:v>
      </x:c>
      <x:c r="J539" s="48" t="str">
        <x:v>普装</x:v>
      </x:c>
      <x:c r="K539" s="48" t="str">
        <x:v>公寓</x:v>
      </x:c>
      <x:c r="L539" s="48" t="str">
        <x:v>是</x:v>
      </x:c>
      <x:c r="M539" s="48" t="str">
        <x:v>保留</x:v>
      </x:c>
      <x:c r="N539" s="48" t="str">
        <x:v>盛夏公寓|1室0厅2|30|3000|南</x:v>
      </x:c>
      <x:c r="O539" s="48"/>
      <x:c r="P539" s="48" t="str">
        <x:v>未知（未逐条补齐）</x:v>
      </x:c>
      <x:c r="Q539" s="48" t="str">
        <x:v>https://shenzhen.leyoujia.com/zf/detail/VqF5cGm2psF56RoBdbQ2cx.html</x:v>
      </x:c>
      <x:c r="R539" s="48" t="str">
        <x:v>2026-08-13</x:v>
      </x:c>
    </x:row>
    <x:row r="540">
      <x:c r="A540" s="48" t="str">
        <x:v>盛夏公寓</x:v>
      </x:c>
      <x:c r="B540" s="48" t="str">
        <x:v>盛夏公寓</x:v>
      </x:c>
      <x:c r="C540" s="48" t="str">
        <x:v>红岭</x:v>
      </x:c>
      <x:c r="D540" s="56" t="n">
        <x:v>16.2</x:v>
      </x:c>
      <x:c r="E540" s="61" t="n">
        <x:v>3000</x:v>
      </x:c>
      <x:c r="F540" s="61" t="n">
        <x:v>30</x:v>
      </x:c>
      <x:c r="G540" s="61" t="n">
        <x:v>100</x:v>
      </x:c>
      <x:c r="H540" s="48" t="str">
        <x:v>1室0厅2</x:v>
      </x:c>
      <x:c r="I540" s="48" t="str">
        <x:v>南</x:v>
      </x:c>
      <x:c r="J540" s="48" t="str">
        <x:v>精装</x:v>
      </x:c>
      <x:c r="K540" s="48" t="str">
        <x:v>公寓</x:v>
      </x:c>
      <x:c r="L540" s="48" t="str">
        <x:v>否</x:v>
      </x:c>
      <x:c r="M540" s="48" t="str">
        <x:v>疑似重复挂牌</x:v>
      </x:c>
      <x:c r="N540" s="48" t="str">
        <x:v>盛夏公寓|1室0厅2|30|3000|南</x:v>
      </x:c>
      <x:c r="O540" s="48"/>
      <x:c r="P540" s="48" t="str">
        <x:v>未知（未逐条补齐）</x:v>
      </x:c>
      <x:c r="Q540" s="48" t="str">
        <x:v>https://shenzhen.leyoujia.com/zf/detail/LcrXjGG6tA1afXrLzc3nST.html</x:v>
      </x:c>
      <x:c r="R540" s="48" t="str">
        <x:v>2026-08-13</x:v>
      </x:c>
    </x:row>
    <x:row r="541">
      <x:c r="A541" s="48" t="str">
        <x:v>盛夏公寓</x:v>
      </x:c>
      <x:c r="B541" s="48" t="str">
        <x:v>盛夏公寓</x:v>
      </x:c>
      <x:c r="C541" s="48" t="str">
        <x:v>红岭</x:v>
      </x:c>
      <x:c r="D541" s="56" t="n">
        <x:v>16.2</x:v>
      </x:c>
      <x:c r="E541" s="61" t="n">
        <x:v>3000</x:v>
      </x:c>
      <x:c r="F541" s="61" t="n">
        <x:v>30</x:v>
      </x:c>
      <x:c r="G541" s="61" t="n">
        <x:v>100</x:v>
      </x:c>
      <x:c r="H541" s="48" t="str">
        <x:v>1室0厅1</x:v>
      </x:c>
      <x:c r="I541" s="48" t="str">
        <x:v>南</x:v>
      </x:c>
      <x:c r="J541" s="48" t="str">
        <x:v>普装</x:v>
      </x:c>
      <x:c r="K541" s="48" t="str">
        <x:v>公寓</x:v>
      </x:c>
      <x:c r="L541" s="48" t="str">
        <x:v>是</x:v>
      </x:c>
      <x:c r="M541" s="48" t="str">
        <x:v>保留</x:v>
      </x:c>
      <x:c r="N541" s="48" t="str">
        <x:v>盛夏公寓|1室0厅1|30|3000|南</x:v>
      </x:c>
      <x:c r="O541" s="48"/>
      <x:c r="P541" s="48" t="str">
        <x:v>未知（未逐条补齐）</x:v>
      </x:c>
      <x:c r="Q541" s="48" t="str">
        <x:v>https://shenzhen.leyoujia.com/zf/detail/Gv7myVVwcDfZDc3KRHv3fJ.html</x:v>
      </x:c>
      <x:c r="R541" s="48" t="str">
        <x:v>2026-08-13</x:v>
      </x:c>
    </x:row>
    <x:row r="542">
      <x:c r="A542" s="48" t="str">
        <x:v>盛夏公寓</x:v>
      </x:c>
      <x:c r="B542" s="48" t="str">
        <x:v>盛夏公寓</x:v>
      </x:c>
      <x:c r="C542" s="48" t="str">
        <x:v>红岭</x:v>
      </x:c>
      <x:c r="D542" s="56" t="n">
        <x:v>16.2</x:v>
      </x:c>
      <x:c r="E542" s="61" t="n">
        <x:v>3000</x:v>
      </x:c>
      <x:c r="F542" s="61" t="n">
        <x:v>30</x:v>
      </x:c>
      <x:c r="G542" s="61" t="n">
        <x:v>100</x:v>
      </x:c>
      <x:c r="H542" s="48" t="str">
        <x:v>1室0厅1</x:v>
      </x:c>
      <x:c r="I542" s="48" t="str">
        <x:v>南</x:v>
      </x:c>
      <x:c r="J542" s="48" t="str">
        <x:v>普装</x:v>
      </x:c>
      <x:c r="K542" s="48" t="str">
        <x:v>公寓</x:v>
      </x:c>
      <x:c r="L542" s="48" t="str">
        <x:v>否</x:v>
      </x:c>
      <x:c r="M542" s="48" t="str">
        <x:v>疑似重复挂牌</x:v>
      </x:c>
      <x:c r="N542" s="48" t="str">
        <x:v>盛夏公寓|1室0厅1|30|3000|南</x:v>
      </x:c>
      <x:c r="O542" s="48"/>
      <x:c r="P542" s="48" t="str">
        <x:v>未知（未逐条补齐）</x:v>
      </x:c>
      <x:c r="Q542" s="48" t="str">
        <x:v>https://shenzhen.leyoujia.com/zf/detail/7NEne8YFXsQ2PTE4tCDDUw.html</x:v>
      </x:c>
      <x:c r="R542" s="48" t="str">
        <x:v>2026-08-13</x:v>
      </x:c>
    </x:row>
    <x:row r="543">
      <x:c r="A543" s="48" t="str">
        <x:v>盛夏公寓</x:v>
      </x:c>
      <x:c r="B543" s="48" t="str">
        <x:v>盛夏公寓</x:v>
      </x:c>
      <x:c r="C543" s="48" t="str">
        <x:v>红岭</x:v>
      </x:c>
      <x:c r="D543" s="56" t="n">
        <x:v>16.2</x:v>
      </x:c>
      <x:c r="E543" s="61" t="n">
        <x:v>3000</x:v>
      </x:c>
      <x:c r="F543" s="61" t="n">
        <x:v>30</x:v>
      </x:c>
      <x:c r="G543" s="61" t="n">
        <x:v>100</x:v>
      </x:c>
      <x:c r="H543" s="48" t="str">
        <x:v>1室0厅1</x:v>
      </x:c>
      <x:c r="I543" s="48" t="str">
        <x:v>南</x:v>
      </x:c>
      <x:c r="J543" s="48" t="str">
        <x:v>普装</x:v>
      </x:c>
      <x:c r="K543" s="48" t="str">
        <x:v>公寓</x:v>
      </x:c>
      <x:c r="L543" s="48" t="str">
        <x:v>否</x:v>
      </x:c>
      <x:c r="M543" s="48" t="str">
        <x:v>疑似重复挂牌</x:v>
      </x:c>
      <x:c r="N543" s="48" t="str">
        <x:v>盛夏公寓|1室0厅1|30|3000|南</x:v>
      </x:c>
      <x:c r="O543" s="48"/>
      <x:c r="P543" s="48" t="str">
        <x:v>未知（未逐条补齐）</x:v>
      </x:c>
      <x:c r="Q543" s="48" t="str">
        <x:v>https://shenzhen.leyoujia.com/zf/detail/5aJPD2dP7x2LtDrm3atcdS.html</x:v>
      </x:c>
      <x:c r="R543" s="48" t="str">
        <x:v>2026-08-13</x:v>
      </x:c>
    </x:row>
    <x:row r="544">
      <x:c r="A544" s="48" t="str">
        <x:v>盛夏公寓</x:v>
      </x:c>
      <x:c r="B544" s="48" t="str">
        <x:v>盛夏公寓</x:v>
      </x:c>
      <x:c r="C544" s="48" t="str">
        <x:v>红岭</x:v>
      </x:c>
      <x:c r="D544" s="56" t="n">
        <x:v>16.2</x:v>
      </x:c>
      <x:c r="E544" s="61" t="n">
        <x:v>3100</x:v>
      </x:c>
      <x:c r="F544" s="61" t="n">
        <x:v>30</x:v>
      </x:c>
      <x:c r="G544" s="61" t="n">
        <x:v>103.3</x:v>
      </x:c>
      <x:c r="H544" s="48" t="str">
        <x:v>1室0厅2</x:v>
      </x:c>
      <x:c r="I544" s="48" t="str">
        <x:v>南</x:v>
      </x:c>
      <x:c r="J544" s="48" t="str">
        <x:v>普装</x:v>
      </x:c>
      <x:c r="K544" s="48" t="str">
        <x:v>公寓</x:v>
      </x:c>
      <x:c r="L544" s="48" t="str">
        <x:v>是</x:v>
      </x:c>
      <x:c r="M544" s="48" t="str">
        <x:v>保留</x:v>
      </x:c>
      <x:c r="N544" s="48" t="str">
        <x:v>盛夏公寓|1室0厅2|30|3100|南</x:v>
      </x:c>
      <x:c r="O544" s="48"/>
      <x:c r="P544" s="48" t="str">
        <x:v>未知（未逐条补齐）</x:v>
      </x:c>
      <x:c r="Q544" s="48" t="str">
        <x:v>https://shenzhen.leyoujia.com/zf/detail/5nNn4Lenktp6PgbmjVRVH7.html</x:v>
      </x:c>
      <x:c r="R544" s="48" t="str">
        <x:v>2026-08-13</x:v>
      </x:c>
    </x:row>
    <x:row r="545">
      <x:c r="A545" s="48" t="str">
        <x:v>盛夏公寓</x:v>
      </x:c>
      <x:c r="B545" s="48" t="str">
        <x:v>盛夏公寓</x:v>
      </x:c>
      <x:c r="C545" s="48" t="str">
        <x:v>红岭</x:v>
      </x:c>
      <x:c r="D545" s="56" t="n">
        <x:v>16.2</x:v>
      </x:c>
      <x:c r="E545" s="61" t="n">
        <x:v>3100</x:v>
      </x:c>
      <x:c r="F545" s="61" t="n">
        <x:v>30</x:v>
      </x:c>
      <x:c r="G545" s="61" t="n">
        <x:v>103.3</x:v>
      </x:c>
      <x:c r="H545" s="48" t="str">
        <x:v>1室0厅2</x:v>
      </x:c>
      <x:c r="I545" s="48" t="str">
        <x:v>南</x:v>
      </x:c>
      <x:c r="J545" s="48" t="str">
        <x:v>精装</x:v>
      </x:c>
      <x:c r="K545" s="48" t="str">
        <x:v>公寓</x:v>
      </x:c>
      <x:c r="L545" s="48" t="str">
        <x:v>否</x:v>
      </x:c>
      <x:c r="M545" s="48" t="str">
        <x:v>疑似重复挂牌</x:v>
      </x:c>
      <x:c r="N545" s="48" t="str">
        <x:v>盛夏公寓|1室0厅2|30|3100|南</x:v>
      </x:c>
      <x:c r="O545" s="48"/>
      <x:c r="P545" s="48" t="str">
        <x:v>未知（未逐条补齐）</x:v>
      </x:c>
      <x:c r="Q545" s="48" t="str">
        <x:v>https://shenzhen.leyoujia.com/zf/detail/RFrb5eyhy9cF1HKACVKoVa.html</x:v>
      </x:c>
      <x:c r="R545" s="48" t="str">
        <x:v>2026-08-13</x:v>
      </x:c>
    </x:row>
    <x:row r="546">
      <x:c r="A546" s="48" t="str">
        <x:v>盛夏公寓</x:v>
      </x:c>
      <x:c r="B546" s="48" t="str">
        <x:v>盛夏公寓</x:v>
      </x:c>
      <x:c r="C546" s="48" t="str">
        <x:v>红岭</x:v>
      </x:c>
      <x:c r="D546" s="56" t="n">
        <x:v>16.2</x:v>
      </x:c>
      <x:c r="E546" s="61" t="n">
        <x:v>3200</x:v>
      </x:c>
      <x:c r="F546" s="61" t="n">
        <x:v>30</x:v>
      </x:c>
      <x:c r="G546" s="61" t="n">
        <x:v>106.7</x:v>
      </x:c>
      <x:c r="H546" s="48" t="str">
        <x:v>1室0厅1</x:v>
      </x:c>
      <x:c r="I546" s="48" t="str">
        <x:v>南</x:v>
      </x:c>
      <x:c r="J546" s="48" t="str">
        <x:v>精装</x:v>
      </x:c>
      <x:c r="K546" s="48" t="str">
        <x:v>公寓</x:v>
      </x:c>
      <x:c r="L546" s="48" t="str">
        <x:v>是</x:v>
      </x:c>
      <x:c r="M546" s="48" t="str">
        <x:v>保留</x:v>
      </x:c>
      <x:c r="N546" s="48" t="str">
        <x:v>盛夏公寓|1室0厅1|30|3200|南</x:v>
      </x:c>
      <x:c r="O546" s="48"/>
      <x:c r="P546" s="48" t="str">
        <x:v>未知（未逐条补齐）</x:v>
      </x:c>
      <x:c r="Q546" s="48" t="str">
        <x:v>https://shenzhen.leyoujia.com/zf/detail/RqVKJ3eJz7dhFh4y8c8YbT.html</x:v>
      </x:c>
      <x:c r="R546" s="48" t="str">
        <x:v>2026-08-13</x:v>
      </x:c>
    </x:row>
    <x:row r="547">
      <x:c r="A547" s="48" t="str">
        <x:v>盛夏公寓</x:v>
      </x:c>
      <x:c r="B547" s="48" t="str">
        <x:v>盛夏公寓</x:v>
      </x:c>
      <x:c r="C547" s="48" t="str">
        <x:v>红岭</x:v>
      </x:c>
      <x:c r="D547" s="56" t="n">
        <x:v>16.2</x:v>
      </x:c>
      <x:c r="E547" s="61" t="n">
        <x:v>3200</x:v>
      </x:c>
      <x:c r="F547" s="61" t="n">
        <x:v>30</x:v>
      </x:c>
      <x:c r="G547" s="61" t="n">
        <x:v>106.7</x:v>
      </x:c>
      <x:c r="H547" s="48" t="str">
        <x:v>1室0厅1</x:v>
      </x:c>
      <x:c r="I547" s="48" t="str">
        <x:v>南</x:v>
      </x:c>
      <x:c r="J547" s="48" t="str">
        <x:v>精装</x:v>
      </x:c>
      <x:c r="K547" s="48" t="str">
        <x:v>公寓</x:v>
      </x:c>
      <x:c r="L547" s="48" t="str">
        <x:v>否</x:v>
      </x:c>
      <x:c r="M547" s="48" t="str">
        <x:v>疑似重复挂牌</x:v>
      </x:c>
      <x:c r="N547" s="48" t="str">
        <x:v>盛夏公寓|1室0厅1|30|3200|南</x:v>
      </x:c>
      <x:c r="O547" s="48"/>
      <x:c r="P547" s="48" t="str">
        <x:v>未知（未逐条补齐）</x:v>
      </x:c>
      <x:c r="Q547" s="48" t="str">
        <x:v>https://shenzhen.leyoujia.com/zf/detail/kJ9fY7jahxrq53cxpwscJ.html</x:v>
      </x:c>
      <x:c r="R547" s="48" t="str">
        <x:v>2026-08-13</x:v>
      </x:c>
    </x:row>
    <x:row r="548">
      <x:c r="A548" s="48" t="str">
        <x:v>盛夏公寓</x:v>
      </x:c>
      <x:c r="B548" s="48" t="str">
        <x:v>盛夏公寓</x:v>
      </x:c>
      <x:c r="C548" s="48" t="str">
        <x:v>红岭</x:v>
      </x:c>
      <x:c r="D548" s="56" t="n">
        <x:v>16.2</x:v>
      </x:c>
      <x:c r="E548" s="61" t="n">
        <x:v>3200</x:v>
      </x:c>
      <x:c r="F548" s="61" t="n">
        <x:v>30</x:v>
      </x:c>
      <x:c r="G548" s="61" t="n">
        <x:v>106.7</x:v>
      </x:c>
      <x:c r="H548" s="48" t="str">
        <x:v>1室0厅1</x:v>
      </x:c>
      <x:c r="I548" s="48" t="str">
        <x:v>南</x:v>
      </x:c>
      <x:c r="J548" s="48" t="str">
        <x:v>精装</x:v>
      </x:c>
      <x:c r="K548" s="48" t="str">
        <x:v>公寓</x:v>
      </x:c>
      <x:c r="L548" s="48" t="str">
        <x:v>否</x:v>
      </x:c>
      <x:c r="M548" s="48" t="str">
        <x:v>疑似重复挂牌</x:v>
      </x:c>
      <x:c r="N548" s="48" t="str">
        <x:v>盛夏公寓|1室0厅1|30|3200|南</x:v>
      </x:c>
      <x:c r="O548" s="48"/>
      <x:c r="P548" s="48" t="str">
        <x:v>未知（未逐条补齐）</x:v>
      </x:c>
      <x:c r="Q548" s="48" t="str">
        <x:v>https://shenzhen.leyoujia.com/zf/detail/Ayv1aDEdF6PbT7EAToYwfZ.html</x:v>
      </x:c>
      <x:c r="R548" s="48" t="str">
        <x:v>2026-08-13</x:v>
      </x:c>
    </x:row>
    <x:row r="549">
      <x:c r="A549" s="48" t="str">
        <x:v>盛夏公寓</x:v>
      </x:c>
      <x:c r="B549" s="48" t="str">
        <x:v>盛夏公寓</x:v>
      </x:c>
      <x:c r="C549" s="48" t="str">
        <x:v>红岭</x:v>
      </x:c>
      <x:c r="D549" s="56" t="n">
        <x:v>16.2</x:v>
      </x:c>
      <x:c r="E549" s="61" t="n">
        <x:v>3300</x:v>
      </x:c>
      <x:c r="F549" s="61" t="n">
        <x:v>30</x:v>
      </x:c>
      <x:c r="G549" s="61" t="n">
        <x:v>110</x:v>
      </x:c>
      <x:c r="H549" s="48" t="str">
        <x:v>1室0厅2</x:v>
      </x:c>
      <x:c r="I549" s="48" t="str">
        <x:v>南</x:v>
      </x:c>
      <x:c r="J549" s="48" t="str">
        <x:v>精装</x:v>
      </x:c>
      <x:c r="K549" s="48" t="str">
        <x:v>公寓</x:v>
      </x:c>
      <x:c r="L549" s="48" t="str">
        <x:v>是</x:v>
      </x:c>
      <x:c r="M549" s="48" t="str">
        <x:v>保留</x:v>
      </x:c>
      <x:c r="N549" s="48" t="str">
        <x:v>盛夏公寓|1室0厅2|30|3300|南</x:v>
      </x:c>
      <x:c r="O549" s="48"/>
      <x:c r="P549" s="48" t="str">
        <x:v>未知（未逐条补齐）</x:v>
      </x:c>
      <x:c r="Q549" s="48" t="str">
        <x:v>https://shenzhen.leyoujia.com/zf/detail/WFSnpMRJv8mVr7yDFyRcWC.html</x:v>
      </x:c>
      <x:c r="R549" s="48" t="str">
        <x:v>2026-08-13</x:v>
      </x:c>
    </x:row>
    <x:row r="550">
      <x:c r="A550" s="48" t="str">
        <x:v>盛夏公寓</x:v>
      </x:c>
      <x:c r="B550" s="48" t="str">
        <x:v>盛夏公寓</x:v>
      </x:c>
      <x:c r="C550" s="48" t="str">
        <x:v>红岭</x:v>
      </x:c>
      <x:c r="D550" s="56" t="n">
        <x:v>16.2</x:v>
      </x:c>
      <x:c r="E550" s="61" t="n">
        <x:v>3300</x:v>
      </x:c>
      <x:c r="F550" s="61" t="n">
        <x:v>30</x:v>
      </x:c>
      <x:c r="G550" s="61" t="n">
        <x:v>110</x:v>
      </x:c>
      <x:c r="H550" s="48" t="str">
        <x:v>1室0厅1</x:v>
      </x:c>
      <x:c r="I550" s="48" t="str">
        <x:v>南</x:v>
      </x:c>
      <x:c r="J550" s="48" t="str">
        <x:v>普装</x:v>
      </x:c>
      <x:c r="K550" s="48" t="str">
        <x:v>公寓</x:v>
      </x:c>
      <x:c r="L550" s="48" t="str">
        <x:v>是</x:v>
      </x:c>
      <x:c r="M550" s="48" t="str">
        <x:v>保留</x:v>
      </x:c>
      <x:c r="N550" s="48" t="str">
        <x:v>盛夏公寓|1室0厅1|30|3300|南</x:v>
      </x:c>
      <x:c r="O550" s="48"/>
      <x:c r="P550" s="48" t="str">
        <x:v>未知（未逐条补齐）</x:v>
      </x:c>
      <x:c r="Q550" s="48" t="str">
        <x:v>https://shenzhen.leyoujia.com/zf/detail/V5SFSYB6xJHi7MeZPTXVBZ.html</x:v>
      </x:c>
      <x:c r="R550" s="48" t="str">
        <x:v>2026-08-13</x:v>
      </x:c>
    </x:row>
    <x:row r="551">
      <x:c r="A551" s="48" t="str">
        <x:v>盛夏公寓</x:v>
      </x:c>
      <x:c r="B551" s="48" t="str">
        <x:v>盛夏公寓</x:v>
      </x:c>
      <x:c r="C551" s="48" t="str">
        <x:v>红岭</x:v>
      </x:c>
      <x:c r="D551" s="56" t="n">
        <x:v>16.2</x:v>
      </x:c>
      <x:c r="E551" s="61" t="n">
        <x:v>3300</x:v>
      </x:c>
      <x:c r="F551" s="61" t="n">
        <x:v>30</x:v>
      </x:c>
      <x:c r="G551" s="61" t="n">
        <x:v>110</x:v>
      </x:c>
      <x:c r="H551" s="48" t="str">
        <x:v>1室0厅1</x:v>
      </x:c>
      <x:c r="I551" s="48" t="str">
        <x:v>南</x:v>
      </x:c>
      <x:c r="J551" s="48" t="str">
        <x:v>精装</x:v>
      </x:c>
      <x:c r="K551" s="48" t="str">
        <x:v>公寓</x:v>
      </x:c>
      <x:c r="L551" s="48" t="str">
        <x:v>否</x:v>
      </x:c>
      <x:c r="M551" s="48" t="str">
        <x:v>疑似重复挂牌</x:v>
      </x:c>
      <x:c r="N551" s="48" t="str">
        <x:v>盛夏公寓|1室0厅1|30|3300|南</x:v>
      </x:c>
      <x:c r="O551" s="48"/>
      <x:c r="P551" s="48" t="str">
        <x:v>未知（未逐条补齐）</x:v>
      </x:c>
      <x:c r="Q551" s="48" t="str">
        <x:v>https://shenzhen.leyoujia.com/zf/detail/Td6P7a5APN2Fv1T8VYyVSD.html</x:v>
      </x:c>
      <x:c r="R551" s="48" t="str">
        <x:v>2026-08-13</x:v>
      </x:c>
    </x:row>
    <x:row r="552">
      <x:c r="A552" s="48" t="str">
        <x:v>盛夏公寓</x:v>
      </x:c>
      <x:c r="B552" s="48" t="str">
        <x:v>盛夏公寓</x:v>
      </x:c>
      <x:c r="C552" s="48" t="str">
        <x:v>红岭</x:v>
      </x:c>
      <x:c r="D552" s="56" t="n">
        <x:v>16.2</x:v>
      </x:c>
      <x:c r="E552" s="61" t="n">
        <x:v>3300</x:v>
      </x:c>
      <x:c r="F552" s="61" t="n">
        <x:v>30</x:v>
      </x:c>
      <x:c r="G552" s="61" t="n">
        <x:v>110</x:v>
      </x:c>
      <x:c r="H552" s="48" t="str">
        <x:v>1室0厅1</x:v>
      </x:c>
      <x:c r="I552" s="48" t="str">
        <x:v>南</x:v>
      </x:c>
      <x:c r="J552" s="48" t="str">
        <x:v>普装</x:v>
      </x:c>
      <x:c r="K552" s="48" t="str">
        <x:v>公寓</x:v>
      </x:c>
      <x:c r="L552" s="48" t="str">
        <x:v>否</x:v>
      </x:c>
      <x:c r="M552" s="48" t="str">
        <x:v>疑似重复挂牌</x:v>
      </x:c>
      <x:c r="N552" s="48" t="str">
        <x:v>盛夏公寓|1室0厅1|30|3300|南</x:v>
      </x:c>
      <x:c r="O552" s="48"/>
      <x:c r="P552" s="48" t="str">
        <x:v>未知（未逐条补齐）</x:v>
      </x:c>
      <x:c r="Q552" s="48" t="str">
        <x:v>https://shenzhen.leyoujia.com/zf/detail/fse2yNKG4R7jwftCGMzk1.html</x:v>
      </x:c>
      <x:c r="R552" s="48" t="str">
        <x:v>2026-08-13</x:v>
      </x:c>
    </x:row>
    <x:row r="553">
      <x:c r="A553" s="48" t="str">
        <x:v>盛夏公寓</x:v>
      </x:c>
      <x:c r="B553" s="48" t="str">
        <x:v>盛夏公寓</x:v>
      </x:c>
      <x:c r="C553" s="48" t="str">
        <x:v>红岭</x:v>
      </x:c>
      <x:c r="D553" s="56" t="n">
        <x:v>16.2</x:v>
      </x:c>
      <x:c r="E553" s="61" t="n">
        <x:v>3300</x:v>
      </x:c>
      <x:c r="F553" s="61" t="n">
        <x:v>30</x:v>
      </x:c>
      <x:c r="G553" s="61" t="n">
        <x:v>110</x:v>
      </x:c>
      <x:c r="H553" s="48" t="str">
        <x:v>1室0厅1</x:v>
      </x:c>
      <x:c r="I553" s="48" t="str">
        <x:v>南</x:v>
      </x:c>
      <x:c r="J553" s="48" t="str">
        <x:v>普装</x:v>
      </x:c>
      <x:c r="K553" s="48" t="str">
        <x:v>公寓</x:v>
      </x:c>
      <x:c r="L553" s="48" t="str">
        <x:v>否</x:v>
      </x:c>
      <x:c r="M553" s="48" t="str">
        <x:v>疑似重复挂牌</x:v>
      </x:c>
      <x:c r="N553" s="48" t="str">
        <x:v>盛夏公寓|1室0厅1|30|3300|南</x:v>
      </x:c>
      <x:c r="O553" s="48"/>
      <x:c r="P553" s="48" t="str">
        <x:v>未知（未逐条补齐）</x:v>
      </x:c>
      <x:c r="Q553" s="48" t="str">
        <x:v>https://shenzhen.leyoujia.com/zf/detail/C5MvEBDe1uQSZF2XPC685U.html</x:v>
      </x:c>
      <x:c r="R553" s="48" t="str">
        <x:v>2026-08-13</x:v>
      </x:c>
    </x:row>
    <x:row r="554">
      <x:c r="A554" s="48" t="str">
        <x:v>盛夏公寓</x:v>
      </x:c>
      <x:c r="B554" s="48" t="str">
        <x:v>盛夏公寓</x:v>
      </x:c>
      <x:c r="C554" s="48" t="str">
        <x:v>红岭</x:v>
      </x:c>
      <x:c r="D554" s="56" t="n">
        <x:v>16.2</x:v>
      </x:c>
      <x:c r="E554" s="61" t="n">
        <x:v>3300</x:v>
      </x:c>
      <x:c r="F554" s="61" t="n">
        <x:v>30</x:v>
      </x:c>
      <x:c r="G554" s="61" t="n">
        <x:v>110</x:v>
      </x:c>
      <x:c r="H554" s="48" t="str">
        <x:v>1室0厅2</x:v>
      </x:c>
      <x:c r="I554" s="48" t="str">
        <x:v>南</x:v>
      </x:c>
      <x:c r="J554" s="48" t="str">
        <x:v>普装</x:v>
      </x:c>
      <x:c r="K554" s="48" t="str">
        <x:v>公寓</x:v>
      </x:c>
      <x:c r="L554" s="48" t="str">
        <x:v>否</x:v>
      </x:c>
      <x:c r="M554" s="48" t="str">
        <x:v>疑似重复挂牌</x:v>
      </x:c>
      <x:c r="N554" s="48" t="str">
        <x:v>盛夏公寓|1室0厅2|30|3300|南</x:v>
      </x:c>
      <x:c r="O554" s="48"/>
      <x:c r="P554" s="48" t="str">
        <x:v>未知（未逐条补齐）</x:v>
      </x:c>
      <x:c r="Q554" s="48" t="str">
        <x:v>https://shenzhen.leyoujia.com/zf/detail/BEjdGcUKxXXi4TQKD9CRyd.html</x:v>
      </x:c>
      <x:c r="R554" s="48" t="str">
        <x:v>2026-08-13</x:v>
      </x:c>
    </x:row>
    <x:row r="555">
      <x:c r="A555" s="48" t="str">
        <x:v>盛夏公寓</x:v>
      </x:c>
      <x:c r="B555" s="48" t="str">
        <x:v>盛夏公寓</x:v>
      </x:c>
      <x:c r="C555" s="48" t="str">
        <x:v>红岭</x:v>
      </x:c>
      <x:c r="D555" s="56" t="n">
        <x:v>16.2</x:v>
      </x:c>
      <x:c r="E555" s="61" t="n">
        <x:v>3500</x:v>
      </x:c>
      <x:c r="F555" s="61" t="n">
        <x:v>30</x:v>
      </x:c>
      <x:c r="G555" s="61" t="n">
        <x:v>116.7</x:v>
      </x:c>
      <x:c r="H555" s="48" t="str">
        <x:v>1室0厅1</x:v>
      </x:c>
      <x:c r="I555" s="48" t="str">
        <x:v>南</x:v>
      </x:c>
      <x:c r="J555" s="48" t="str">
        <x:v>精装</x:v>
      </x:c>
      <x:c r="K555" s="48" t="str">
        <x:v>公寓</x:v>
      </x:c>
      <x:c r="L555" s="48" t="str">
        <x:v>是</x:v>
      </x:c>
      <x:c r="M555" s="48" t="str">
        <x:v>保留</x:v>
      </x:c>
      <x:c r="N555" s="48" t="str">
        <x:v>盛夏公寓|1室0厅1|30|3500|南</x:v>
      </x:c>
      <x:c r="O555" s="48"/>
      <x:c r="P555" s="48" t="str">
        <x:v>未知（未逐条补齐）</x:v>
      </x:c>
      <x:c r="Q555" s="48" t="str">
        <x:v>https://shenzhen.leyoujia.com/zf/detail/9p9r5nU872WUpiBfKbD8yn.html</x:v>
      </x:c>
      <x:c r="R555" s="48" t="str">
        <x:v>2026-08-13</x:v>
      </x:c>
    </x:row>
    <x:row r="556">
      <x:c r="A556" s="48" t="str">
        <x:v>盛夏公寓</x:v>
      </x:c>
      <x:c r="B556" s="48" t="str">
        <x:v>盛夏公寓</x:v>
      </x:c>
      <x:c r="C556" s="48" t="str">
        <x:v>红岭</x:v>
      </x:c>
      <x:c r="D556" s="56" t="n">
        <x:v>16.2</x:v>
      </x:c>
      <x:c r="E556" s="61" t="n">
        <x:v>3500</x:v>
      </x:c>
      <x:c r="F556" s="61" t="n">
        <x:v>30</x:v>
      </x:c>
      <x:c r="G556" s="61" t="n">
        <x:v>116.7</x:v>
      </x:c>
      <x:c r="H556" s="48" t="str">
        <x:v>1室0厅1</x:v>
      </x:c>
      <x:c r="I556" s="48" t="str">
        <x:v>南</x:v>
      </x:c>
      <x:c r="J556" s="48" t="str">
        <x:v>普装</x:v>
      </x:c>
      <x:c r="K556" s="48" t="str">
        <x:v>公寓</x:v>
      </x:c>
      <x:c r="L556" s="48" t="str">
        <x:v>否</x:v>
      </x:c>
      <x:c r="M556" s="48" t="str">
        <x:v>疑似重复挂牌</x:v>
      </x:c>
      <x:c r="N556" s="48" t="str">
        <x:v>盛夏公寓|1室0厅1|30|3500|南</x:v>
      </x:c>
      <x:c r="O556" s="48"/>
      <x:c r="P556" s="48" t="str">
        <x:v>未知（未逐条补齐）</x:v>
      </x:c>
      <x:c r="Q556" s="48" t="str">
        <x:v>https://shenzhen.leyoujia.com/zf/detail/T4hnWKFrT8ALzz5dJYjtWE.html</x:v>
      </x:c>
      <x:c r="R556" s="48" t="str">
        <x:v>2026-08-13</x:v>
      </x:c>
    </x:row>
    <x:row r="557">
      <x:c r="A557" s="48" t="str">
        <x:v>盛夏公寓</x:v>
      </x:c>
      <x:c r="B557" s="48" t="str">
        <x:v>盛夏公寓</x:v>
      </x:c>
      <x:c r="C557" s="48" t="str">
        <x:v>红岭</x:v>
      </x:c>
      <x:c r="D557" s="56" t="n">
        <x:v>16.2</x:v>
      </x:c>
      <x:c r="E557" s="61" t="n">
        <x:v>3500</x:v>
      </x:c>
      <x:c r="F557" s="61" t="n">
        <x:v>30</x:v>
      </x:c>
      <x:c r="G557" s="61" t="n">
        <x:v>116.7</x:v>
      </x:c>
      <x:c r="H557" s="48" t="str">
        <x:v>1室0厅1</x:v>
      </x:c>
      <x:c r="I557" s="48" t="str">
        <x:v>南</x:v>
      </x:c>
      <x:c r="J557" s="48" t="str">
        <x:v>精装</x:v>
      </x:c>
      <x:c r="K557" s="48" t="str">
        <x:v>公寓</x:v>
      </x:c>
      <x:c r="L557" s="48" t="str">
        <x:v>否</x:v>
      </x:c>
      <x:c r="M557" s="48" t="str">
        <x:v>疑似重复挂牌</x:v>
      </x:c>
      <x:c r="N557" s="48" t="str">
        <x:v>盛夏公寓|1室0厅1|30|3500|南</x:v>
      </x:c>
      <x:c r="O557" s="48"/>
      <x:c r="P557" s="48" t="str">
        <x:v>未知（未逐条补齐）</x:v>
      </x:c>
      <x:c r="Q557" s="48" t="str">
        <x:v>https://shenzhen.leyoujia.com/zf/detail/3ag2VXjda63hT78RgkRSVY.html</x:v>
      </x:c>
      <x:c r="R557" s="48" t="str">
        <x:v>2026-08-13</x:v>
      </x:c>
    </x:row>
    <x:row r="558">
      <x:c r="A558" s="48" t="str">
        <x:v>盛夏公寓</x:v>
      </x:c>
      <x:c r="B558" s="48" t="str">
        <x:v>盛夏公寓</x:v>
      </x:c>
      <x:c r="C558" s="48" t="str">
        <x:v>红岭</x:v>
      </x:c>
      <x:c r="D558" s="56" t="n">
        <x:v>16.2</x:v>
      </x:c>
      <x:c r="E558" s="61" t="n">
        <x:v>3500</x:v>
      </x:c>
      <x:c r="F558" s="61" t="n">
        <x:v>30</x:v>
      </x:c>
      <x:c r="G558" s="61" t="n">
        <x:v>116.7</x:v>
      </x:c>
      <x:c r="H558" s="48" t="str">
        <x:v>1室0厅1</x:v>
      </x:c>
      <x:c r="I558" s="48" t="str">
        <x:v>南</x:v>
      </x:c>
      <x:c r="J558" s="48" t="str">
        <x:v>精装</x:v>
      </x:c>
      <x:c r="K558" s="48" t="str">
        <x:v>公寓</x:v>
      </x:c>
      <x:c r="L558" s="48" t="str">
        <x:v>否</x:v>
      </x:c>
      <x:c r="M558" s="48" t="str">
        <x:v>疑似重复挂牌</x:v>
      </x:c>
      <x:c r="N558" s="48" t="str">
        <x:v>盛夏公寓|1室0厅1|30|3500|南</x:v>
      </x:c>
      <x:c r="O558" s="48"/>
      <x:c r="P558" s="48" t="str">
        <x:v>未知（未逐条补齐）</x:v>
      </x:c>
      <x:c r="Q558" s="48" t="str">
        <x:v>https://shenzhen.leyoujia.com/zf/detail/67uSXfg3jAxS84JttwMTZC.html</x:v>
      </x:c>
      <x:c r="R558" s="48" t="str">
        <x:v>2026-08-13</x:v>
      </x:c>
    </x:row>
    <x:row r="559">
      <x:c r="A559" s="48" t="str">
        <x:v>盛夏公寓</x:v>
      </x:c>
      <x:c r="B559" s="48" t="str">
        <x:v>盛夏公寓</x:v>
      </x:c>
      <x:c r="C559" s="48" t="str">
        <x:v>红岭</x:v>
      </x:c>
      <x:c r="D559" s="56" t="n">
        <x:v>16.2</x:v>
      </x:c>
      <x:c r="E559" s="61" t="n">
        <x:v>3500</x:v>
      </x:c>
      <x:c r="F559" s="61" t="n">
        <x:v>30</x:v>
      </x:c>
      <x:c r="G559" s="61" t="n">
        <x:v>116.7</x:v>
      </x:c>
      <x:c r="H559" s="48" t="str">
        <x:v>1室0厅2</x:v>
      </x:c>
      <x:c r="I559" s="48" t="str">
        <x:v>南</x:v>
      </x:c>
      <x:c r="J559" s="48" t="str">
        <x:v>普装</x:v>
      </x:c>
      <x:c r="K559" s="48" t="str">
        <x:v>公寓</x:v>
      </x:c>
      <x:c r="L559" s="48" t="str">
        <x:v>是</x:v>
      </x:c>
      <x:c r="M559" s="48" t="str">
        <x:v>保留</x:v>
      </x:c>
      <x:c r="N559" s="48" t="str">
        <x:v>盛夏公寓|1室0厅2|30|3500|南</x:v>
      </x:c>
      <x:c r="O559" s="48"/>
      <x:c r="P559" s="48" t="str">
        <x:v>未知（未逐条补齐）</x:v>
      </x:c>
      <x:c r="Q559" s="48" t="str">
        <x:v>https://shenzhen.leyoujia.com/zf/detail/ay1aB9rk5fhYqJAgL17LM.html</x:v>
      </x:c>
      <x:c r="R559" s="48" t="str">
        <x:v>2026-08-13</x:v>
      </x:c>
    </x:row>
    <x:row r="560">
      <x:c r="A560" s="48" t="str">
        <x:v>盛夏公寓</x:v>
      </x:c>
      <x:c r="B560" s="48" t="str">
        <x:v>盛夏公寓</x:v>
      </x:c>
      <x:c r="C560" s="48" t="str">
        <x:v>红岭</x:v>
      </x:c>
      <x:c r="D560" s="56" t="n">
        <x:v>16.2</x:v>
      </x:c>
      <x:c r="E560" s="61" t="n">
        <x:v>3500</x:v>
      </x:c>
      <x:c r="F560" s="61" t="n">
        <x:v>30</x:v>
      </x:c>
      <x:c r="G560" s="61" t="n">
        <x:v>116.7</x:v>
      </x:c>
      <x:c r="H560" s="48" t="str">
        <x:v>1室0厅1</x:v>
      </x:c>
      <x:c r="I560" s="48" t="str">
        <x:v>南</x:v>
      </x:c>
      <x:c r="J560" s="48" t="str">
        <x:v>普装</x:v>
      </x:c>
      <x:c r="K560" s="48" t="str">
        <x:v>公寓</x:v>
      </x:c>
      <x:c r="L560" s="48" t="str">
        <x:v>否</x:v>
      </x:c>
      <x:c r="M560" s="48" t="str">
        <x:v>疑似重复挂牌</x:v>
      </x:c>
      <x:c r="N560" s="48" t="str">
        <x:v>盛夏公寓|1室0厅1|30|3500|南</x:v>
      </x:c>
      <x:c r="O560" s="48"/>
      <x:c r="P560" s="48" t="str">
        <x:v>未知（未逐条补齐）</x:v>
      </x:c>
      <x:c r="Q560" s="48" t="str">
        <x:v>https://shenzhen.leyoujia.com/zf/detail/C3oJjaGyDrQa5zP7ANpLQf.html</x:v>
      </x:c>
      <x:c r="R560" s="48" t="str">
        <x:v>2026-08-13</x:v>
      </x:c>
    </x:row>
    <x:row r="561">
      <x:c r="A561" s="48" t="str">
        <x:v>盛夏公寓</x:v>
      </x:c>
      <x:c r="B561" s="48" t="str">
        <x:v>盛夏公寓</x:v>
      </x:c>
      <x:c r="C561" s="48" t="str">
        <x:v>红岭</x:v>
      </x:c>
      <x:c r="D561" s="56" t="n">
        <x:v>16.2</x:v>
      </x:c>
      <x:c r="E561" s="61" t="n">
        <x:v>3500</x:v>
      </x:c>
      <x:c r="F561" s="61" t="n">
        <x:v>30</x:v>
      </x:c>
      <x:c r="G561" s="61" t="n">
        <x:v>116.7</x:v>
      </x:c>
      <x:c r="H561" s="48" t="str">
        <x:v>1室0厅1</x:v>
      </x:c>
      <x:c r="I561" s="48" t="str">
        <x:v>南</x:v>
      </x:c>
      <x:c r="J561" s="48" t="str">
        <x:v>普装</x:v>
      </x:c>
      <x:c r="K561" s="48" t="str">
        <x:v>公寓</x:v>
      </x:c>
      <x:c r="L561" s="48" t="str">
        <x:v>否</x:v>
      </x:c>
      <x:c r="M561" s="48" t="str">
        <x:v>疑似重复挂牌</x:v>
      </x:c>
      <x:c r="N561" s="48" t="str">
        <x:v>盛夏公寓|1室0厅1|30|3500|南</x:v>
      </x:c>
      <x:c r="O561" s="48"/>
      <x:c r="P561" s="48" t="str">
        <x:v>未知（未逐条补齐）</x:v>
      </x:c>
      <x:c r="Q561" s="48" t="str">
        <x:v>https://shenzhen.leyoujia.com/zf/detail/KVVT7tVWZ7w65yhLMMziMS.html</x:v>
      </x:c>
      <x:c r="R561" s="48" t="str">
        <x:v>2026-08-13</x:v>
      </x:c>
    </x:row>
    <x:row r="562">
      <x:c r="A562" s="48" t="str">
        <x:v>盛夏公寓</x:v>
      </x:c>
      <x:c r="B562" s="48" t="str">
        <x:v>盛夏公寓</x:v>
      </x:c>
      <x:c r="C562" s="48" t="str">
        <x:v>红岭</x:v>
      </x:c>
      <x:c r="D562" s="56" t="n">
        <x:v>16.2</x:v>
      </x:c>
      <x:c r="E562" s="61" t="n">
        <x:v>3500</x:v>
      </x:c>
      <x:c r="F562" s="61" t="n">
        <x:v>30</x:v>
      </x:c>
      <x:c r="G562" s="61" t="n">
        <x:v>116.7</x:v>
      </x:c>
      <x:c r="H562" s="48" t="str">
        <x:v>1室0厅1</x:v>
      </x:c>
      <x:c r="I562" s="48" t="str">
        <x:v>南</x:v>
      </x:c>
      <x:c r="J562" s="48" t="str">
        <x:v>普装</x:v>
      </x:c>
      <x:c r="K562" s="48" t="str">
        <x:v>公寓</x:v>
      </x:c>
      <x:c r="L562" s="48" t="str">
        <x:v>否</x:v>
      </x:c>
      <x:c r="M562" s="48" t="str">
        <x:v>疑似重复挂牌</x:v>
      </x:c>
      <x:c r="N562" s="48" t="str">
        <x:v>盛夏公寓|1室0厅1|30|3500|南</x:v>
      </x:c>
      <x:c r="O562" s="48"/>
      <x:c r="P562" s="48" t="str">
        <x:v>未知（未逐条补齐）</x:v>
      </x:c>
      <x:c r="Q562" s="48" t="str">
        <x:v>https://shenzhen.leyoujia.com/zf/detail/CRUZDEj9qSpSYPd8hbWcH2.html</x:v>
      </x:c>
      <x:c r="R562" s="48" t="str">
        <x:v>2026-08-13</x:v>
      </x:c>
    </x:row>
    <x:row r="563">
      <x:c r="A563" s="48" t="str">
        <x:v>盛夏公寓</x:v>
      </x:c>
      <x:c r="B563" s="48" t="str">
        <x:v>盛夏公寓</x:v>
      </x:c>
      <x:c r="C563" s="48" t="str">
        <x:v>红岭</x:v>
      </x:c>
      <x:c r="D563" s="56" t="n">
        <x:v>16.2</x:v>
      </x:c>
      <x:c r="E563" s="61" t="n">
        <x:v>3500</x:v>
      </x:c>
      <x:c r="F563" s="61" t="n">
        <x:v>30</x:v>
      </x:c>
      <x:c r="G563" s="61" t="n">
        <x:v>116.7</x:v>
      </x:c>
      <x:c r="H563" s="48" t="str">
        <x:v>1室0厅1</x:v>
      </x:c>
      <x:c r="I563" s="48" t="str">
        <x:v>南</x:v>
      </x:c>
      <x:c r="J563" s="48" t="str">
        <x:v>普装</x:v>
      </x:c>
      <x:c r="K563" s="48" t="str">
        <x:v>公寓</x:v>
      </x:c>
      <x:c r="L563" s="48" t="str">
        <x:v>否</x:v>
      </x:c>
      <x:c r="M563" s="48" t="str">
        <x:v>疑似重复挂牌</x:v>
      </x:c>
      <x:c r="N563" s="48" t="str">
        <x:v>盛夏公寓|1室0厅1|30|3500|南</x:v>
      </x:c>
      <x:c r="O563" s="48"/>
      <x:c r="P563" s="48" t="str">
        <x:v>未知（未逐条补齐）</x:v>
      </x:c>
      <x:c r="Q563" s="48" t="str">
        <x:v>https://shenzhen.leyoujia.com/zf/detail/ApKqB86ijFN9SXK5Y4CTSK.html</x:v>
      </x:c>
      <x:c r="R563" s="48" t="str">
        <x:v>2026-08-13</x:v>
      </x:c>
    </x:row>
    <x:row r="564">
      <x:c r="A564" s="48" t="str">
        <x:v>盛夏公寓</x:v>
      </x:c>
      <x:c r="B564" s="48" t="str">
        <x:v>盛夏公寓</x:v>
      </x:c>
      <x:c r="C564" s="48" t="str">
        <x:v>红岭</x:v>
      </x:c>
      <x:c r="D564" s="56" t="n">
        <x:v>16.2</x:v>
      </x:c>
      <x:c r="E564" s="61" t="n">
        <x:v>3500</x:v>
      </x:c>
      <x:c r="F564" s="61" t="n">
        <x:v>30</x:v>
      </x:c>
      <x:c r="G564" s="61" t="n">
        <x:v>116.7</x:v>
      </x:c>
      <x:c r="H564" s="48" t="str">
        <x:v>1室0厅1</x:v>
      </x:c>
      <x:c r="I564" s="48" t="str">
        <x:v>南</x:v>
      </x:c>
      <x:c r="J564" s="48" t="str">
        <x:v>精装</x:v>
      </x:c>
      <x:c r="K564" s="48" t="str">
        <x:v>公寓</x:v>
      </x:c>
      <x:c r="L564" s="48" t="str">
        <x:v>否</x:v>
      </x:c>
      <x:c r="M564" s="48" t="str">
        <x:v>疑似重复挂牌</x:v>
      </x:c>
      <x:c r="N564" s="48" t="str">
        <x:v>盛夏公寓|1室0厅1|30|3500|南</x:v>
      </x:c>
      <x:c r="O564" s="48"/>
      <x:c r="P564" s="48" t="str">
        <x:v>未知（未逐条补齐）</x:v>
      </x:c>
      <x:c r="Q564" s="48" t="str">
        <x:v>https://shenzhen.leyoujia.com/zf/detail/WFPxWAKNB8tBa6pfuyJLqz.html</x:v>
      </x:c>
      <x:c r="R564" s="48" t="str">
        <x:v>2026-08-13</x:v>
      </x:c>
    </x:row>
    <x:row r="565">
      <x:c r="A565" s="48" t="str">
        <x:v>盛夏公寓</x:v>
      </x:c>
      <x:c r="B565" s="48" t="str">
        <x:v>盛夏公寓</x:v>
      </x:c>
      <x:c r="C565" s="48" t="str">
        <x:v>红岭</x:v>
      </x:c>
      <x:c r="D565" s="56" t="n">
        <x:v>16.2</x:v>
      </x:c>
      <x:c r="E565" s="61" t="n">
        <x:v>3500</x:v>
      </x:c>
      <x:c r="F565" s="61" t="n">
        <x:v>30</x:v>
      </x:c>
      <x:c r="G565" s="61" t="n">
        <x:v>116.7</x:v>
      </x:c>
      <x:c r="H565" s="48" t="str">
        <x:v>1室0厅1</x:v>
      </x:c>
      <x:c r="I565" s="48" t="str">
        <x:v>南</x:v>
      </x:c>
      <x:c r="J565" s="48" t="str">
        <x:v>普装</x:v>
      </x:c>
      <x:c r="K565" s="48" t="str">
        <x:v>公寓</x:v>
      </x:c>
      <x:c r="L565" s="48" t="str">
        <x:v>否</x:v>
      </x:c>
      <x:c r="M565" s="48" t="str">
        <x:v>疑似重复挂牌</x:v>
      </x:c>
      <x:c r="N565" s="48" t="str">
        <x:v>盛夏公寓|1室0厅1|30|3500|南</x:v>
      </x:c>
      <x:c r="O565" s="48"/>
      <x:c r="P565" s="48" t="str">
        <x:v>未知（未逐条补齐）</x:v>
      </x:c>
      <x:c r="Q565" s="48" t="str">
        <x:v>https://shenzhen.leyoujia.com/zf/detail/5DfTuDbSpvMoGz8nbWdcs1.html</x:v>
      </x:c>
      <x:c r="R565" s="48" t="str">
        <x:v>2026-08-13</x:v>
      </x:c>
    </x:row>
    <x:row r="566">
      <x:c r="A566" s="48" t="str">
        <x:v>盛夏公寓</x:v>
      </x:c>
      <x:c r="B566" s="48" t="str">
        <x:v>盛夏公寓</x:v>
      </x:c>
      <x:c r="C566" s="48" t="str">
        <x:v>红岭</x:v>
      </x:c>
      <x:c r="D566" s="56" t="n">
        <x:v>16.2</x:v>
      </x:c>
      <x:c r="E566" s="61" t="n">
        <x:v>3500</x:v>
      </x:c>
      <x:c r="F566" s="61" t="n">
        <x:v>30</x:v>
      </x:c>
      <x:c r="G566" s="61" t="n">
        <x:v>116.7</x:v>
      </x:c>
      <x:c r="H566" s="48" t="str">
        <x:v>1室0厅1</x:v>
      </x:c>
      <x:c r="I566" s="48" t="str">
        <x:v>南</x:v>
      </x:c>
      <x:c r="J566" s="48" t="str">
        <x:v>普装</x:v>
      </x:c>
      <x:c r="K566" s="48" t="str">
        <x:v>公寓</x:v>
      </x:c>
      <x:c r="L566" s="48" t="str">
        <x:v>否</x:v>
      </x:c>
      <x:c r="M566" s="48" t="str">
        <x:v>疑似重复挂牌</x:v>
      </x:c>
      <x:c r="N566" s="48" t="str">
        <x:v>盛夏公寓|1室0厅1|30|3500|南</x:v>
      </x:c>
      <x:c r="O566" s="48"/>
      <x:c r="P566" s="48" t="str">
        <x:v>未知（未逐条补齐）</x:v>
      </x:c>
      <x:c r="Q566" s="48" t="str">
        <x:v>https://shenzhen.leyoujia.com/zf/detail/Xp7tGSboJtuRumYjQqnabK.html</x:v>
      </x:c>
      <x:c r="R566" s="48" t="str">
        <x:v>2026-08-13</x:v>
      </x:c>
    </x:row>
    <x:row r="567">
      <x:c r="A567" s="48" t="str">
        <x:v>盛夏公寓</x:v>
      </x:c>
      <x:c r="B567" s="48" t="str">
        <x:v>盛夏公寓</x:v>
      </x:c>
      <x:c r="C567" s="48" t="str">
        <x:v>红岭</x:v>
      </x:c>
      <x:c r="D567" s="56" t="n">
        <x:v>16.2</x:v>
      </x:c>
      <x:c r="E567" s="61" t="n">
        <x:v>3600</x:v>
      </x:c>
      <x:c r="F567" s="61" t="n">
        <x:v>30</x:v>
      </x:c>
      <x:c r="G567" s="61" t="n">
        <x:v>120</x:v>
      </x:c>
      <x:c r="H567" s="48" t="str">
        <x:v>1室0厅1</x:v>
      </x:c>
      <x:c r="I567" s="48" t="str">
        <x:v>南</x:v>
      </x:c>
      <x:c r="J567" s="48" t="str">
        <x:v>精装</x:v>
      </x:c>
      <x:c r="K567" s="48" t="str">
        <x:v>公寓</x:v>
      </x:c>
      <x:c r="L567" s="48" t="str">
        <x:v>是</x:v>
      </x:c>
      <x:c r="M567" s="48" t="str">
        <x:v>保留</x:v>
      </x:c>
      <x:c r="N567" s="48" t="str">
        <x:v>盛夏公寓|1室0厅1|30|3600|南</x:v>
      </x:c>
      <x:c r="O567" s="48"/>
      <x:c r="P567" s="48" t="str">
        <x:v>未知（未逐条补齐）</x:v>
      </x:c>
      <x:c r="Q567" s="48" t="str">
        <x:v>https://shenzhen.leyoujia.com/zf/detail/4u5GxcQFTeN7C2RpniJJLT.html</x:v>
      </x:c>
      <x:c r="R567" s="48" t="str">
        <x:v>2026-08-13</x:v>
      </x:c>
    </x:row>
    <x:row r="568">
      <x:c r="A568" s="48" t="str">
        <x:v>盛夏公寓</x:v>
      </x:c>
      <x:c r="B568" s="48" t="str">
        <x:v>盛夏公寓</x:v>
      </x:c>
      <x:c r="C568" s="48" t="str">
        <x:v>红岭</x:v>
      </x:c>
      <x:c r="D568" s="56" t="n">
        <x:v>16.2</x:v>
      </x:c>
      <x:c r="E568" s="61" t="n">
        <x:v>3600</x:v>
      </x:c>
      <x:c r="F568" s="61" t="n">
        <x:v>30</x:v>
      </x:c>
      <x:c r="G568" s="61" t="n">
        <x:v>120</x:v>
      </x:c>
      <x:c r="H568" s="48" t="str">
        <x:v>1室1厅1</x:v>
      </x:c>
      <x:c r="I568" s="48" t="str">
        <x:v>东西</x:v>
      </x:c>
      <x:c r="J568" s="48" t="str">
        <x:v>精装</x:v>
      </x:c>
      <x:c r="K568" s="48" t="str">
        <x:v>公寓</x:v>
      </x:c>
      <x:c r="L568" s="48" t="str">
        <x:v>是</x:v>
      </x:c>
      <x:c r="M568" s="48" t="str">
        <x:v>保留</x:v>
      </x:c>
      <x:c r="N568" s="48" t="str">
        <x:v>盛夏公寓|1室1厅1|30|3600|东西</x:v>
      </x:c>
      <x:c r="O568" s="48"/>
      <x:c r="P568" s="48" t="str">
        <x:v>未知（未逐条补齐）</x:v>
      </x:c>
      <x:c r="Q568" s="48" t="str">
        <x:v>https://shenzhen.leyoujia.com/zf/detail/AkMd8qSGivAJbZP16GFgaw.html</x:v>
      </x:c>
      <x:c r="R568" s="48" t="str">
        <x:v>2026-08-13</x:v>
      </x:c>
    </x:row>
    <x:row r="569">
      <x:c r="A569" s="48" t="str">
        <x:v>盛夏公寓</x:v>
      </x:c>
      <x:c r="B569" s="48" t="str">
        <x:v>盛夏公寓</x:v>
      </x:c>
      <x:c r="C569" s="48" t="str">
        <x:v>红岭</x:v>
      </x:c>
      <x:c r="D569" s="56" t="n">
        <x:v>16.2</x:v>
      </x:c>
      <x:c r="E569" s="61" t="n">
        <x:v>3600</x:v>
      </x:c>
      <x:c r="F569" s="61" t="n">
        <x:v>30</x:v>
      </x:c>
      <x:c r="G569" s="61" t="n">
        <x:v>120</x:v>
      </x:c>
      <x:c r="H569" s="48" t="str">
        <x:v>1室0厅2</x:v>
      </x:c>
      <x:c r="I569" s="48" t="str">
        <x:v>南</x:v>
      </x:c>
      <x:c r="J569" s="48" t="str">
        <x:v>普装</x:v>
      </x:c>
      <x:c r="K569" s="48" t="str">
        <x:v>公寓</x:v>
      </x:c>
      <x:c r="L569" s="48" t="str">
        <x:v>是</x:v>
      </x:c>
      <x:c r="M569" s="48" t="str">
        <x:v>保留</x:v>
      </x:c>
      <x:c r="N569" s="48" t="str">
        <x:v>盛夏公寓|1室0厅2|30|3600|南</x:v>
      </x:c>
      <x:c r="O569" s="48"/>
      <x:c r="P569" s="48" t="str">
        <x:v>未知（未逐条补齐）</x:v>
      </x:c>
      <x:c r="Q569" s="48" t="str">
        <x:v>https://shenzhen.leyoujia.com/zf/detail/KKP2GkS83Xe6AFbUfyokb.html</x:v>
      </x:c>
      <x:c r="R569" s="48" t="str">
        <x:v>2026-08-13</x:v>
      </x:c>
    </x:row>
    <x:row r="570">
      <x:c r="A570" s="48" t="str">
        <x:v>盛夏公寓</x:v>
      </x:c>
      <x:c r="B570" s="48" t="str">
        <x:v>盛夏公寓</x:v>
      </x:c>
      <x:c r="C570" s="48" t="str">
        <x:v>红岭</x:v>
      </x:c>
      <x:c r="D570" s="56" t="n">
        <x:v>16.2</x:v>
      </x:c>
      <x:c r="E570" s="61" t="n">
        <x:v>3700</x:v>
      </x:c>
      <x:c r="F570" s="61" t="n">
        <x:v>30</x:v>
      </x:c>
      <x:c r="G570" s="61" t="n">
        <x:v>123.3</x:v>
      </x:c>
      <x:c r="H570" s="48" t="str">
        <x:v>1室0厅2</x:v>
      </x:c>
      <x:c r="I570" s="48" t="str">
        <x:v>南</x:v>
      </x:c>
      <x:c r="J570" s="48" t="str">
        <x:v>精装</x:v>
      </x:c>
      <x:c r="K570" s="48" t="str">
        <x:v>公寓</x:v>
      </x:c>
      <x:c r="L570" s="48" t="str">
        <x:v>是</x:v>
      </x:c>
      <x:c r="M570" s="48" t="str">
        <x:v>保留</x:v>
      </x:c>
      <x:c r="N570" s="48" t="str">
        <x:v>盛夏公寓|1室0厅2|30|3700|南</x:v>
      </x:c>
      <x:c r="O570" s="48"/>
      <x:c r="P570" s="48" t="str">
        <x:v>未知（未逐条补齐）</x:v>
      </x:c>
      <x:c r="Q570" s="48" t="str">
        <x:v>https://shenzhen.leyoujia.com/zf/detail/CMRTNvxCJDUSz1RXc868Nj.html</x:v>
      </x:c>
      <x:c r="R570" s="48" t="str">
        <x:v>2026-08-13</x:v>
      </x:c>
    </x:row>
    <x:row r="571">
      <x:c r="A571" s="48" t="str">
        <x:v>盛夏公寓</x:v>
      </x:c>
      <x:c r="B571" s="48" t="str">
        <x:v>盛夏公寓</x:v>
      </x:c>
      <x:c r="C571" s="48" t="str">
        <x:v>红岭</x:v>
      </x:c>
      <x:c r="D571" s="56" t="n">
        <x:v>16.2</x:v>
      </x:c>
      <x:c r="E571" s="61" t="n">
        <x:v>3800</x:v>
      </x:c>
      <x:c r="F571" s="61" t="n">
        <x:v>30</x:v>
      </x:c>
      <x:c r="G571" s="61" t="n">
        <x:v>126.7</x:v>
      </x:c>
      <x:c r="H571" s="48" t="str">
        <x:v>1室0厅1</x:v>
      </x:c>
      <x:c r="I571" s="48" t="str">
        <x:v>南</x:v>
      </x:c>
      <x:c r="J571" s="48" t="str">
        <x:v>精装</x:v>
      </x:c>
      <x:c r="K571" s="48" t="str">
        <x:v>公寓</x:v>
      </x:c>
      <x:c r="L571" s="48" t="str">
        <x:v>是</x:v>
      </x:c>
      <x:c r="M571" s="48" t="str">
        <x:v>保留</x:v>
      </x:c>
      <x:c r="N571" s="48" t="str">
        <x:v>盛夏公寓|1室0厅1|30|3800|南</x:v>
      </x:c>
      <x:c r="O571" s="48"/>
      <x:c r="P571" s="48" t="str">
        <x:v>未知（未逐条补齐）</x:v>
      </x:c>
      <x:c r="Q571" s="48" t="str">
        <x:v>https://shenzhen.leyoujia.com/zf/detail/Cqww7G6dYhAL54LnPAHqjB.html</x:v>
      </x:c>
      <x:c r="R571" s="48" t="str">
        <x:v>2026-08-13</x:v>
      </x:c>
    </x:row>
    <x:row r="572">
      <x:c r="A572" s="48" t="str">
        <x:v>盛夏公寓</x:v>
      </x:c>
      <x:c r="B572" s="48" t="str">
        <x:v>盛夏公寓</x:v>
      </x:c>
      <x:c r="C572" s="48" t="str">
        <x:v>红岭</x:v>
      </x:c>
      <x:c r="D572" s="56" t="n">
        <x:v>16.2</x:v>
      </x:c>
      <x:c r="E572" s="61" t="n">
        <x:v>3800</x:v>
      </x:c>
      <x:c r="F572" s="61" t="n">
        <x:v>30</x:v>
      </x:c>
      <x:c r="G572" s="61" t="n">
        <x:v>126.7</x:v>
      </x:c>
      <x:c r="H572" s="48" t="str">
        <x:v>1室0厅2</x:v>
      </x:c>
      <x:c r="I572" s="48" t="str">
        <x:v>南</x:v>
      </x:c>
      <x:c r="J572" s="48" t="str">
        <x:v>普装</x:v>
      </x:c>
      <x:c r="K572" s="48" t="str">
        <x:v>公寓</x:v>
      </x:c>
      <x:c r="L572" s="48" t="str">
        <x:v>是</x:v>
      </x:c>
      <x:c r="M572" s="48" t="str">
        <x:v>保留</x:v>
      </x:c>
      <x:c r="N572" s="48" t="str">
        <x:v>盛夏公寓|1室0厅2|30|3800|南</x:v>
      </x:c>
      <x:c r="O572" s="48"/>
      <x:c r="P572" s="48" t="str">
        <x:v>未知（未逐条补齐）</x:v>
      </x:c>
      <x:c r="Q572" s="48" t="str">
        <x:v>https://shenzhen.leyoujia.com/zf/detail/GvKrgvVfsgMF98KfrG6c7z.html</x:v>
      </x:c>
      <x:c r="R572" s="48" t="str">
        <x:v>2026-08-13</x:v>
      </x:c>
    </x:row>
    <x:row r="573">
      <x:c r="A573" s="48" t="str">
        <x:v>盛夏公寓</x:v>
      </x:c>
      <x:c r="B573" s="48" t="str">
        <x:v>盛夏公寓</x:v>
      </x:c>
      <x:c r="C573" s="48" t="str">
        <x:v>红岭</x:v>
      </x:c>
      <x:c r="D573" s="56" t="n">
        <x:v>16.2</x:v>
      </x:c>
      <x:c r="E573" s="61" t="n">
        <x:v>3800</x:v>
      </x:c>
      <x:c r="F573" s="61" t="n">
        <x:v>30</x:v>
      </x:c>
      <x:c r="G573" s="61" t="n">
        <x:v>126.7</x:v>
      </x:c>
      <x:c r="H573" s="48" t="str">
        <x:v>1室0厅2</x:v>
      </x:c>
      <x:c r="I573" s="48" t="str">
        <x:v>南</x:v>
      </x:c>
      <x:c r="J573" s="48" t="str">
        <x:v>精装</x:v>
      </x:c>
      <x:c r="K573" s="48" t="str">
        <x:v>公寓</x:v>
      </x:c>
      <x:c r="L573" s="48" t="str">
        <x:v>否</x:v>
      </x:c>
      <x:c r="M573" s="48" t="str">
        <x:v>疑似重复挂牌</x:v>
      </x:c>
      <x:c r="N573" s="48" t="str">
        <x:v>盛夏公寓|1室0厅2|30|3800|南</x:v>
      </x:c>
      <x:c r="O573" s="48"/>
      <x:c r="P573" s="48" t="str">
        <x:v>未知（未逐条补齐）</x:v>
      </x:c>
      <x:c r="Q573" s="48" t="str">
        <x:v>https://shenzhen.leyoujia.com/zf/detail/6PgvAcoT8Us7Tp7eGpEJ8A.html</x:v>
      </x:c>
      <x:c r="R573" s="48" t="str">
        <x:v>2026-08-13</x:v>
      </x:c>
    </x:row>
    <x:row r="574">
      <x:c r="A574" s="48" t="str">
        <x:v>盛夏公寓</x:v>
      </x:c>
      <x:c r="B574" s="48" t="str">
        <x:v>盛夏公寓</x:v>
      </x:c>
      <x:c r="C574" s="48" t="str">
        <x:v>红岭</x:v>
      </x:c>
      <x:c r="D574" s="56" t="n">
        <x:v>16.2</x:v>
      </x:c>
      <x:c r="E574" s="61" t="n">
        <x:v>3800</x:v>
      </x:c>
      <x:c r="F574" s="61" t="n">
        <x:v>30</x:v>
      </x:c>
      <x:c r="G574" s="61" t="n">
        <x:v>126.7</x:v>
      </x:c>
      <x:c r="H574" s="48" t="str">
        <x:v>1室0厅1</x:v>
      </x:c>
      <x:c r="I574" s="48" t="str">
        <x:v>南</x:v>
      </x:c>
      <x:c r="J574" s="48" t="str">
        <x:v>普装</x:v>
      </x:c>
      <x:c r="K574" s="48" t="str">
        <x:v>普通住宅</x:v>
      </x:c>
      <x:c r="L574" s="48" t="str">
        <x:v>否</x:v>
      </x:c>
      <x:c r="M574" s="48" t="str">
        <x:v>疑似重复挂牌</x:v>
      </x:c>
      <x:c r="N574" s="48" t="str">
        <x:v>盛夏公寓|1室0厅1|30|3800|南</x:v>
      </x:c>
      <x:c r="O574" s="48"/>
      <x:c r="P574" s="48" t="str">
        <x:v>未知（未逐条补齐）</x:v>
      </x:c>
      <x:c r="Q574" s="48" t="str">
        <x:v>https://shenzhen.leyoujia.com/zf/detail/WGUvMh21PbY952QGQxkbRK.html</x:v>
      </x:c>
      <x:c r="R574" s="48" t="str">
        <x:v>2026-08-13</x:v>
      </x:c>
    </x:row>
    <x:row r="575">
      <x:c r="A575" s="48" t="str">
        <x:v>盛夏公寓</x:v>
      </x:c>
      <x:c r="B575" s="48" t="str">
        <x:v>盛夏公寓</x:v>
      </x:c>
      <x:c r="C575" s="48" t="str">
        <x:v>红岭</x:v>
      </x:c>
      <x:c r="D575" s="56" t="n">
        <x:v>16.2</x:v>
      </x:c>
      <x:c r="E575" s="61" t="n">
        <x:v>4000</x:v>
      </x:c>
      <x:c r="F575" s="61" t="n">
        <x:v>30</x:v>
      </x:c>
      <x:c r="G575" s="61" t="n">
        <x:v>133.3</x:v>
      </x:c>
      <x:c r="H575" s="48" t="str">
        <x:v>1室0厅1</x:v>
      </x:c>
      <x:c r="I575" s="48" t="str">
        <x:v>南</x:v>
      </x:c>
      <x:c r="J575" s="48" t="str">
        <x:v>精装</x:v>
      </x:c>
      <x:c r="K575" s="48" t="str">
        <x:v>公寓</x:v>
      </x:c>
      <x:c r="L575" s="48" t="str">
        <x:v>是</x:v>
      </x:c>
      <x:c r="M575" s="48" t="str">
        <x:v>保留</x:v>
      </x:c>
      <x:c r="N575" s="48" t="str">
        <x:v>盛夏公寓|1室0厅1|30|4000|南</x:v>
      </x:c>
      <x:c r="O575" s="48"/>
      <x:c r="P575" s="48" t="str">
        <x:v>未知（未逐条补齐）</x:v>
      </x:c>
      <x:c r="Q575" s="48" t="str">
        <x:v>https://shenzhen.leyoujia.com/zf/detail/Dy6miPE3pXTa9i9vLVL2PZ.html</x:v>
      </x:c>
      <x:c r="R575" s="48" t="str">
        <x:v>2026-08-13</x:v>
      </x:c>
    </x:row>
    <x:row r="576">
      <x:c r="A576" s="48" t="str">
        <x:v>盛夏公寓</x:v>
      </x:c>
      <x:c r="B576" s="48" t="str">
        <x:v>盛夏公寓</x:v>
      </x:c>
      <x:c r="C576" s="48" t="str">
        <x:v>红岭</x:v>
      </x:c>
      <x:c r="D576" s="56" t="n">
        <x:v>16.2</x:v>
      </x:c>
      <x:c r="E576" s="61" t="n">
        <x:v>4000</x:v>
      </x:c>
      <x:c r="F576" s="61" t="n">
        <x:v>30</x:v>
      </x:c>
      <x:c r="G576" s="61" t="n">
        <x:v>133.3</x:v>
      </x:c>
      <x:c r="H576" s="48" t="str">
        <x:v>1室0厅1</x:v>
      </x:c>
      <x:c r="I576" s="48" t="str">
        <x:v>南</x:v>
      </x:c>
      <x:c r="J576" s="48" t="str">
        <x:v>精装</x:v>
      </x:c>
      <x:c r="K576" s="48" t="str">
        <x:v>公寓</x:v>
      </x:c>
      <x:c r="L576" s="48" t="str">
        <x:v>否</x:v>
      </x:c>
      <x:c r="M576" s="48" t="str">
        <x:v>疑似重复挂牌</x:v>
      </x:c>
      <x:c r="N576" s="48" t="str">
        <x:v>盛夏公寓|1室0厅1|30|4000|南</x:v>
      </x:c>
      <x:c r="O576" s="48"/>
      <x:c r="P576" s="48" t="str">
        <x:v>未知（未逐条补齐）</x:v>
      </x:c>
      <x:c r="Q576" s="48" t="str">
        <x:v>https://shenzhen.leyoujia.com/zf/detail/3aTXrMiwn89WkwxigeXzpn.html</x:v>
      </x:c>
      <x:c r="R576" s="48" t="str">
        <x:v>2026-08-13</x:v>
      </x:c>
    </x:row>
    <x:row r="577">
      <x:c r="A577" s="48" t="str">
        <x:v>盛夏公寓</x:v>
      </x:c>
      <x:c r="B577" s="48" t="str">
        <x:v>盛夏公寓</x:v>
      </x:c>
      <x:c r="C577" s="48" t="str">
        <x:v>红岭</x:v>
      </x:c>
      <x:c r="D577" s="56" t="n">
        <x:v>16.2</x:v>
      </x:c>
      <x:c r="E577" s="61" t="n">
        <x:v>4200</x:v>
      </x:c>
      <x:c r="F577" s="61" t="n">
        <x:v>30</x:v>
      </x:c>
      <x:c r="G577" s="61" t="n">
        <x:v>140</x:v>
      </x:c>
      <x:c r="H577" s="48" t="str">
        <x:v>1室0厅1</x:v>
      </x:c>
      <x:c r="I577" s="48" t="str">
        <x:v>南</x:v>
      </x:c>
      <x:c r="J577" s="48" t="str">
        <x:v>精装</x:v>
      </x:c>
      <x:c r="K577" s="48" t="str">
        <x:v>公寓</x:v>
      </x:c>
      <x:c r="L577" s="48" t="str">
        <x:v>是</x:v>
      </x:c>
      <x:c r="M577" s="48" t="str">
        <x:v>保留</x:v>
      </x:c>
      <x:c r="N577" s="48" t="str">
        <x:v>盛夏公寓|1室0厅1|30|4200|南</x:v>
      </x:c>
      <x:c r="O577" s="48"/>
      <x:c r="P577" s="48" t="str">
        <x:v>未知（未逐条补齐）</x:v>
      </x:c>
      <x:c r="Q577" s="48" t="str">
        <x:v>https://shenzhen.leyoujia.com/zf/detail/KibvhqFN9zgnFAtvjwQij9.html</x:v>
      </x:c>
      <x:c r="R577" s="48" t="str">
        <x:v>2026-08-13</x:v>
      </x:c>
    </x:row>
    <x:row r="578">
      <x:c r="A578" s="48" t="str">
        <x:v>盛夏公寓</x:v>
      </x:c>
      <x:c r="B578" s="48" t="str">
        <x:v>盛夏公寓</x:v>
      </x:c>
      <x:c r="C578" s="48" t="str">
        <x:v>红岭</x:v>
      </x:c>
      <x:c r="D578" s="56" t="n">
        <x:v>16.2</x:v>
      </x:c>
      <x:c r="E578" s="61" t="n">
        <x:v>4200</x:v>
      </x:c>
      <x:c r="F578" s="61" t="n">
        <x:v>30</x:v>
      </x:c>
      <x:c r="G578" s="61" t="n">
        <x:v>140</x:v>
      </x:c>
      <x:c r="H578" s="48" t="str">
        <x:v>1室0厅1</x:v>
      </x:c>
      <x:c r="I578" s="48" t="str">
        <x:v>南</x:v>
      </x:c>
      <x:c r="J578" s="48" t="str">
        <x:v>精装</x:v>
      </x:c>
      <x:c r="K578" s="48" t="str">
        <x:v>公寓</x:v>
      </x:c>
      <x:c r="L578" s="48" t="str">
        <x:v>否</x:v>
      </x:c>
      <x:c r="M578" s="48" t="str">
        <x:v>疑似重复挂牌</x:v>
      </x:c>
      <x:c r="N578" s="48" t="str">
        <x:v>盛夏公寓|1室0厅1|30|4200|南</x:v>
      </x:c>
      <x:c r="O578" s="48"/>
      <x:c r="P578" s="48" t="str">
        <x:v>未知（未逐条补齐）</x:v>
      </x:c>
      <x:c r="Q578" s="48" t="str">
        <x:v>https://shenzhen.leyoujia.com/zf/detail/VK4wfQiFxjnfAFiVJRTYfw.html</x:v>
      </x:c>
      <x:c r="R578" s="48" t="str">
        <x:v>2026-08-13</x:v>
      </x:c>
    </x:row>
    <x:row r="579">
      <x:c r="A579" s="48" t="str">
        <x:v>盛夏公寓</x:v>
      </x:c>
      <x:c r="B579" s="48" t="str">
        <x:v>盛夏公寓</x:v>
      </x:c>
      <x:c r="C579" s="48" t="str">
        <x:v>红岭</x:v>
      </x:c>
      <x:c r="D579" s="56" t="n">
        <x:v>16.2</x:v>
      </x:c>
      <x:c r="E579" s="61" t="n">
        <x:v>4200</x:v>
      </x:c>
      <x:c r="F579" s="61" t="n">
        <x:v>30</x:v>
      </x:c>
      <x:c r="G579" s="61" t="n">
        <x:v>140</x:v>
      </x:c>
      <x:c r="H579" s="48" t="str">
        <x:v>1室0厅1</x:v>
      </x:c>
      <x:c r="I579" s="48" t="str">
        <x:v>南</x:v>
      </x:c>
      <x:c r="J579" s="48" t="str">
        <x:v>普装</x:v>
      </x:c>
      <x:c r="K579" s="48" t="str">
        <x:v>公寓</x:v>
      </x:c>
      <x:c r="L579" s="48" t="str">
        <x:v>否</x:v>
      </x:c>
      <x:c r="M579" s="48" t="str">
        <x:v>疑似重复挂牌</x:v>
      </x:c>
      <x:c r="N579" s="48" t="str">
        <x:v>盛夏公寓|1室0厅1|30|4200|南</x:v>
      </x:c>
      <x:c r="O579" s="48"/>
      <x:c r="P579" s="48" t="str">
        <x:v>未知（未逐条补齐）</x:v>
      </x:c>
      <x:c r="Q579" s="48" t="str">
        <x:v>https://shenzhen.leyoujia.com/zf/detail/34JpQhZ8gYtqga9d9cpfFg.html</x:v>
      </x:c>
      <x:c r="R579" s="48" t="str">
        <x:v>2026-08-13</x:v>
      </x:c>
    </x:row>
    <x:row r="580">
      <x:c r="A580" s="48" t="str">
        <x:v>盛夏公寓</x:v>
      </x:c>
      <x:c r="B580" s="48" t="str">
        <x:v>盛夏公寓</x:v>
      </x:c>
      <x:c r="C580" s="48" t="str">
        <x:v>红岭</x:v>
      </x:c>
      <x:c r="D580" s="56" t="n">
        <x:v>16.2</x:v>
      </x:c>
      <x:c r="E580" s="61" t="n">
        <x:v>4400</x:v>
      </x:c>
      <x:c r="F580" s="61" t="n">
        <x:v>30</x:v>
      </x:c>
      <x:c r="G580" s="61" t="n">
        <x:v>146.7</x:v>
      </x:c>
      <x:c r="H580" s="48" t="str">
        <x:v>1室0厅1</x:v>
      </x:c>
      <x:c r="I580" s="48" t="str">
        <x:v>南</x:v>
      </x:c>
      <x:c r="J580" s="48" t="str">
        <x:v>普装</x:v>
      </x:c>
      <x:c r="K580" s="48" t="str">
        <x:v>公寓</x:v>
      </x:c>
      <x:c r="L580" s="48" t="str">
        <x:v>是</x:v>
      </x:c>
      <x:c r="M580" s="48" t="str">
        <x:v>保留</x:v>
      </x:c>
      <x:c r="N580" s="48" t="str">
        <x:v>盛夏公寓|1室0厅1|30|4400|南</x:v>
      </x:c>
      <x:c r="O580" s="48"/>
      <x:c r="P580" s="48" t="str">
        <x:v>未知（未逐条补齐）</x:v>
      </x:c>
      <x:c r="Q580" s="48" t="str">
        <x:v>https://shenzhen.leyoujia.com/zf/detail/TPCkYjtVmSZfSJ9DPrHCz2.html</x:v>
      </x:c>
      <x:c r="R580" s="48" t="str">
        <x:v>2026-08-13</x:v>
      </x:c>
    </x:row>
    <x:row r="581">
      <x:c r="A581" s="48" t="str">
        <x:v>盛夏公寓</x:v>
      </x:c>
      <x:c r="B581" s="48" t="str">
        <x:v>盛夏公寓</x:v>
      </x:c>
      <x:c r="C581" s="48" t="str">
        <x:v>红岭</x:v>
      </x:c>
      <x:c r="D581" s="56" t="n">
        <x:v>16.2</x:v>
      </x:c>
      <x:c r="E581" s="61" t="n">
        <x:v>4500</x:v>
      </x:c>
      <x:c r="F581" s="61" t="n">
        <x:v>45</x:v>
      </x:c>
      <x:c r="G581" s="61" t="n">
        <x:v>100</x:v>
      </x:c>
      <x:c r="H581" s="48" t="str">
        <x:v>1室0厅1</x:v>
      </x:c>
      <x:c r="I581" s="48" t="str">
        <x:v>南</x:v>
      </x:c>
      <x:c r="J581" s="48" t="str">
        <x:v>普装</x:v>
      </x:c>
      <x:c r="K581" s="48" t="str">
        <x:v>公寓</x:v>
      </x:c>
      <x:c r="L581" s="48" t="str">
        <x:v>是</x:v>
      </x:c>
      <x:c r="M581" s="48" t="str">
        <x:v>保留</x:v>
      </x:c>
      <x:c r="N581" s="48" t="str">
        <x:v>盛夏公寓|1室0厅1|45|4500|南</x:v>
      </x:c>
      <x:c r="O581" s="48"/>
      <x:c r="P581" s="48" t="str">
        <x:v>未知（未逐条补齐）</x:v>
      </x:c>
      <x:c r="Q581" s="48" t="str">
        <x:v>https://shenzhen.leyoujia.com/zf/detail/33unbsvrkY1HjRcDV3wpe6.html</x:v>
      </x:c>
      <x:c r="R581" s="48" t="str">
        <x:v>2026-08-13</x:v>
      </x:c>
    </x:row>
    <x:row r="582">
      <x:c r="A582" s="48" t="str">
        <x:v>盛夏公寓</x:v>
      </x:c>
      <x:c r="B582" s="48" t="str">
        <x:v>盛夏公寓</x:v>
      </x:c>
      <x:c r="C582" s="48" t="str">
        <x:v>红岭</x:v>
      </x:c>
      <x:c r="D582" s="56" t="n">
        <x:v>16.2</x:v>
      </x:c>
      <x:c r="E582" s="61" t="n">
        <x:v>4500</x:v>
      </x:c>
      <x:c r="F582" s="61" t="n">
        <x:v>30</x:v>
      </x:c>
      <x:c r="G582" s="61" t="n">
        <x:v>150</x:v>
      </x:c>
      <x:c r="H582" s="48" t="str">
        <x:v>1室0厅1</x:v>
      </x:c>
      <x:c r="I582" s="48" t="str">
        <x:v>东西</x:v>
      </x:c>
      <x:c r="J582" s="48" t="str">
        <x:v>普装</x:v>
      </x:c>
      <x:c r="K582" s="48" t="str">
        <x:v>公寓</x:v>
      </x:c>
      <x:c r="L582" s="48" t="str">
        <x:v>是</x:v>
      </x:c>
      <x:c r="M582" s="48" t="str">
        <x:v>保留</x:v>
      </x:c>
      <x:c r="N582" s="48" t="str">
        <x:v>盛夏公寓|1室0厅1|30|4500|东西</x:v>
      </x:c>
      <x:c r="O582" s="48"/>
      <x:c r="P582" s="48" t="str">
        <x:v>未知（未逐条补齐）</x:v>
      </x:c>
      <x:c r="Q582" s="48" t="str">
        <x:v>https://shenzhen.leyoujia.com/zf/detail/9NzQr6vENhGnQtbFQpE9tq.html</x:v>
      </x:c>
      <x:c r="R582" s="48" t="str">
        <x:v>2026-08-13</x:v>
      </x:c>
    </x:row>
    <x:row r="583">
      <x:c r="A583" s="48" t="str">
        <x:v>盛夏公寓</x:v>
      </x:c>
      <x:c r="B583" s="48" t="str">
        <x:v>盛夏公寓</x:v>
      </x:c>
      <x:c r="C583" s="48" t="str">
        <x:v>红岭</x:v>
      </x:c>
      <x:c r="D583" s="56" t="n">
        <x:v>16.2</x:v>
      </x:c>
      <x:c r="E583" s="61" t="n">
        <x:v>4500</x:v>
      </x:c>
      <x:c r="F583" s="61" t="n">
        <x:v>30</x:v>
      </x:c>
      <x:c r="G583" s="61" t="n">
        <x:v>150</x:v>
      </x:c>
      <x:c r="H583" s="48" t="str">
        <x:v>1室0厅1</x:v>
      </x:c>
      <x:c r="I583" s="48" t="str">
        <x:v>南</x:v>
      </x:c>
      <x:c r="J583" s="48" t="str">
        <x:v>普装</x:v>
      </x:c>
      <x:c r="K583" s="48" t="str">
        <x:v>公寓</x:v>
      </x:c>
      <x:c r="L583" s="48" t="str">
        <x:v>是</x:v>
      </x:c>
      <x:c r="M583" s="48" t="str">
        <x:v>保留</x:v>
      </x:c>
      <x:c r="N583" s="48" t="str">
        <x:v>盛夏公寓|1室0厅1|30|4500|南</x:v>
      </x:c>
      <x:c r="O583" s="48"/>
      <x:c r="P583" s="48" t="str">
        <x:v>未知（未逐条补齐）</x:v>
      </x:c>
      <x:c r="Q583" s="48" t="str">
        <x:v>https://shenzhen.leyoujia.com/zf/detail/9v2UsCamaZqwenpRX7zhgY.html</x:v>
      </x:c>
      <x:c r="R583" s="48" t="str">
        <x:v>2026-08-13</x:v>
      </x:c>
    </x:row>
    <x:row r="584">
      <x:c r="A584" s="48" t="str">
        <x:v>东门广场</x:v>
      </x:c>
      <x:c r="B584" s="48" t="str">
        <x:v>东门广场</x:v>
      </x:c>
      <x:c r="C584" s="48" t="str">
        <x:v>湖贝</x:v>
      </x:c>
      <x:c r="D584" s="56" t="n">
        <x:v>5.9</x:v>
      </x:c>
      <x:c r="E584" s="61" t="n">
        <x:v>3300</x:v>
      </x:c>
      <x:c r="F584" s="61" t="n">
        <x:v>30</x:v>
      </x:c>
      <x:c r="G584" s="61" t="n">
        <x:v>110</x:v>
      </x:c>
      <x:c r="H584" s="48" t="str">
        <x:v>1室0厅1</x:v>
      </x:c>
      <x:c r="I584" s="48" t="str">
        <x:v>东</x:v>
      </x:c>
      <x:c r="J584" s="48" t="str">
        <x:v>待核</x:v>
      </x:c>
      <x:c r="K584" s="48" t="str">
        <x:v>住宅</x:v>
      </x:c>
      <x:c r="L584" s="48" t="str">
        <x:v>是</x:v>
      </x:c>
      <x:c r="M584" s="48" t="str">
        <x:v>保留</x:v>
      </x:c>
      <x:c r="N584" s="48" t="str">
        <x:v>东门广场|1室0厅1|30|3300|东</x:v>
      </x:c>
      <x:c r="O584" s="48"/>
      <x:c r="P584" s="48" t="str">
        <x:v>未知（未逐条补齐）</x:v>
      </x:c>
      <x:c r="Q584" s="48" t="str">
        <x:v>https://shenzhen.leyoujia.com/zf/detail/4aRfjfbbn3p1Q7ZphCtYME.html</x:v>
      </x:c>
      <x:c r="R584" s="48" t="str">
        <x:v>2026-08-13</x:v>
      </x:c>
    </x:row>
    <x:row r="585">
      <x:c r="A585" s="48" t="str">
        <x:v>南华大厦</x:v>
      </x:c>
      <x:c r="B585" s="48" t="str">
        <x:v>南华大厦</x:v>
      </x:c>
      <x:c r="C585" s="48" t="str">
        <x:v>湖贝</x:v>
      </x:c>
      <x:c r="D585" s="56" t="n">
        <x:v>3.3</x:v>
      </x:c>
      <x:c r="E585" s="61" t="n">
        <x:v>2500</x:v>
      </x:c>
      <x:c r="F585" s="61" t="n">
        <x:v>20</x:v>
      </x:c>
      <x:c r="G585" s="61" t="n">
        <x:v>125</x:v>
      </x:c>
      <x:c r="H585" s="48" t="str">
        <x:v>1室0厅1</x:v>
      </x:c>
      <x:c r="I585" s="48" t="str">
        <x:v>东</x:v>
      </x:c>
      <x:c r="J585" s="48" t="str">
        <x:v>普装</x:v>
      </x:c>
      <x:c r="K585" s="48" t="str">
        <x:v>普通住宅</x:v>
      </x:c>
      <x:c r="L585" s="48" t="str">
        <x:v>是</x:v>
      </x:c>
      <x:c r="M585" s="48" t="str">
        <x:v>保留</x:v>
      </x:c>
      <x:c r="N585" s="48" t="str">
        <x:v>南华大厦|1室0厅1|20|2500|东</x:v>
      </x:c>
      <x:c r="O585" s="48"/>
      <x:c r="P585" s="48" t="str">
        <x:v>未知（未逐条补齐）</x:v>
      </x:c>
      <x:c r="Q585" s="48" t="str">
        <x:v>https://shenzhen.leyoujia.com/zf/detail/R4MqoWbzi5xE8aKJi5kAfU.html</x:v>
      </x:c>
      <x:c r="R585" s="48" t="str">
        <x:v>2026-08-13</x:v>
      </x:c>
    </x:row>
    <x:row r="586">
      <x:c r="A586" s="48" t="str">
        <x:v>南华大厦</x:v>
      </x:c>
      <x:c r="B586" s="48" t="str">
        <x:v>南华大厦</x:v>
      </x:c>
      <x:c r="C586" s="48" t="str">
        <x:v>湖贝</x:v>
      </x:c>
      <x:c r="D586" s="56" t="n">
        <x:v>3.3</x:v>
      </x:c>
      <x:c r="E586" s="61" t="n">
        <x:v>2680</x:v>
      </x:c>
      <x:c r="F586" s="61" t="n">
        <x:v>30</x:v>
      </x:c>
      <x:c r="G586" s="61" t="n">
        <x:v>89.3</x:v>
      </x:c>
      <x:c r="H586" s="48" t="str">
        <x:v>1室1厅1</x:v>
      </x:c>
      <x:c r="I586" s="48" t="str">
        <x:v>南</x:v>
      </x:c>
      <x:c r="J586" s="48" t="str">
        <x:v>精装</x:v>
      </x:c>
      <x:c r="K586" s="48" t="str">
        <x:v>普通住宅</x:v>
      </x:c>
      <x:c r="L586" s="48" t="str">
        <x:v>是</x:v>
      </x:c>
      <x:c r="M586" s="48" t="str">
        <x:v>保留</x:v>
      </x:c>
      <x:c r="N586" s="48" t="str">
        <x:v>南华大厦|1室1厅1|30|2680|南</x:v>
      </x:c>
      <x:c r="O586" s="48"/>
      <x:c r="P586" s="48" t="str">
        <x:v>未知（未逐条补齐）</x:v>
      </x:c>
      <x:c r="Q586" s="48" t="str">
        <x:v>https://shenzhen.leyoujia.com/zf/detail/BsogWwwLFP7sCXjM7tjEUD.html</x:v>
      </x:c>
      <x:c r="R586" s="48" t="str">
        <x:v>2026-08-13</x:v>
      </x:c>
    </x:row>
    <x:row r="587">
      <x:c r="A587" s="48" t="str">
        <x:v>南华大厦</x:v>
      </x:c>
      <x:c r="B587" s="48" t="str">
        <x:v>南华大厦</x:v>
      </x:c>
      <x:c r="C587" s="48" t="str">
        <x:v>湖贝</x:v>
      </x:c>
      <x:c r="D587" s="56" t="n">
        <x:v>3.3</x:v>
      </x:c>
      <x:c r="E587" s="61" t="n">
        <x:v>2780</x:v>
      </x:c>
      <x:c r="F587" s="61" t="n">
        <x:v>20</x:v>
      </x:c>
      <x:c r="G587" s="61" t="n">
        <x:v>139</x:v>
      </x:c>
      <x:c r="H587" s="48" t="str">
        <x:v>1室0厅1</x:v>
      </x:c>
      <x:c r="I587" s="48" t="str">
        <x:v>东</x:v>
      </x:c>
      <x:c r="J587" s="48" t="str">
        <x:v>普装</x:v>
      </x:c>
      <x:c r="K587" s="48" t="str">
        <x:v>普通住宅</x:v>
      </x:c>
      <x:c r="L587" s="48" t="str">
        <x:v>是</x:v>
      </x:c>
      <x:c r="M587" s="48" t="str">
        <x:v>保留</x:v>
      </x:c>
      <x:c r="N587" s="48" t="str">
        <x:v>南华大厦|1室0厅1|20|2780|东</x:v>
      </x:c>
      <x:c r="O587" s="48"/>
      <x:c r="P587" s="48" t="str">
        <x:v>未知（未逐条补齐）</x:v>
      </x:c>
      <x:c r="Q587" s="48" t="str">
        <x:v>https://shenzhen.leyoujia.com/zf/detail/2n3PSfo4KszSyV7J7y3fm8.html</x:v>
      </x:c>
      <x:c r="R587" s="48" t="str">
        <x:v>2026-08-13</x:v>
      </x:c>
    </x:row>
    <x:row r="588">
      <x:c r="A588" s="48" t="str">
        <x:v>南华大厦</x:v>
      </x:c>
      <x:c r="B588" s="48" t="str">
        <x:v>南华大厦</x:v>
      </x:c>
      <x:c r="C588" s="48" t="str">
        <x:v>湖贝</x:v>
      </x:c>
      <x:c r="D588" s="56" t="n">
        <x:v>3.3</x:v>
      </x:c>
      <x:c r="E588" s="61" t="n">
        <x:v>2800</x:v>
      </x:c>
      <x:c r="F588" s="61" t="n">
        <x:v>29</x:v>
      </x:c>
      <x:c r="G588" s="61" t="n">
        <x:v>96.6</x:v>
      </x:c>
      <x:c r="H588" s="48" t="str">
        <x:v>1室0厅1</x:v>
      </x:c>
      <x:c r="I588" s="48" t="str">
        <x:v>西</x:v>
      </x:c>
      <x:c r="J588" s="48" t="str">
        <x:v>精装</x:v>
      </x:c>
      <x:c r="K588" s="48" t="str">
        <x:v>普通住宅</x:v>
      </x:c>
      <x:c r="L588" s="48" t="str">
        <x:v>是</x:v>
      </x:c>
      <x:c r="M588" s="48" t="str">
        <x:v>保留</x:v>
      </x:c>
      <x:c r="N588" s="48" t="str">
        <x:v>南华大厦|1室0厅1|29|2800|西</x:v>
      </x:c>
      <x:c r="O588" s="48"/>
      <x:c r="P588" s="48" t="str">
        <x:v>未知（未逐条补齐）</x:v>
      </x:c>
      <x:c r="Q588" s="48" t="str">
        <x:v>https://shenzhen.leyoujia.com/zf/detail/CJmZBpUFE2UsGza9c7xGyj.html</x:v>
      </x:c>
      <x:c r="R588" s="48" t="str">
        <x:v>2026-08-13</x:v>
      </x:c>
    </x:row>
    <x:row r="589">
      <x:c r="A589" s="48" t="str">
        <x:v>南华大厦</x:v>
      </x:c>
      <x:c r="B589" s="48" t="str">
        <x:v>南华大厦</x:v>
      </x:c>
      <x:c r="C589" s="48" t="str">
        <x:v>湖贝</x:v>
      </x:c>
      <x:c r="D589" s="56" t="n">
        <x:v>3.3</x:v>
      </x:c>
      <x:c r="E589" s="61" t="n">
        <x:v>3000</x:v>
      </x:c>
      <x:c r="F589" s="61" t="n">
        <x:v>30</x:v>
      </x:c>
      <x:c r="G589" s="61" t="n">
        <x:v>100</x:v>
      </x:c>
      <x:c r="H589" s="48" t="str">
        <x:v>1室0厅1</x:v>
      </x:c>
      <x:c r="I589" s="48" t="str">
        <x:v>南</x:v>
      </x:c>
      <x:c r="J589" s="48" t="str">
        <x:v>精装</x:v>
      </x:c>
      <x:c r="K589" s="48" t="str">
        <x:v>普通住宅</x:v>
      </x:c>
      <x:c r="L589" s="48" t="str">
        <x:v>是</x:v>
      </x:c>
      <x:c r="M589" s="48" t="str">
        <x:v>保留</x:v>
      </x:c>
      <x:c r="N589" s="48" t="str">
        <x:v>南华大厦|1室0厅1|30|3000|南</x:v>
      </x:c>
      <x:c r="O589" s="48"/>
      <x:c r="P589" s="48" t="str">
        <x:v>未知（未逐条补齐）</x:v>
      </x:c>
      <x:c r="Q589" s="48" t="str">
        <x:v>https://shenzhen.leyoujia.com/zf/detail/4zpw2hyF1rbZNZZaBg4opR.html</x:v>
      </x:c>
      <x:c r="R589" s="48" t="str">
        <x:v>2026-08-13</x:v>
      </x:c>
    </x:row>
    <x:row r="590">
      <x:c r="A590" s="48" t="str">
        <x:v>南华大厦</x:v>
      </x:c>
      <x:c r="B590" s="48" t="str">
        <x:v>南华大厦</x:v>
      </x:c>
      <x:c r="C590" s="48" t="str">
        <x:v>湖贝</x:v>
      </x:c>
      <x:c r="D590" s="56" t="n">
        <x:v>3.3</x:v>
      </x:c>
      <x:c r="E590" s="61" t="n">
        <x:v>3080</x:v>
      </x:c>
      <x:c r="F590" s="61" t="n">
        <x:v>30</x:v>
      </x:c>
      <x:c r="G590" s="61" t="n">
        <x:v>102.7</x:v>
      </x:c>
      <x:c r="H590" s="48" t="str">
        <x:v>1室0厅1</x:v>
      </x:c>
      <x:c r="I590" s="48" t="str">
        <x:v>南</x:v>
      </x:c>
      <x:c r="J590" s="48" t="str">
        <x:v>精装</x:v>
      </x:c>
      <x:c r="K590" s="48" t="str">
        <x:v>普通住宅</x:v>
      </x:c>
      <x:c r="L590" s="48" t="str">
        <x:v>是</x:v>
      </x:c>
      <x:c r="M590" s="48" t="str">
        <x:v>保留</x:v>
      </x:c>
      <x:c r="N590" s="48" t="str">
        <x:v>南华大厦|1室0厅1|30|3080|南</x:v>
      </x:c>
      <x:c r="O590" s="48"/>
      <x:c r="P590" s="48" t="str">
        <x:v>未知（未逐条补齐）</x:v>
      </x:c>
      <x:c r="Q590" s="48" t="str">
        <x:v>https://shenzhen.leyoujia.com/zf/detail/72ekrpwrLCbkcyEnkRwh29.html</x:v>
      </x:c>
      <x:c r="R590" s="48" t="str">
        <x:v>2026-08-13</x:v>
      </x:c>
    </x:row>
    <x:row r="591">
      <x:c r="A591" s="48" t="str">
        <x:v>南华大厦</x:v>
      </x:c>
      <x:c r="B591" s="48" t="str">
        <x:v>南华大厦</x:v>
      </x:c>
      <x:c r="C591" s="48" t="str">
        <x:v>湖贝</x:v>
      </x:c>
      <x:c r="D591" s="56" t="n">
        <x:v>3.3</x:v>
      </x:c>
      <x:c r="E591" s="61" t="n">
        <x:v>3180</x:v>
      </x:c>
      <x:c r="F591" s="61" t="n">
        <x:v>30</x:v>
      </x:c>
      <x:c r="G591" s="61" t="n">
        <x:v>106</x:v>
      </x:c>
      <x:c r="H591" s="48" t="str">
        <x:v>1室0厅1</x:v>
      </x:c>
      <x:c r="I591" s="48" t="str">
        <x:v>南</x:v>
      </x:c>
      <x:c r="J591" s="48" t="str">
        <x:v>普装</x:v>
      </x:c>
      <x:c r="K591" s="48" t="str">
        <x:v>普通住宅</x:v>
      </x:c>
      <x:c r="L591" s="48" t="str">
        <x:v>是</x:v>
      </x:c>
      <x:c r="M591" s="48" t="str">
        <x:v>保留</x:v>
      </x:c>
      <x:c r="N591" s="48" t="str">
        <x:v>南华大厦|1室0厅1|30|3180|南</x:v>
      </x:c>
      <x:c r="O591" s="48"/>
      <x:c r="P591" s="48" t="str">
        <x:v>未知（未逐条补齐）</x:v>
      </x:c>
      <x:c r="Q591" s="48" t="str">
        <x:v>https://shenzhen.leyoujia.com/zf/detail/XtSRR23aZZiWhncdeAmaDn.html</x:v>
      </x:c>
      <x:c r="R591" s="48" t="str">
        <x:v>2026-08-13</x:v>
      </x:c>
    </x:row>
    <x:row r="592">
      <x:c r="A592" s="48" t="str">
        <x:v>南华大厦</x:v>
      </x:c>
      <x:c r="B592" s="48" t="str">
        <x:v>南华大厦</x:v>
      </x:c>
      <x:c r="C592" s="48" t="str">
        <x:v>湖贝</x:v>
      </x:c>
      <x:c r="D592" s="56" t="n">
        <x:v>3.3</x:v>
      </x:c>
      <x:c r="E592" s="61" t="n">
        <x:v>3180</x:v>
      </x:c>
      <x:c r="F592" s="61" t="n">
        <x:v>25</x:v>
      </x:c>
      <x:c r="G592" s="61" t="n">
        <x:v>127.2</x:v>
      </x:c>
      <x:c r="H592" s="48" t="str">
        <x:v>1室1厅1</x:v>
      </x:c>
      <x:c r="I592" s="48" t="str">
        <x:v>东</x:v>
      </x:c>
      <x:c r="J592" s="48" t="str">
        <x:v>普装</x:v>
      </x:c>
      <x:c r="K592" s="48" t="str">
        <x:v>普通住宅</x:v>
      </x:c>
      <x:c r="L592" s="48" t="str">
        <x:v>是</x:v>
      </x:c>
      <x:c r="M592" s="48" t="str">
        <x:v>保留</x:v>
      </x:c>
      <x:c r="N592" s="48" t="str">
        <x:v>南华大厦|1室1厅1|25|3180|东</x:v>
      </x:c>
      <x:c r="O592" s="48"/>
      <x:c r="P592" s="48" t="str">
        <x:v>未知（未逐条补齐）</x:v>
      </x:c>
      <x:c r="Q592" s="48" t="str">
        <x:v>https://shenzhen.leyoujia.com/zf/detail/DN6FQzE6RfWvEqoqr5wN6p.html</x:v>
      </x:c>
      <x:c r="R592" s="48" t="str">
        <x:v>2026-08-13</x:v>
      </x:c>
    </x:row>
    <x:row r="593">
      <x:c r="A593" s="48" t="str">
        <x:v>南华大厦</x:v>
      </x:c>
      <x:c r="B593" s="48" t="str">
        <x:v>南华大厦</x:v>
      </x:c>
      <x:c r="C593" s="48" t="str">
        <x:v>湖贝</x:v>
      </x:c>
      <x:c r="D593" s="56" t="n">
        <x:v>3.3</x:v>
      </x:c>
      <x:c r="E593" s="61" t="n">
        <x:v>3280</x:v>
      </x:c>
      <x:c r="F593" s="61" t="n">
        <x:v>25</x:v>
      </x:c>
      <x:c r="G593" s="61" t="n">
        <x:v>131.2</x:v>
      </x:c>
      <x:c r="H593" s="48" t="str">
        <x:v>1室1厅1</x:v>
      </x:c>
      <x:c r="I593" s="48" t="str">
        <x:v>东</x:v>
      </x:c>
      <x:c r="J593" s="48" t="str">
        <x:v>普装</x:v>
      </x:c>
      <x:c r="K593" s="48" t="str">
        <x:v>普通住宅</x:v>
      </x:c>
      <x:c r="L593" s="48" t="str">
        <x:v>是</x:v>
      </x:c>
      <x:c r="M593" s="48" t="str">
        <x:v>保留</x:v>
      </x:c>
      <x:c r="N593" s="48" t="str">
        <x:v>南华大厦|1室1厅1|25|3280|东</x:v>
      </x:c>
      <x:c r="O593" s="48"/>
      <x:c r="P593" s="48" t="str">
        <x:v>未知（未逐条补齐）</x:v>
      </x:c>
      <x:c r="Q593" s="48" t="str">
        <x:v>https://shenzhen.leyoujia.com/zf/detail/Uk38EHhADjzk73RWKZVTyP.html</x:v>
      </x:c>
      <x:c r="R593" s="48" t="str">
        <x:v>2026-08-13</x:v>
      </x:c>
    </x:row>
    <x:row r="594">
      <x:c r="A594" s="48" t="str">
        <x:v>南华大厦</x:v>
      </x:c>
      <x:c r="B594" s="48" t="str">
        <x:v>南华大厦</x:v>
      </x:c>
      <x:c r="C594" s="48" t="str">
        <x:v>湖贝</x:v>
      </x:c>
      <x:c r="D594" s="56" t="n">
        <x:v>3.3</x:v>
      </x:c>
      <x:c r="E594" s="61" t="n">
        <x:v>3280</x:v>
      </x:c>
      <x:c r="F594" s="61" t="n">
        <x:v>20</x:v>
      </x:c>
      <x:c r="G594" s="61" t="n">
        <x:v>164</x:v>
      </x:c>
      <x:c r="H594" s="48" t="str">
        <x:v>1室0厅1</x:v>
      </x:c>
      <x:c r="I594" s="48" t="str">
        <x:v>东</x:v>
      </x:c>
      <x:c r="J594" s="48" t="str">
        <x:v>普装</x:v>
      </x:c>
      <x:c r="K594" s="48" t="str">
        <x:v>普通住宅</x:v>
      </x:c>
      <x:c r="L594" s="48" t="str">
        <x:v>是</x:v>
      </x:c>
      <x:c r="M594" s="48" t="str">
        <x:v>保留</x:v>
      </x:c>
      <x:c r="N594" s="48" t="str">
        <x:v>南华大厦|1室0厅1|20|3280|东</x:v>
      </x:c>
      <x:c r="O594" s="48"/>
      <x:c r="P594" s="48" t="str">
        <x:v>未知（未逐条补齐）</x:v>
      </x:c>
      <x:c r="Q594" s="48" t="str">
        <x:v>https://shenzhen.leyoujia.com/zf/detail/7PiGVFNnoHk5wBmzQuC9UB.html</x:v>
      </x:c>
      <x:c r="R594" s="48" t="str">
        <x:v>2026-08-13</x:v>
      </x:c>
    </x:row>
    <x:row r="595">
      <x:c r="A595" s="48" t="str">
        <x:v>南华大厦</x:v>
      </x:c>
      <x:c r="B595" s="48" t="str">
        <x:v>南华大厦</x:v>
      </x:c>
      <x:c r="C595" s="48" t="str">
        <x:v>湖贝</x:v>
      </x:c>
      <x:c r="D595" s="56" t="n">
        <x:v>3.3</x:v>
      </x:c>
      <x:c r="E595" s="61" t="n">
        <x:v>3380</x:v>
      </x:c>
      <x:c r="F595" s="61" t="n">
        <x:v>25</x:v>
      </x:c>
      <x:c r="G595" s="61" t="n">
        <x:v>135.2</x:v>
      </x:c>
      <x:c r="H595" s="48" t="str">
        <x:v>1室1厅1</x:v>
      </x:c>
      <x:c r="I595" s="48" t="str">
        <x:v>东</x:v>
      </x:c>
      <x:c r="J595" s="48" t="str">
        <x:v>普装</x:v>
      </x:c>
      <x:c r="K595" s="48" t="str">
        <x:v>普通住宅</x:v>
      </x:c>
      <x:c r="L595" s="48" t="str">
        <x:v>是</x:v>
      </x:c>
      <x:c r="M595" s="48" t="str">
        <x:v>保留</x:v>
      </x:c>
      <x:c r="N595" s="48" t="str">
        <x:v>南华大厦|1室1厅1|25|3380|东</x:v>
      </x:c>
      <x:c r="O595" s="48"/>
      <x:c r="P595" s="48" t="str">
        <x:v>未知（未逐条补齐）</x:v>
      </x:c>
      <x:c r="Q595" s="48" t="str">
        <x:v>https://shenzhen.leyoujia.com/zf/detail/XyGvEqLLXA7TXsvjLYjoWG.html</x:v>
      </x:c>
      <x:c r="R595" s="48" t="str">
        <x:v>2026-08-13</x:v>
      </x:c>
    </x:row>
    <x:row r="596">
      <x:c r="A596" s="48" t="str">
        <x:v>南华大厦</x:v>
      </x:c>
      <x:c r="B596" s="48" t="str">
        <x:v>南华大厦</x:v>
      </x:c>
      <x:c r="C596" s="48" t="str">
        <x:v>湖贝</x:v>
      </x:c>
      <x:c r="D596" s="56" t="n">
        <x:v>3.3</x:v>
      </x:c>
      <x:c r="E596" s="61" t="n">
        <x:v>3480</x:v>
      </x:c>
      <x:c r="F596" s="61" t="n">
        <x:v>30</x:v>
      </x:c>
      <x:c r="G596" s="61" t="n">
        <x:v>116</x:v>
      </x:c>
      <x:c r="H596" s="48" t="str">
        <x:v>1室1厅1</x:v>
      </x:c>
      <x:c r="I596" s="48" t="str">
        <x:v>南</x:v>
      </x:c>
      <x:c r="J596" s="48" t="str">
        <x:v>精装</x:v>
      </x:c>
      <x:c r="K596" s="48" t="str">
        <x:v>普通住宅</x:v>
      </x:c>
      <x:c r="L596" s="48" t="str">
        <x:v>是</x:v>
      </x:c>
      <x:c r="M596" s="48" t="str">
        <x:v>保留</x:v>
      </x:c>
      <x:c r="N596" s="48" t="str">
        <x:v>南华大厦|1室1厅1|30|3480|南</x:v>
      </x:c>
      <x:c r="O596" s="48"/>
      <x:c r="P596" s="48" t="str">
        <x:v>未知（未逐条补齐）</x:v>
      </x:c>
      <x:c r="Q596" s="48" t="str">
        <x:v>https://shenzhen.leyoujia.com/zf/detail/GrtrmCMAy6KVCktY1fhgPQ.html</x:v>
      </x:c>
      <x:c r="R596" s="48" t="str">
        <x:v>2026-08-13</x:v>
      </x:c>
    </x:row>
    <x:row r="597">
      <x:c r="A597" s="48" t="str">
        <x:v>南华大厦</x:v>
      </x:c>
      <x:c r="B597" s="48" t="str">
        <x:v>南华大厦</x:v>
      </x:c>
      <x:c r="C597" s="48" t="str">
        <x:v>湖贝</x:v>
      </x:c>
      <x:c r="D597" s="56" t="n">
        <x:v>3.3</x:v>
      </x:c>
      <x:c r="E597" s="61" t="n">
        <x:v>3480</x:v>
      </x:c>
      <x:c r="F597" s="61" t="n">
        <x:v>25</x:v>
      </x:c>
      <x:c r="G597" s="61" t="n">
        <x:v>139.2</x:v>
      </x:c>
      <x:c r="H597" s="48" t="str">
        <x:v>1室1厅1</x:v>
      </x:c>
      <x:c r="I597" s="48" t="str">
        <x:v>东</x:v>
      </x:c>
      <x:c r="J597" s="48" t="str">
        <x:v>普装</x:v>
      </x:c>
      <x:c r="K597" s="48" t="str">
        <x:v>普通住宅</x:v>
      </x:c>
      <x:c r="L597" s="48" t="str">
        <x:v>是</x:v>
      </x:c>
      <x:c r="M597" s="48" t="str">
        <x:v>保留</x:v>
      </x:c>
      <x:c r="N597" s="48" t="str">
        <x:v>南华大厦|1室1厅1|25|3480|东</x:v>
      </x:c>
      <x:c r="O597" s="48"/>
      <x:c r="P597" s="48" t="str">
        <x:v>未知（未逐条补齐）</x:v>
      </x:c>
      <x:c r="Q597" s="48" t="str">
        <x:v>https://shenzhen.leyoujia.com/zf/detail/3YzEPjPGG5BQGb9nGa8oJB.html</x:v>
      </x:c>
      <x:c r="R597" s="48" t="str">
        <x:v>2026-08-13</x:v>
      </x:c>
    </x:row>
    <x:row r="598">
      <x:c r="A598" s="48" t="str">
        <x:v>南华大厦</x:v>
      </x:c>
      <x:c r="B598" s="48" t="str">
        <x:v>南华大厦</x:v>
      </x:c>
      <x:c r="C598" s="48" t="str">
        <x:v>湖贝</x:v>
      </x:c>
      <x:c r="D598" s="56" t="n">
        <x:v>3.3</x:v>
      </x:c>
      <x:c r="E598" s="61" t="n">
        <x:v>3500</x:v>
      </x:c>
      <x:c r="F598" s="61" t="n">
        <x:v>35</x:v>
      </x:c>
      <x:c r="G598" s="61" t="n">
        <x:v>100</x:v>
      </x:c>
      <x:c r="H598" s="48" t="str">
        <x:v>1室1厅1</x:v>
      </x:c>
      <x:c r="I598" s="48" t="str">
        <x:v>南</x:v>
      </x:c>
      <x:c r="J598" s="48" t="str">
        <x:v>精装</x:v>
      </x:c>
      <x:c r="K598" s="48" t="str">
        <x:v>普通住宅</x:v>
      </x:c>
      <x:c r="L598" s="48" t="str">
        <x:v>是</x:v>
      </x:c>
      <x:c r="M598" s="48" t="str">
        <x:v>保留</x:v>
      </x:c>
      <x:c r="N598" s="48" t="str">
        <x:v>南华大厦|1室1厅1|35|3500|南</x:v>
      </x:c>
      <x:c r="O598" s="48"/>
      <x:c r="P598" s="48" t="str">
        <x:v>未知（未逐条补齐）</x:v>
      </x:c>
      <x:c r="Q598" s="48" t="str">
        <x:v>https://shenzhen.leyoujia.com/zf/detail/9j1LRCj6Y42bfhNtQ5sKgW.html</x:v>
      </x:c>
      <x:c r="R598" s="48" t="str">
        <x:v>2026-08-13</x:v>
      </x:c>
    </x:row>
    <x:row r="599">
      <x:c r="A599" s="48" t="str">
        <x:v>南华大厦</x:v>
      </x:c>
      <x:c r="B599" s="48" t="str">
        <x:v>南华大厦</x:v>
      </x:c>
      <x:c r="C599" s="48" t="str">
        <x:v>湖贝</x:v>
      </x:c>
      <x:c r="D599" s="56" t="n">
        <x:v>3.3</x:v>
      </x:c>
      <x:c r="E599" s="61" t="n">
        <x:v>3580</x:v>
      </x:c>
      <x:c r="F599" s="61" t="n">
        <x:v>30</x:v>
      </x:c>
      <x:c r="G599" s="61" t="n">
        <x:v>119.3</x:v>
      </x:c>
      <x:c r="H599" s="48" t="str">
        <x:v>1室0厅1</x:v>
      </x:c>
      <x:c r="I599" s="48" t="str">
        <x:v>南</x:v>
      </x:c>
      <x:c r="J599" s="48" t="str">
        <x:v>普装</x:v>
      </x:c>
      <x:c r="K599" s="48" t="str">
        <x:v>普通住宅</x:v>
      </x:c>
      <x:c r="L599" s="48" t="str">
        <x:v>是</x:v>
      </x:c>
      <x:c r="M599" s="48" t="str">
        <x:v>保留</x:v>
      </x:c>
      <x:c r="N599" s="48" t="str">
        <x:v>南华大厦|1室0厅1|30|3580|南</x:v>
      </x:c>
      <x:c r="O599" s="48"/>
      <x:c r="P599" s="48" t="str">
        <x:v>未知（未逐条补齐）</x:v>
      </x:c>
      <x:c r="Q599" s="48" t="str">
        <x:v>https://shenzhen.leyoujia.com/zf/detail/4GwbHQ9EkhMzkQTe9VnmW8.html</x:v>
      </x:c>
      <x:c r="R599" s="48" t="str">
        <x:v>2026-08-13</x:v>
      </x:c>
    </x:row>
    <x:row r="600">
      <x:c r="A600" s="48" t="str">
        <x:v>南华大厦</x:v>
      </x:c>
      <x:c r="B600" s="48" t="str">
        <x:v>南华大厦</x:v>
      </x:c>
      <x:c r="C600" s="48" t="str">
        <x:v>湖贝</x:v>
      </x:c>
      <x:c r="D600" s="56" t="n">
        <x:v>3.3</x:v>
      </x:c>
      <x:c r="E600" s="61" t="n">
        <x:v>3680</x:v>
      </x:c>
      <x:c r="F600" s="61" t="n">
        <x:v>20</x:v>
      </x:c>
      <x:c r="G600" s="61" t="n">
        <x:v>184</x:v>
      </x:c>
      <x:c r="H600" s="48" t="str">
        <x:v>1室0厅1</x:v>
      </x:c>
      <x:c r="I600" s="48" t="str">
        <x:v>东</x:v>
      </x:c>
      <x:c r="J600" s="48" t="str">
        <x:v>普装</x:v>
      </x:c>
      <x:c r="K600" s="48" t="str">
        <x:v>公寓</x:v>
      </x:c>
      <x:c r="L600" s="48" t="str">
        <x:v>是</x:v>
      </x:c>
      <x:c r="M600" s="48" t="str">
        <x:v>保留</x:v>
      </x:c>
      <x:c r="N600" s="48" t="str">
        <x:v>南华大厦|1室0厅1|20|3680|东</x:v>
      </x:c>
      <x:c r="O600" s="48"/>
      <x:c r="P600" s="48" t="str">
        <x:v>未知（未逐条补齐）</x:v>
      </x:c>
      <x:c r="Q600" s="48" t="str">
        <x:v>https://shenzhen.leyoujia.com/zf/detail/2Yr9A8gbQZzTsmQ8MT9DfZ.html</x:v>
      </x:c>
      <x:c r="R600" s="48" t="str">
        <x:v>2026-08-13</x:v>
      </x:c>
    </x:row>
    <x:row r="601">
      <x:c r="A601" s="48" t="str">
        <x:v>金鼎大厦</x:v>
      </x:c>
      <x:c r="B601" s="48" t="str">
        <x:v>金鼎大厦</x:v>
      </x:c>
      <x:c r="C601" s="48" t="str">
        <x:v>湖贝</x:v>
      </x:c>
      <x:c r="D601" s="56" t="n">
        <x:v>5.6</x:v>
      </x:c>
      <x:c r="E601" s="61" t="n">
        <x:v>4500</x:v>
      </x:c>
      <x:c r="F601" s="61" t="n">
        <x:v>43</x:v>
      </x:c>
      <x:c r="G601" s="61" t="n">
        <x:v>104.7</x:v>
      </x:c>
      <x:c r="H601" s="48" t="str">
        <x:v>1室1厅1</x:v>
      </x:c>
      <x:c r="I601" s="48" t="str">
        <x:v>东南</x:v>
      </x:c>
      <x:c r="J601" s="48" t="str">
        <x:v>普装</x:v>
      </x:c>
      <x:c r="K601" s="48" t="str">
        <x:v>普通住宅</x:v>
      </x:c>
      <x:c r="L601" s="48" t="str">
        <x:v>是</x:v>
      </x:c>
      <x:c r="M601" s="48" t="str">
        <x:v>保留</x:v>
      </x:c>
      <x:c r="N601" s="48" t="str">
        <x:v>金鼎大厦|1室1厅1|43|4500|东南</x:v>
      </x:c>
      <x:c r="O601" s="48"/>
      <x:c r="P601" s="48" t="str">
        <x:v>未知（未逐条补齐）</x:v>
      </x:c>
      <x:c r="Q601" s="48" t="str">
        <x:v>https://shenzhen.leyoujia.com/zf/detail/NDRmvgryVj16LhUEukZatW.html</x:v>
      </x:c>
      <x:c r="R601" s="48" t="str">
        <x:v>2026-08-13</x:v>
      </x:c>
    </x:row>
    <x:row r="602">
      <x:c r="A602" s="48" t="str">
        <x:v>金鼎大厦</x:v>
      </x:c>
      <x:c r="B602" s="48" t="str">
        <x:v>金鼎大厦</x:v>
      </x:c>
      <x:c r="C602" s="48" t="str">
        <x:v>湖贝</x:v>
      </x:c>
      <x:c r="D602" s="56" t="n">
        <x:v>5.6</x:v>
      </x:c>
      <x:c r="E602" s="61" t="n">
        <x:v>4600</x:v>
      </x:c>
      <x:c r="F602" s="61" t="n">
        <x:v>51.99</x:v>
      </x:c>
      <x:c r="G602" s="61" t="n">
        <x:v>88.5</x:v>
      </x:c>
      <x:c r="H602" s="48" t="str">
        <x:v>1室1厅1</x:v>
      </x:c>
      <x:c r="I602" s="48" t="str">
        <x:v>东南</x:v>
      </x:c>
      <x:c r="J602" s="48" t="str">
        <x:v>普装</x:v>
      </x:c>
      <x:c r="K602" s="48" t="str">
        <x:v>普通住宅</x:v>
      </x:c>
      <x:c r="L602" s="48" t="str">
        <x:v>是</x:v>
      </x:c>
      <x:c r="M602" s="48" t="str">
        <x:v>保留</x:v>
      </x:c>
      <x:c r="N602" s="48" t="str">
        <x:v>金鼎大厦|1室1厅1|52|4600|东南</x:v>
      </x:c>
      <x:c r="O602" s="48"/>
      <x:c r="P602" s="48" t="str">
        <x:v>未知（未逐条补齐）</x:v>
      </x:c>
      <x:c r="Q602" s="48" t="str">
        <x:v>https://shenzhen.leyoujia.com/zf/detail/N5KMLQNv1xC6EMQcdhntJV.html</x:v>
      </x:c>
      <x:c r="R602" s="48" t="str">
        <x:v>2026-08-13</x:v>
      </x:c>
    </x:row>
    <x:row r="603">
      <x:c r="A603" s="48" t="str">
        <x:v>金鼎大厦</x:v>
      </x:c>
      <x:c r="B603" s="48" t="str">
        <x:v>金鼎大厦</x:v>
      </x:c>
      <x:c r="C603" s="48" t="str">
        <x:v>湖贝</x:v>
      </x:c>
      <x:c r="D603" s="56" t="n">
        <x:v>5.6</x:v>
      </x:c>
      <x:c r="E603" s="61" t="n">
        <x:v>4800</x:v>
      </x:c>
      <x:c r="F603" s="61" t="n">
        <x:v>51.99</x:v>
      </x:c>
      <x:c r="G603" s="61" t="n">
        <x:v>92.3</x:v>
      </x:c>
      <x:c r="H603" s="48" t="str">
        <x:v>1室1厅1</x:v>
      </x:c>
      <x:c r="I603" s="48" t="str">
        <x:v>西北</x:v>
      </x:c>
      <x:c r="J603" s="48" t="str">
        <x:v>普装</x:v>
      </x:c>
      <x:c r="K603" s="48" t="str">
        <x:v>普通住宅</x:v>
      </x:c>
      <x:c r="L603" s="48" t="str">
        <x:v>是</x:v>
      </x:c>
      <x:c r="M603" s="48" t="str">
        <x:v>保留</x:v>
      </x:c>
      <x:c r="N603" s="48" t="str">
        <x:v>金鼎大厦|1室1厅1|52|4800|西北</x:v>
      </x:c>
      <x:c r="O603" s="48"/>
      <x:c r="P603" s="48" t="str">
        <x:v>未知（未逐条补齐）</x:v>
      </x:c>
      <x:c r="Q603" s="48" t="str">
        <x:v>https://shenzhen.leyoujia.com/zf/detail/4YtH9wNzeQ4vXi2zyZeyUX.html</x:v>
      </x:c>
      <x:c r="R603" s="48" t="str">
        <x:v>2026-08-13</x:v>
      </x:c>
    </x:row>
    <x:row r="604">
      <x:c r="A604" s="48" t="str">
        <x:v>金鼎大厦</x:v>
      </x:c>
      <x:c r="B604" s="48" t="str">
        <x:v>金鼎大厦</x:v>
      </x:c>
      <x:c r="C604" s="48" t="str">
        <x:v>湖贝</x:v>
      </x:c>
      <x:c r="D604" s="56" t="n">
        <x:v>5.6</x:v>
      </x:c>
      <x:c r="E604" s="61" t="n">
        <x:v>5000</x:v>
      </x:c>
      <x:c r="F604" s="61" t="n">
        <x:v>43</x:v>
      </x:c>
      <x:c r="G604" s="61" t="n">
        <x:v>116.3</x:v>
      </x:c>
      <x:c r="H604" s="48" t="str">
        <x:v>1室1厅1</x:v>
      </x:c>
      <x:c r="I604" s="48" t="str">
        <x:v>东南</x:v>
      </x:c>
      <x:c r="J604" s="48" t="str">
        <x:v>精装</x:v>
      </x:c>
      <x:c r="K604" s="48" t="str">
        <x:v>普通住宅</x:v>
      </x:c>
      <x:c r="L604" s="48" t="str">
        <x:v>是</x:v>
      </x:c>
      <x:c r="M604" s="48" t="str">
        <x:v>保留</x:v>
      </x:c>
      <x:c r="N604" s="48" t="str">
        <x:v>金鼎大厦|1室1厅1|43|5000|东南</x:v>
      </x:c>
      <x:c r="O604" s="48"/>
      <x:c r="P604" s="48" t="str">
        <x:v>未知（未逐条补齐）</x:v>
      </x:c>
      <x:c r="Q604" s="48" t="str">
        <x:v>https://shenzhen.leyoujia.com/zf/detail/7z3cGGbstm8UZBy8uaf6Gv.html</x:v>
      </x:c>
      <x:c r="R604" s="48" t="str">
        <x:v>2026-08-13</x:v>
      </x:c>
    </x:row>
    <x:row r="605">
      <x:c r="A605" s="48" t="str">
        <x:v>联城美园</x:v>
      </x:c>
      <x:c r="B605" s="48" t="str">
        <x:v>联城美园</x:v>
      </x:c>
      <x:c r="C605" s="48" t="str">
        <x:v>湖贝</x:v>
      </x:c>
      <x:c r="D605" s="56" t="n">
        <x:v>7.4</x:v>
      </x:c>
      <x:c r="E605" s="61" t="n">
        <x:v>3000</x:v>
      </x:c>
      <x:c r="F605" s="61" t="n">
        <x:v>26.81</x:v>
      </x:c>
      <x:c r="G605" s="61" t="n">
        <x:v>111.9</x:v>
      </x:c>
      <x:c r="H605" s="48" t="str">
        <x:v>1室0厅1</x:v>
      </x:c>
      <x:c r="I605" s="48" t="str">
        <x:v>北</x:v>
      </x:c>
      <x:c r="J605" s="48" t="str">
        <x:v>普装</x:v>
      </x:c>
      <x:c r="K605" s="48" t="str">
        <x:v>公寓</x:v>
      </x:c>
      <x:c r="L605" s="48" t="str">
        <x:v>是</x:v>
      </x:c>
      <x:c r="M605" s="48" t="str">
        <x:v>保留</x:v>
      </x:c>
      <x:c r="N605" s="48" t="str">
        <x:v>联城美园|1室0厅1|27|3000|北</x:v>
      </x:c>
      <x:c r="O605" s="48"/>
      <x:c r="P605" s="48" t="str">
        <x:v>未知（未逐条补齐）</x:v>
      </x:c>
      <x:c r="Q605" s="48" t="str">
        <x:v>https://shenzhen.leyoujia.com/zf/detail/EnRLFWP4yAHEfRPpEFdkBW.html</x:v>
      </x:c>
      <x:c r="R605" s="48" t="str">
        <x:v>2026-08-13</x:v>
      </x:c>
    </x:row>
    <x:row r="606">
      <x:c r="A606" s="48" t="str">
        <x:v>联城美园</x:v>
      </x:c>
      <x:c r="B606" s="48" t="str">
        <x:v>联城美园</x:v>
      </x:c>
      <x:c r="C606" s="48" t="str">
        <x:v>湖贝</x:v>
      </x:c>
      <x:c r="D606" s="56" t="n">
        <x:v>7.4</x:v>
      </x:c>
      <x:c r="E606" s="61" t="n">
        <x:v>3050</x:v>
      </x:c>
      <x:c r="F606" s="61" t="n">
        <x:v>26.81</x:v>
      </x:c>
      <x:c r="G606" s="61" t="n">
        <x:v>113.8</x:v>
      </x:c>
      <x:c r="H606" s="48" t="str">
        <x:v>1室0厅1</x:v>
      </x:c>
      <x:c r="I606" s="48" t="str">
        <x:v>北</x:v>
      </x:c>
      <x:c r="J606" s="48" t="str">
        <x:v>精装</x:v>
      </x:c>
      <x:c r="K606" s="48" t="str">
        <x:v>普通住宅</x:v>
      </x:c>
      <x:c r="L606" s="48" t="str">
        <x:v>是</x:v>
      </x:c>
      <x:c r="M606" s="48" t="str">
        <x:v>保留</x:v>
      </x:c>
      <x:c r="N606" s="48" t="str">
        <x:v>联城美园|1室0厅1|27|3050|北</x:v>
      </x:c>
      <x:c r="O606" s="48"/>
      <x:c r="P606" s="48" t="str">
        <x:v>未知（未逐条补齐）</x:v>
      </x:c>
      <x:c r="Q606" s="48" t="str">
        <x:v>https://shenzhen.leyoujia.com/zf/detail/RjCmcDQiNevBechNywSA5B.html</x:v>
      </x:c>
      <x:c r="R606" s="48" t="str">
        <x:v>2026-08-13</x:v>
      </x:c>
    </x:row>
    <x:row r="607">
      <x:c r="A607" s="48" t="str">
        <x:v>联城美园</x:v>
      </x:c>
      <x:c r="B607" s="48" t="str">
        <x:v>联城美园</x:v>
      </x:c>
      <x:c r="C607" s="48" t="str">
        <x:v>湖贝</x:v>
      </x:c>
      <x:c r="D607" s="56" t="n">
        <x:v>7.4</x:v>
      </x:c>
      <x:c r="E607" s="61" t="n">
        <x:v>3300</x:v>
      </x:c>
      <x:c r="F607" s="61" t="n">
        <x:v>25.38</x:v>
      </x:c>
      <x:c r="G607" s="61" t="n">
        <x:v>130</x:v>
      </x:c>
      <x:c r="H607" s="48" t="str">
        <x:v>1室0厅1</x:v>
      </x:c>
      <x:c r="I607" s="48" t="str">
        <x:v>北</x:v>
      </x:c>
      <x:c r="J607" s="48" t="str">
        <x:v>精装</x:v>
      </x:c>
      <x:c r="K607" s="48" t="str">
        <x:v>普通住宅</x:v>
      </x:c>
      <x:c r="L607" s="48" t="str">
        <x:v>是</x:v>
      </x:c>
      <x:c r="M607" s="48" t="str">
        <x:v>保留</x:v>
      </x:c>
      <x:c r="N607" s="48" t="str">
        <x:v>联城美园|1室0厅1|25|3300|北</x:v>
      </x:c>
      <x:c r="O607" s="48"/>
      <x:c r="P607" s="48" t="str">
        <x:v>未知（未逐条补齐）</x:v>
      </x:c>
      <x:c r="Q607" s="48" t="str">
        <x:v>https://shenzhen.leyoujia.com/zf/detail/FG5QmN2dFuKBir58rvqmz6.html</x:v>
      </x:c>
      <x:c r="R607" s="48" t="str">
        <x:v>2026-08-13</x:v>
      </x:c>
    </x:row>
    <x:row r="608">
      <x:c r="A608" s="48" t="str">
        <x:v>联城美园</x:v>
      </x:c>
      <x:c r="B608" s="48" t="str">
        <x:v>联城美园</x:v>
      </x:c>
      <x:c r="C608" s="48" t="str">
        <x:v>湖贝</x:v>
      </x:c>
      <x:c r="D608" s="56" t="n">
        <x:v>7.4</x:v>
      </x:c>
      <x:c r="E608" s="61" t="n">
        <x:v>3700</x:v>
      </x:c>
      <x:c r="F608" s="61" t="n">
        <x:v>33.77</x:v>
      </x:c>
      <x:c r="G608" s="61" t="n">
        <x:v>109.6</x:v>
      </x:c>
      <x:c r="H608" s="48" t="str">
        <x:v>1室1厅1</x:v>
      </x:c>
      <x:c r="I608" s="48" t="str">
        <x:v>西</x:v>
      </x:c>
      <x:c r="J608" s="48" t="str">
        <x:v>精装</x:v>
      </x:c>
      <x:c r="K608" s="48" t="str">
        <x:v>普通住宅</x:v>
      </x:c>
      <x:c r="L608" s="48" t="str">
        <x:v>是</x:v>
      </x:c>
      <x:c r="M608" s="48" t="str">
        <x:v>保留</x:v>
      </x:c>
      <x:c r="N608" s="48" t="str">
        <x:v>联城美园|1室1厅1|34|3700|西</x:v>
      </x:c>
      <x:c r="O608" s="48"/>
      <x:c r="P608" s="48" t="str">
        <x:v>未知（未逐条补齐）</x:v>
      </x:c>
      <x:c r="Q608" s="48" t="str">
        <x:v>https://shenzhen.leyoujia.com/zf/detail/LrrDmJ9oCx4sQR867GBTuJ.html</x:v>
      </x:c>
      <x:c r="R608" s="48" t="str">
        <x:v>2026-08-13</x:v>
      </x:c>
    </x:row>
    <x:row r="609">
      <x:c r="A609" s="48" t="str">
        <x:v>联城美园</x:v>
      </x:c>
      <x:c r="B609" s="48" t="str">
        <x:v>联城美园</x:v>
      </x:c>
      <x:c r="C609" s="48" t="str">
        <x:v>湖贝</x:v>
      </x:c>
      <x:c r="D609" s="56" t="n">
        <x:v>7.4</x:v>
      </x:c>
      <x:c r="E609" s="61" t="n">
        <x:v>3800</x:v>
      </x:c>
      <x:c r="F609" s="61" t="n">
        <x:v>36.18</x:v>
      </x:c>
      <x:c r="G609" s="61" t="n">
        <x:v>105</x:v>
      </x:c>
      <x:c r="H609" s="48" t="str">
        <x:v>1室1厅1</x:v>
      </x:c>
      <x:c r="I609" s="48" t="str">
        <x:v>北</x:v>
      </x:c>
      <x:c r="J609" s="48" t="str">
        <x:v>精装</x:v>
      </x:c>
      <x:c r="K609" s="48" t="str">
        <x:v>普通住宅</x:v>
      </x:c>
      <x:c r="L609" s="48" t="str">
        <x:v>是</x:v>
      </x:c>
      <x:c r="M609" s="48" t="str">
        <x:v>保留</x:v>
      </x:c>
      <x:c r="N609" s="48" t="str">
        <x:v>联城美园|1室1厅1|36|3800|北</x:v>
      </x:c>
      <x:c r="O609" s="48"/>
      <x:c r="P609" s="48" t="str">
        <x:v>未知（未逐条补齐）</x:v>
      </x:c>
      <x:c r="Q609" s="48" t="str">
        <x:v>https://shenzhen.leyoujia.com/zf/detail/TU358jsAsKmG7zLyBrHmFE.html</x:v>
      </x:c>
      <x:c r="R609" s="48" t="str">
        <x:v>2026-08-13</x:v>
      </x:c>
    </x:row>
    <x:row r="610">
      <x:c r="A610" s="48" t="str">
        <x:v>联城美园</x:v>
      </x:c>
      <x:c r="B610" s="48" t="str">
        <x:v>联城美园</x:v>
      </x:c>
      <x:c r="C610" s="48" t="str">
        <x:v>湖贝</x:v>
      </x:c>
      <x:c r="D610" s="56" t="n">
        <x:v>7.4</x:v>
      </x:c>
      <x:c r="E610" s="61" t="n">
        <x:v>3900</x:v>
      </x:c>
      <x:c r="F610" s="61" t="n">
        <x:v>36</x:v>
      </x:c>
      <x:c r="G610" s="61" t="n">
        <x:v>108.3</x:v>
      </x:c>
      <x:c r="H610" s="48" t="str">
        <x:v>1室0厅1</x:v>
      </x:c>
      <x:c r="I610" s="48" t="str">
        <x:v>东</x:v>
      </x:c>
      <x:c r="J610" s="48" t="str">
        <x:v>精装</x:v>
      </x:c>
      <x:c r="K610" s="48" t="str">
        <x:v>普通住宅</x:v>
      </x:c>
      <x:c r="L610" s="48" t="str">
        <x:v>是</x:v>
      </x:c>
      <x:c r="M610" s="48" t="str">
        <x:v>保留</x:v>
      </x:c>
      <x:c r="N610" s="48" t="str">
        <x:v>联城美园|1室0厅1|36|3900|东</x:v>
      </x:c>
      <x:c r="O610" s="48"/>
      <x:c r="P610" s="48" t="str">
        <x:v>未知（未逐条补齐）</x:v>
      </x:c>
      <x:c r="Q610" s="48" t="str">
        <x:v>https://shenzhen.leyoujia.com/zf/detail/NDFXevdEidu3ztFunXxFML.html</x:v>
      </x:c>
      <x:c r="R610" s="48" t="str">
        <x:v>2026-08-13</x:v>
      </x:c>
    </x:row>
    <x:row r="611">
      <x:c r="A611" s="48" t="str">
        <x:v>联城美园</x:v>
      </x:c>
      <x:c r="B611" s="48" t="str">
        <x:v>联城美园</x:v>
      </x:c>
      <x:c r="C611" s="48" t="str">
        <x:v>湖贝</x:v>
      </x:c>
      <x:c r="D611" s="56" t="n">
        <x:v>7.4</x:v>
      </x:c>
      <x:c r="E611" s="61" t="n">
        <x:v>4000</x:v>
      </x:c>
      <x:c r="F611" s="61" t="n">
        <x:v>33.4</x:v>
      </x:c>
      <x:c r="G611" s="61" t="n">
        <x:v>119.8</x:v>
      </x:c>
      <x:c r="H611" s="48" t="str">
        <x:v>1室0厅1</x:v>
      </x:c>
      <x:c r="I611" s="48" t="str">
        <x:v>西</x:v>
      </x:c>
      <x:c r="J611" s="48" t="str">
        <x:v>精装</x:v>
      </x:c>
      <x:c r="K611" s="48" t="str">
        <x:v>普通住宅</x:v>
      </x:c>
      <x:c r="L611" s="48" t="str">
        <x:v>是</x:v>
      </x:c>
      <x:c r="M611" s="48" t="str">
        <x:v>保留</x:v>
      </x:c>
      <x:c r="N611" s="48" t="str">
        <x:v>联城美园|1室0厅1|33|4000|西</x:v>
      </x:c>
      <x:c r="O611" s="48"/>
      <x:c r="P611" s="48" t="str">
        <x:v>未知（未逐条补齐）</x:v>
      </x:c>
      <x:c r="Q611" s="48" t="str">
        <x:v>https://shenzhen.leyoujia.com/zf/detail/MHy3kLA48m86hCoDZwfMBg.html</x:v>
      </x:c>
      <x:c r="R611" s="48" t="str">
        <x:v>2026-08-13</x:v>
      </x:c>
    </x:row>
    <x:row r="612">
      <x:c r="A612" s="48" t="str">
        <x:v>联城美园</x:v>
      </x:c>
      <x:c r="B612" s="48" t="str">
        <x:v>联城美园</x:v>
      </x:c>
      <x:c r="C612" s="48" t="str">
        <x:v>湖贝</x:v>
      </x:c>
      <x:c r="D612" s="56" t="n">
        <x:v>7.4</x:v>
      </x:c>
      <x:c r="E612" s="61" t="n">
        <x:v>4300</x:v>
      </x:c>
      <x:c r="F612" s="61" t="n">
        <x:v>33.41</x:v>
      </x:c>
      <x:c r="G612" s="61" t="n">
        <x:v>128.7</x:v>
      </x:c>
      <x:c r="H612" s="48" t="str">
        <x:v>1室0厅1</x:v>
      </x:c>
      <x:c r="I612" s="48" t="str">
        <x:v>西</x:v>
      </x:c>
      <x:c r="J612" s="48" t="str">
        <x:v>普装</x:v>
      </x:c>
      <x:c r="K612" s="48" t="str">
        <x:v>普通住宅</x:v>
      </x:c>
      <x:c r="L612" s="48" t="str">
        <x:v>是</x:v>
      </x:c>
      <x:c r="M612" s="48" t="str">
        <x:v>保留</x:v>
      </x:c>
      <x:c r="N612" s="48" t="str">
        <x:v>联城美园|1室0厅1|33|4300|西</x:v>
      </x:c>
      <x:c r="O612" s="48"/>
      <x:c r="P612" s="48" t="str">
        <x:v>未知（未逐条补齐）</x:v>
      </x:c>
      <x:c r="Q612" s="48" t="str">
        <x:v>https://shenzhen.leyoujia.com/zf/detail/8BE3fesq7L416FP5ZdcQqA.html</x:v>
      </x:c>
      <x:c r="R612" s="48" t="str">
        <x:v>2026-08-13</x:v>
      </x:c>
    </x:row>
    <x:row r="613">
      <x:c r="A613" s="48" t="str">
        <x:v>联城美园</x:v>
      </x:c>
      <x:c r="B613" s="48" t="str">
        <x:v>联城美园</x:v>
      </x:c>
      <x:c r="C613" s="48" t="str">
        <x:v>湖贝</x:v>
      </x:c>
      <x:c r="D613" s="56" t="n">
        <x:v>7.4</x:v>
      </x:c>
      <x:c r="E613" s="61" t="n">
        <x:v>4300</x:v>
      </x:c>
      <x:c r="F613" s="61" t="n">
        <x:v>34</x:v>
      </x:c>
      <x:c r="G613" s="61" t="n">
        <x:v>126.5</x:v>
      </x:c>
      <x:c r="H613" s="48" t="str">
        <x:v>1室1厅1</x:v>
      </x:c>
      <x:c r="I613" s="48" t="str">
        <x:v>西</x:v>
      </x:c>
      <x:c r="J613" s="48" t="str">
        <x:v>普装</x:v>
      </x:c>
      <x:c r="K613" s="48" t="str">
        <x:v>普通住宅</x:v>
      </x:c>
      <x:c r="L613" s="48" t="str">
        <x:v>是</x:v>
      </x:c>
      <x:c r="M613" s="48" t="str">
        <x:v>保留</x:v>
      </x:c>
      <x:c r="N613" s="48" t="str">
        <x:v>联城美园|1室1厅1|34|4300|西</x:v>
      </x:c>
      <x:c r="O613" s="48"/>
      <x:c r="P613" s="48" t="str">
        <x:v>未知（未逐条补齐）</x:v>
      </x:c>
      <x:c r="Q613" s="48" t="str">
        <x:v>https://shenzhen.leyoujia.com/zf/detail/KEXohP33xiqicscMUUMUrT.html</x:v>
      </x:c>
      <x:c r="R613" s="48" t="str">
        <x:v>2026-08-13</x:v>
      </x:c>
    </x:row>
    <x:row r="614">
      <x:c r="A614" s="48" t="str">
        <x:v>联城美园</x:v>
      </x:c>
      <x:c r="B614" s="48" t="str">
        <x:v>联城美园</x:v>
      </x:c>
      <x:c r="C614" s="48" t="str">
        <x:v>湖贝</x:v>
      </x:c>
      <x:c r="D614" s="56" t="n">
        <x:v>7.4</x:v>
      </x:c>
      <x:c r="E614" s="61" t="n">
        <x:v>4500</x:v>
      </x:c>
      <x:c r="F614" s="61" t="n">
        <x:v>36.41</x:v>
      </x:c>
      <x:c r="G614" s="61" t="n">
        <x:v>123.6</x:v>
      </x:c>
      <x:c r="H614" s="48" t="str">
        <x:v>1室1厅1</x:v>
      </x:c>
      <x:c r="I614" s="48" t="str">
        <x:v>北</x:v>
      </x:c>
      <x:c r="J614" s="48" t="str">
        <x:v>普装</x:v>
      </x:c>
      <x:c r="K614" s="48" t="str">
        <x:v>普通住宅</x:v>
      </x:c>
      <x:c r="L614" s="48" t="str">
        <x:v>是</x:v>
      </x:c>
      <x:c r="M614" s="48" t="str">
        <x:v>保留</x:v>
      </x:c>
      <x:c r="N614" s="48" t="str">
        <x:v>联城美园|1室1厅1|36|4500|北</x:v>
      </x:c>
      <x:c r="O614" s="48"/>
      <x:c r="P614" s="48" t="str">
        <x:v>未知（未逐条补齐）</x:v>
      </x:c>
      <x:c r="Q614" s="48" t="str">
        <x:v>https://shenzhen.leyoujia.com/zf/detail/Gah7V3Fwv5TwToyU3sgq2b.html</x:v>
      </x:c>
      <x:c r="R614" s="48" t="str">
        <x:v>2026-08-13</x:v>
      </x:c>
    </x:row>
    <x:row r="615">
      <x:c r="A615" s="48" t="str">
        <x:v>长丰苑</x:v>
      </x:c>
      <x:c r="B615" s="48" t="str">
        <x:v>长丰苑</x:v>
      </x:c>
      <x:c r="C615" s="48" t="str">
        <x:v>湖贝</x:v>
      </x:c>
      <x:c r="D615" s="56" t="n">
        <x:v>7</x:v>
      </x:c>
      <x:c r="E615" s="61" t="n">
        <x:v>2500</x:v>
      </x:c>
      <x:c r="F615" s="61" t="n">
        <x:v>55</x:v>
      </x:c>
      <x:c r="G615" s="61" t="n">
        <x:v>45.5</x:v>
      </x:c>
      <x:c r="H615" s="48" t="str">
        <x:v>1室1厅1</x:v>
      </x:c>
      <x:c r="I615" s="48" t="str">
        <x:v>东</x:v>
      </x:c>
      <x:c r="J615" s="48" t="str">
        <x:v>精装</x:v>
      </x:c>
      <x:c r="K615" s="48" t="str">
        <x:v>普通住宅</x:v>
      </x:c>
      <x:c r="L615" s="48" t="str">
        <x:v>否</x:v>
      </x:c>
      <x:c r="M615" s="48" t="str">
        <x:v>异常低价待核</x:v>
      </x:c>
      <x:c r="N615" s="48" t="str">
        <x:v>长丰苑|1室1厅1|55|2500|东</x:v>
      </x:c>
      <x:c r="O615" s="48"/>
      <x:c r="P615" s="48" t="str">
        <x:v>未知（未逐条补齐）</x:v>
      </x:c>
      <x:c r="Q615" s="48" t="str">
        <x:v>https://shenzhen.leyoujia.com/zf/detail/EHFT56nySHquRB4yTwtrpF.html</x:v>
      </x:c>
      <x:c r="R615" s="48" t="str">
        <x:v>2026-08-13</x:v>
      </x:c>
    </x:row>
    <x:row r="616">
      <x:c r="A616" s="48" t="str">
        <x:v>长丰苑</x:v>
      </x:c>
      <x:c r="B616" s="48" t="str">
        <x:v>长丰苑</x:v>
      </x:c>
      <x:c r="C616" s="48" t="str">
        <x:v>湖贝</x:v>
      </x:c>
      <x:c r="D616" s="56" t="n">
        <x:v>7</x:v>
      </x:c>
      <x:c r="E616" s="61" t="n">
        <x:v>2800</x:v>
      </x:c>
      <x:c r="F616" s="61" t="n">
        <x:v>45</x:v>
      </x:c>
      <x:c r="G616" s="61" t="n">
        <x:v>62.2</x:v>
      </x:c>
      <x:c r="H616" s="48" t="str">
        <x:v>1室1厅1</x:v>
      </x:c>
      <x:c r="I616" s="48" t="str">
        <x:v>北</x:v>
      </x:c>
      <x:c r="J616" s="48" t="str">
        <x:v>普装</x:v>
      </x:c>
      <x:c r="K616" s="48" t="str">
        <x:v>普通住宅</x:v>
      </x:c>
      <x:c r="L616" s="48" t="str">
        <x:v>是</x:v>
      </x:c>
      <x:c r="M616" s="48" t="str">
        <x:v>保留</x:v>
      </x:c>
      <x:c r="N616" s="48" t="str">
        <x:v>长丰苑|1室1厅1|45|2800|北</x:v>
      </x:c>
      <x:c r="O616" s="48"/>
      <x:c r="P616" s="48" t="str">
        <x:v>未知（未逐条补齐）</x:v>
      </x:c>
      <x:c r="Q616" s="48" t="str">
        <x:v>https://shenzhen.leyoujia.com/zf/detail/AuTbPksKLZfFAWeqUvn9b8.html</x:v>
      </x:c>
      <x:c r="R616" s="48" t="str">
        <x:v>2026-08-13</x:v>
      </x:c>
    </x:row>
    <x:row r="617">
      <x:c r="A617" s="48" t="str">
        <x:v>长丰苑</x:v>
      </x:c>
      <x:c r="B617" s="48" t="str">
        <x:v>长丰苑</x:v>
      </x:c>
      <x:c r="C617" s="48" t="str">
        <x:v>湖贝</x:v>
      </x:c>
      <x:c r="D617" s="56" t="n">
        <x:v>7</x:v>
      </x:c>
      <x:c r="E617" s="61" t="n">
        <x:v>3300</x:v>
      </x:c>
      <x:c r="F617" s="61" t="n">
        <x:v>45</x:v>
      </x:c>
      <x:c r="G617" s="61" t="n">
        <x:v>73.3</x:v>
      </x:c>
      <x:c r="H617" s="48" t="str">
        <x:v>1室0厅1</x:v>
      </x:c>
      <x:c r="I617" s="48" t="str">
        <x:v>北</x:v>
      </x:c>
      <x:c r="J617" s="48" t="str">
        <x:v>精装</x:v>
      </x:c>
      <x:c r="K617" s="48" t="str">
        <x:v>普通住宅</x:v>
      </x:c>
      <x:c r="L617" s="48" t="str">
        <x:v>是</x:v>
      </x:c>
      <x:c r="M617" s="48" t="str">
        <x:v>保留</x:v>
      </x:c>
      <x:c r="N617" s="48" t="str">
        <x:v>长丰苑|1室0厅1|45|3300|北</x:v>
      </x:c>
      <x:c r="O617" s="48"/>
      <x:c r="P617" s="48" t="str">
        <x:v>未知（未逐条补齐）</x:v>
      </x:c>
      <x:c r="Q617" s="48" t="str">
        <x:v>https://shenzhen.leyoujia.com/zf/detail/JD4nMmEFYubSFbreaqhQyR.html</x:v>
      </x:c>
      <x:c r="R617" s="48" t="str">
        <x:v>2026-08-13</x:v>
      </x:c>
    </x:row>
    <x:row r="618">
      <x:c r="A618" s="48" t="str">
        <x:v>长丰苑</x:v>
      </x:c>
      <x:c r="B618" s="48" t="str">
        <x:v>长丰苑</x:v>
      </x:c>
      <x:c r="C618" s="48" t="str">
        <x:v>湖贝</x:v>
      </x:c>
      <x:c r="D618" s="56" t="n">
        <x:v>7</x:v>
      </x:c>
      <x:c r="E618" s="61" t="n">
        <x:v>3400</x:v>
      </x:c>
      <x:c r="F618" s="61" t="n">
        <x:v>38.8</x:v>
      </x:c>
      <x:c r="G618" s="61" t="n">
        <x:v>87.6</x:v>
      </x:c>
      <x:c r="H618" s="48" t="str">
        <x:v>1室0厅1</x:v>
      </x:c>
      <x:c r="I618" s="48" t="str">
        <x:v>南</x:v>
      </x:c>
      <x:c r="J618" s="48" t="str">
        <x:v>普装</x:v>
      </x:c>
      <x:c r="K618" s="48" t="str">
        <x:v>普通住宅</x:v>
      </x:c>
      <x:c r="L618" s="48" t="str">
        <x:v>是</x:v>
      </x:c>
      <x:c r="M618" s="48" t="str">
        <x:v>保留</x:v>
      </x:c>
      <x:c r="N618" s="48" t="str">
        <x:v>长丰苑|1室0厅1|39|3400|南</x:v>
      </x:c>
      <x:c r="O618" s="48"/>
      <x:c r="P618" s="48" t="str">
        <x:v>未知（未逐条补齐）</x:v>
      </x:c>
      <x:c r="Q618" s="48" t="str">
        <x:v>https://shenzhen.leyoujia.com/zf/detail/GfbtFukU3xY6WYbxqn8XHm.html</x:v>
      </x:c>
      <x:c r="R618" s="48" t="str">
        <x:v>2026-08-13</x:v>
      </x:c>
    </x:row>
    <x:row r="619">
      <x:c r="A619" s="48" t="str">
        <x:v>长丰苑</x:v>
      </x:c>
      <x:c r="B619" s="48" t="str">
        <x:v>长丰苑</x:v>
      </x:c>
      <x:c r="C619" s="48" t="str">
        <x:v>湖贝</x:v>
      </x:c>
      <x:c r="D619" s="56" t="n">
        <x:v>7</x:v>
      </x:c>
      <x:c r="E619" s="61" t="n">
        <x:v>3400</x:v>
      </x:c>
      <x:c r="F619" s="61" t="n">
        <x:v>43.96</x:v>
      </x:c>
      <x:c r="G619" s="61" t="n">
        <x:v>77.3</x:v>
      </x:c>
      <x:c r="H619" s="48" t="str">
        <x:v>1室0厅1</x:v>
      </x:c>
      <x:c r="I619" s="48" t="str">
        <x:v>北</x:v>
      </x:c>
      <x:c r="J619" s="48" t="str">
        <x:v>精装</x:v>
      </x:c>
      <x:c r="K619" s="48" t="str">
        <x:v>普通住宅</x:v>
      </x:c>
      <x:c r="L619" s="48" t="str">
        <x:v>是</x:v>
      </x:c>
      <x:c r="M619" s="48" t="str">
        <x:v>保留</x:v>
      </x:c>
      <x:c r="N619" s="48" t="str">
        <x:v>长丰苑|1室0厅1|44|3400|北</x:v>
      </x:c>
      <x:c r="O619" s="48"/>
      <x:c r="P619" s="48" t="str">
        <x:v>未知（未逐条补齐）</x:v>
      </x:c>
      <x:c r="Q619" s="48" t="str">
        <x:v>https://shenzhen.leyoujia.com/zf/detail/Xg3fu4gmiaJqRGzqG1tuLB.html</x:v>
      </x:c>
      <x:c r="R619" s="48" t="str">
        <x:v>2026-08-13</x:v>
      </x:c>
    </x:row>
    <x:row r="620">
      <x:c r="A620" s="48" t="str">
        <x:v>长丰苑</x:v>
      </x:c>
      <x:c r="B620" s="48" t="str">
        <x:v>长丰苑</x:v>
      </x:c>
      <x:c r="C620" s="48" t="str">
        <x:v>湖贝</x:v>
      </x:c>
      <x:c r="D620" s="56" t="n">
        <x:v>7</x:v>
      </x:c>
      <x:c r="E620" s="61" t="n">
        <x:v>3500</x:v>
      </x:c>
      <x:c r="F620" s="61" t="n">
        <x:v>43.69</x:v>
      </x:c>
      <x:c r="G620" s="61" t="n">
        <x:v>80.1</x:v>
      </x:c>
      <x:c r="H620" s="48" t="str">
        <x:v>1室0厅1</x:v>
      </x:c>
      <x:c r="I620" s="48" t="str">
        <x:v>西北</x:v>
      </x:c>
      <x:c r="J620" s="48" t="str">
        <x:v>精装</x:v>
      </x:c>
      <x:c r="K620" s="48" t="str">
        <x:v>普通住宅</x:v>
      </x:c>
      <x:c r="L620" s="48" t="str">
        <x:v>是</x:v>
      </x:c>
      <x:c r="M620" s="48" t="str">
        <x:v>保留</x:v>
      </x:c>
      <x:c r="N620" s="48" t="str">
        <x:v>长丰苑|1室0厅1|44|3500|西北</x:v>
      </x:c>
      <x:c r="O620" s="48"/>
      <x:c r="P620" s="48" t="str">
        <x:v>未知（未逐条补齐）</x:v>
      </x:c>
      <x:c r="Q620" s="48" t="str">
        <x:v>https://shenzhen.leyoujia.com/zf/detail/JyiEZvHRBJVRoMFBXBae2V.html</x:v>
      </x:c>
      <x:c r="R620" s="48" t="str">
        <x:v>2026-08-13</x:v>
      </x:c>
    </x:row>
    <x:row r="621">
      <x:c r="A621" s="48" t="str">
        <x:v>长丰苑</x:v>
      </x:c>
      <x:c r="B621" s="48" t="str">
        <x:v>长丰苑</x:v>
      </x:c>
      <x:c r="C621" s="48" t="str">
        <x:v>湖贝</x:v>
      </x:c>
      <x:c r="D621" s="56" t="n">
        <x:v>7</x:v>
      </x:c>
      <x:c r="E621" s="61" t="n">
        <x:v>3500</x:v>
      </x:c>
      <x:c r="F621" s="61" t="n">
        <x:v>38.89</x:v>
      </x:c>
      <x:c r="G621" s="61" t="n">
        <x:v>90</x:v>
      </x:c>
      <x:c r="H621" s="48" t="str">
        <x:v>1室0厅1</x:v>
      </x:c>
      <x:c r="I621" s="48" t="str">
        <x:v>南</x:v>
      </x:c>
      <x:c r="J621" s="48" t="str">
        <x:v>普装</x:v>
      </x:c>
      <x:c r="K621" s="48" t="str">
        <x:v>普通住宅</x:v>
      </x:c>
      <x:c r="L621" s="48" t="str">
        <x:v>是</x:v>
      </x:c>
      <x:c r="M621" s="48" t="str">
        <x:v>保留</x:v>
      </x:c>
      <x:c r="N621" s="48" t="str">
        <x:v>长丰苑|1室0厅1|39|3500|南</x:v>
      </x:c>
      <x:c r="O621" s="48"/>
      <x:c r="P621" s="48" t="str">
        <x:v>未知（未逐条补齐）</x:v>
      </x:c>
      <x:c r="Q621" s="48" t="str">
        <x:v>https://shenzhen.leyoujia.com/zf/detail/PBZ8pL3vNMKJJpGUDAXWWg.html</x:v>
      </x:c>
      <x:c r="R621" s="48" t="str">
        <x:v>2026-08-13</x:v>
      </x:c>
    </x:row>
    <x:row r="622">
      <x:c r="A622" s="48" t="str">
        <x:v>长丰苑</x:v>
      </x:c>
      <x:c r="B622" s="48" t="str">
        <x:v>长丰苑</x:v>
      </x:c>
      <x:c r="C622" s="48" t="str">
        <x:v>湖贝</x:v>
      </x:c>
      <x:c r="D622" s="56" t="n">
        <x:v>7</x:v>
      </x:c>
      <x:c r="E622" s="61" t="n">
        <x:v>3500</x:v>
      </x:c>
      <x:c r="F622" s="61" t="n">
        <x:v>43</x:v>
      </x:c>
      <x:c r="G622" s="61" t="n">
        <x:v>81.4</x:v>
      </x:c>
      <x:c r="H622" s="48" t="str">
        <x:v>1室1厅1</x:v>
      </x:c>
      <x:c r="I622" s="48" t="str">
        <x:v>南</x:v>
      </x:c>
      <x:c r="J622" s="48" t="str">
        <x:v>普装</x:v>
      </x:c>
      <x:c r="K622" s="48" t="str">
        <x:v>普通住宅</x:v>
      </x:c>
      <x:c r="L622" s="48" t="str">
        <x:v>是</x:v>
      </x:c>
      <x:c r="M622" s="48" t="str">
        <x:v>保留</x:v>
      </x:c>
      <x:c r="N622" s="48" t="str">
        <x:v>长丰苑|1室1厅1|43|3500|南</x:v>
      </x:c>
      <x:c r="O622" s="48"/>
      <x:c r="P622" s="48" t="str">
        <x:v>未知（未逐条补齐）</x:v>
      </x:c>
      <x:c r="Q622" s="48" t="str">
        <x:v>https://shenzhen.leyoujia.com/zf/detail/XRz35Sb1jNBXtJ84h6WoEe.html</x:v>
      </x:c>
      <x:c r="R622" s="48" t="str">
        <x:v>2026-08-13</x:v>
      </x:c>
    </x:row>
    <x:row r="623">
      <x:c r="A623" s="48" t="str">
        <x:v>长丰苑</x:v>
      </x:c>
      <x:c r="B623" s="48" t="str">
        <x:v>长丰苑</x:v>
      </x:c>
      <x:c r="C623" s="48" t="str">
        <x:v>湖贝</x:v>
      </x:c>
      <x:c r="D623" s="56" t="n">
        <x:v>7</x:v>
      </x:c>
      <x:c r="E623" s="61" t="n">
        <x:v>3580</x:v>
      </x:c>
      <x:c r="F623" s="61" t="n">
        <x:v>38.8</x:v>
      </x:c>
      <x:c r="G623" s="61" t="n">
        <x:v>92.3</x:v>
      </x:c>
      <x:c r="H623" s="48" t="str">
        <x:v>1室0厅1</x:v>
      </x:c>
      <x:c r="I623" s="48" t="str">
        <x:v>南</x:v>
      </x:c>
      <x:c r="J623" s="48" t="str">
        <x:v>普装</x:v>
      </x:c>
      <x:c r="K623" s="48" t="str">
        <x:v>普通住宅</x:v>
      </x:c>
      <x:c r="L623" s="48" t="str">
        <x:v>是</x:v>
      </x:c>
      <x:c r="M623" s="48" t="str">
        <x:v>保留</x:v>
      </x:c>
      <x:c r="N623" s="48" t="str">
        <x:v>长丰苑|1室0厅1|39|3580|南</x:v>
      </x:c>
      <x:c r="O623" s="48"/>
      <x:c r="P623" s="48" t="str">
        <x:v>未知（未逐条补齐）</x:v>
      </x:c>
      <x:c r="Q623" s="48" t="str">
        <x:v>https://shenzhen.leyoujia.com/zf/detail/BBfRY2ryotHR5djNumbfmz.html</x:v>
      </x:c>
      <x:c r="R623" s="48" t="str">
        <x:v>2026-08-13</x:v>
      </x:c>
    </x:row>
    <x:row r="624">
      <x:c r="A624" s="48" t="str">
        <x:v>长丰苑</x:v>
      </x:c>
      <x:c r="B624" s="48" t="str">
        <x:v>长丰苑</x:v>
      </x:c>
      <x:c r="C624" s="48" t="str">
        <x:v>湖贝</x:v>
      </x:c>
      <x:c r="D624" s="56" t="n">
        <x:v>7</x:v>
      </x:c>
      <x:c r="E624" s="61" t="n">
        <x:v>3600</x:v>
      </x:c>
      <x:c r="F624" s="61" t="n">
        <x:v>38.8</x:v>
      </x:c>
      <x:c r="G624" s="61" t="n">
        <x:v>92.8</x:v>
      </x:c>
      <x:c r="H624" s="48" t="str">
        <x:v>1室0厅1</x:v>
      </x:c>
      <x:c r="I624" s="48" t="str">
        <x:v>东南</x:v>
      </x:c>
      <x:c r="J624" s="48" t="str">
        <x:v>精装</x:v>
      </x:c>
      <x:c r="K624" s="48" t="str">
        <x:v>普通住宅</x:v>
      </x:c>
      <x:c r="L624" s="48" t="str">
        <x:v>是</x:v>
      </x:c>
      <x:c r="M624" s="48" t="str">
        <x:v>保留</x:v>
      </x:c>
      <x:c r="N624" s="48" t="str">
        <x:v>长丰苑|1室0厅1|39|3600|东南</x:v>
      </x:c>
      <x:c r="O624" s="48"/>
      <x:c r="P624" s="48" t="str">
        <x:v>未知（未逐条补齐）</x:v>
      </x:c>
      <x:c r="Q624" s="48" t="str">
        <x:v>https://shenzhen.leyoujia.com/zf/detail/7WKwG4fgZcZMnm2Mky4efd.html</x:v>
      </x:c>
      <x:c r="R624" s="48" t="str">
        <x:v>2026-08-13</x:v>
      </x:c>
    </x:row>
    <x:row r="625">
      <x:c r="A625" s="48" t="str">
        <x:v>长丰苑</x:v>
      </x:c>
      <x:c r="B625" s="48" t="str">
        <x:v>长丰苑</x:v>
      </x:c>
      <x:c r="C625" s="48" t="str">
        <x:v>湖贝</x:v>
      </x:c>
      <x:c r="D625" s="56" t="n">
        <x:v>7</x:v>
      </x:c>
      <x:c r="E625" s="61" t="n">
        <x:v>3700</x:v>
      </x:c>
      <x:c r="F625" s="61" t="n">
        <x:v>39</x:v>
      </x:c>
      <x:c r="G625" s="61" t="n">
        <x:v>94.9</x:v>
      </x:c>
      <x:c r="H625" s="48" t="str">
        <x:v>1室0厅1</x:v>
      </x:c>
      <x:c r="I625" s="48" t="str">
        <x:v>东南</x:v>
      </x:c>
      <x:c r="J625" s="48" t="str">
        <x:v>精装</x:v>
      </x:c>
      <x:c r="K625" s="48" t="str">
        <x:v>普通住宅</x:v>
      </x:c>
      <x:c r="L625" s="48" t="str">
        <x:v>是</x:v>
      </x:c>
      <x:c r="M625" s="48" t="str">
        <x:v>保留</x:v>
      </x:c>
      <x:c r="N625" s="48" t="str">
        <x:v>长丰苑|1室0厅1|39|3700|东南</x:v>
      </x:c>
      <x:c r="O625" s="48"/>
      <x:c r="P625" s="48" t="str">
        <x:v>未知（未逐条补齐）</x:v>
      </x:c>
      <x:c r="Q625" s="48" t="str">
        <x:v>https://shenzhen.leyoujia.com/zf/detail/QbkRyqvvjqikATCBeuu5tU.html</x:v>
      </x:c>
      <x:c r="R625" s="48" t="str">
        <x:v>2026-08-13</x:v>
      </x:c>
    </x:row>
    <x:row r="626">
      <x:c r="A626" s="48" t="str">
        <x:v>长丰苑</x:v>
      </x:c>
      <x:c r="B626" s="48" t="str">
        <x:v>长丰苑</x:v>
      </x:c>
      <x:c r="C626" s="48" t="str">
        <x:v>湖贝</x:v>
      </x:c>
      <x:c r="D626" s="56" t="n">
        <x:v>7</x:v>
      </x:c>
      <x:c r="E626" s="61" t="n">
        <x:v>3700</x:v>
      </x:c>
      <x:c r="F626" s="61" t="n">
        <x:v>38</x:v>
      </x:c>
      <x:c r="G626" s="61" t="n">
        <x:v>97.4</x:v>
      </x:c>
      <x:c r="H626" s="48" t="str">
        <x:v>1室0厅1</x:v>
      </x:c>
      <x:c r="I626" s="48" t="str">
        <x:v>东南</x:v>
      </x:c>
      <x:c r="J626" s="48" t="str">
        <x:v>普装</x:v>
      </x:c>
      <x:c r="K626" s="48" t="str">
        <x:v>普通住宅</x:v>
      </x:c>
      <x:c r="L626" s="48" t="str">
        <x:v>是</x:v>
      </x:c>
      <x:c r="M626" s="48" t="str">
        <x:v>保留</x:v>
      </x:c>
      <x:c r="N626" s="48" t="str">
        <x:v>长丰苑|1室0厅1|38|3700|东南</x:v>
      </x:c>
      <x:c r="O626" s="48"/>
      <x:c r="P626" s="48" t="str">
        <x:v>未知（未逐条补齐）</x:v>
      </x:c>
      <x:c r="Q626" s="48" t="str">
        <x:v>https://shenzhen.leyoujia.com/zf/detail/5JnwPFB12XTyfetoQEcrSB.html</x:v>
      </x:c>
      <x:c r="R626" s="48" t="str">
        <x:v>2026-08-13</x:v>
      </x:c>
    </x:row>
    <x:row r="627">
      <x:c r="A627" s="48" t="str">
        <x:v>长丰苑</x:v>
      </x:c>
      <x:c r="B627" s="48" t="str">
        <x:v>长丰苑</x:v>
      </x:c>
      <x:c r="C627" s="48" t="str">
        <x:v>湖贝</x:v>
      </x:c>
      <x:c r="D627" s="56" t="n">
        <x:v>7</x:v>
      </x:c>
      <x:c r="E627" s="61" t="n">
        <x:v>3800</x:v>
      </x:c>
      <x:c r="F627" s="61" t="n">
        <x:v>43</x:v>
      </x:c>
      <x:c r="G627" s="61" t="n">
        <x:v>88.4</x:v>
      </x:c>
      <x:c r="H627" s="48" t="str">
        <x:v>1室0厅1</x:v>
      </x:c>
      <x:c r="I627" s="48" t="str">
        <x:v>南</x:v>
      </x:c>
      <x:c r="J627" s="48" t="str">
        <x:v>普装</x:v>
      </x:c>
      <x:c r="K627" s="48" t="str">
        <x:v>普通住宅</x:v>
      </x:c>
      <x:c r="L627" s="48" t="str">
        <x:v>是</x:v>
      </x:c>
      <x:c r="M627" s="48" t="str">
        <x:v>保留</x:v>
      </x:c>
      <x:c r="N627" s="48" t="str">
        <x:v>长丰苑|1室0厅1|43|3800|南</x:v>
      </x:c>
      <x:c r="O627" s="48"/>
      <x:c r="P627" s="48" t="str">
        <x:v>未知（未逐条补齐）</x:v>
      </x:c>
      <x:c r="Q627" s="48" t="str">
        <x:v>https://shenzhen.leyoujia.com/zf/detail/3EADEeV5TkeWoK75udSmB8.html</x:v>
      </x:c>
      <x:c r="R627" s="48" t="str">
        <x:v>2026-08-13</x:v>
      </x:c>
    </x:row>
    <x:row r="628">
      <x:c r="A628" s="48" t="str">
        <x:v>长丰苑</x:v>
      </x:c>
      <x:c r="B628" s="48" t="str">
        <x:v>长丰苑</x:v>
      </x:c>
      <x:c r="C628" s="48" t="str">
        <x:v>湖贝</x:v>
      </x:c>
      <x:c r="D628" s="56" t="n">
        <x:v>7</x:v>
      </x:c>
      <x:c r="E628" s="61" t="n">
        <x:v>3800</x:v>
      </x:c>
      <x:c r="F628" s="61" t="n">
        <x:v>47</x:v>
      </x:c>
      <x:c r="G628" s="61" t="n">
        <x:v>80.9</x:v>
      </x:c>
      <x:c r="H628" s="48" t="str">
        <x:v>1室1厅1</x:v>
      </x:c>
      <x:c r="I628" s="48" t="str">
        <x:v>东</x:v>
      </x:c>
      <x:c r="J628" s="48" t="str">
        <x:v>普装</x:v>
      </x:c>
      <x:c r="K628" s="48" t="str">
        <x:v>普通住宅</x:v>
      </x:c>
      <x:c r="L628" s="48" t="str">
        <x:v>是</x:v>
      </x:c>
      <x:c r="M628" s="48" t="str">
        <x:v>保留</x:v>
      </x:c>
      <x:c r="N628" s="48" t="str">
        <x:v>长丰苑|1室1厅1|47|3800|东</x:v>
      </x:c>
      <x:c r="O628" s="48"/>
      <x:c r="P628" s="48" t="str">
        <x:v>未知（未逐条补齐）</x:v>
      </x:c>
      <x:c r="Q628" s="48" t="str">
        <x:v>https://shenzhen.leyoujia.com/zf/detail/TgUkXJU2QvDFk9NEEKNk6N.html</x:v>
      </x:c>
      <x:c r="R628" s="48" t="str">
        <x:v>2026-08-13</x:v>
      </x:c>
    </x:row>
    <x:row r="629">
      <x:c r="A629" s="48" t="str">
        <x:v>长丰苑</x:v>
      </x:c>
      <x:c r="B629" s="48" t="str">
        <x:v>长丰苑</x:v>
      </x:c>
      <x:c r="C629" s="48" t="str">
        <x:v>湖贝</x:v>
      </x:c>
      <x:c r="D629" s="56" t="n">
        <x:v>7</x:v>
      </x:c>
      <x:c r="E629" s="61" t="n">
        <x:v>3800</x:v>
      </x:c>
      <x:c r="F629" s="61" t="n">
        <x:v>44.47</x:v>
      </x:c>
      <x:c r="G629" s="61" t="n">
        <x:v>85.5</x:v>
      </x:c>
      <x:c r="H629" s="48" t="str">
        <x:v>1室0厅1</x:v>
      </x:c>
      <x:c r="I629" s="48" t="str">
        <x:v>北</x:v>
      </x:c>
      <x:c r="J629" s="48" t="str">
        <x:v>精装</x:v>
      </x:c>
      <x:c r="K629" s="48" t="str">
        <x:v>普通住宅</x:v>
      </x:c>
      <x:c r="L629" s="48" t="str">
        <x:v>是</x:v>
      </x:c>
      <x:c r="M629" s="48" t="str">
        <x:v>保留</x:v>
      </x:c>
      <x:c r="N629" s="48" t="str">
        <x:v>长丰苑|1室0厅1|44|3800|北</x:v>
      </x:c>
      <x:c r="O629" s="48"/>
      <x:c r="P629" s="48" t="str">
        <x:v>未知（未逐条补齐）</x:v>
      </x:c>
      <x:c r="Q629" s="48" t="str">
        <x:v>https://shenzhen.leyoujia.com/zf/detail/GBu92uaQWEkqicwS8gtEML.html</x:v>
      </x:c>
      <x:c r="R629" s="48" t="str">
        <x:v>2026-08-13</x:v>
      </x:c>
    </x:row>
    <x:row r="630">
      <x:c r="A630" s="48" t="str">
        <x:v>长丰苑</x:v>
      </x:c>
      <x:c r="B630" s="48" t="str">
        <x:v>长丰苑</x:v>
      </x:c>
      <x:c r="C630" s="48" t="str">
        <x:v>湖贝</x:v>
      </x:c>
      <x:c r="D630" s="56" t="n">
        <x:v>7</x:v>
      </x:c>
      <x:c r="E630" s="61" t="n">
        <x:v>3800</x:v>
      </x:c>
      <x:c r="F630" s="61" t="n">
        <x:v>44.75</x:v>
      </x:c>
      <x:c r="G630" s="61" t="n">
        <x:v>84.9</x:v>
      </x:c>
      <x:c r="H630" s="48" t="str">
        <x:v>1室1厅1</x:v>
      </x:c>
      <x:c r="I630" s="48" t="str">
        <x:v>北</x:v>
      </x:c>
      <x:c r="J630" s="48" t="str">
        <x:v>精装</x:v>
      </x:c>
      <x:c r="K630" s="48" t="str">
        <x:v>普通住宅</x:v>
      </x:c>
      <x:c r="L630" s="48" t="str">
        <x:v>是</x:v>
      </x:c>
      <x:c r="M630" s="48" t="str">
        <x:v>保留</x:v>
      </x:c>
      <x:c r="N630" s="48" t="str">
        <x:v>长丰苑|1室1厅1|45|3800|北</x:v>
      </x:c>
      <x:c r="O630" s="48"/>
      <x:c r="P630" s="48" t="str">
        <x:v>未知（未逐条补齐）</x:v>
      </x:c>
      <x:c r="Q630" s="48" t="str">
        <x:v>https://shenzhen.leyoujia.com/zf/detail/cksz1MqqJMrjzu7VEcCAq.html</x:v>
      </x:c>
      <x:c r="R630" s="48" t="str">
        <x:v>2026-08-13</x:v>
      </x:c>
    </x:row>
    <x:row r="631">
      <x:c r="A631" s="48" t="str">
        <x:v>长丰苑</x:v>
      </x:c>
      <x:c r="B631" s="48" t="str">
        <x:v>长丰苑</x:v>
      </x:c>
      <x:c r="C631" s="48" t="str">
        <x:v>湖贝</x:v>
      </x:c>
      <x:c r="D631" s="56" t="n">
        <x:v>7</x:v>
      </x:c>
      <x:c r="E631" s="61" t="n">
        <x:v>3800</x:v>
      </x:c>
      <x:c r="F631" s="61" t="n">
        <x:v>38.8</x:v>
      </x:c>
      <x:c r="G631" s="61" t="n">
        <x:v>97.9</x:v>
      </x:c>
      <x:c r="H631" s="48" t="str">
        <x:v>1室0厅1</x:v>
      </x:c>
      <x:c r="I631" s="48" t="str">
        <x:v>南</x:v>
      </x:c>
      <x:c r="J631" s="48" t="str">
        <x:v>普装</x:v>
      </x:c>
      <x:c r="K631" s="48" t="str">
        <x:v>普通住宅</x:v>
      </x:c>
      <x:c r="L631" s="48" t="str">
        <x:v>是</x:v>
      </x:c>
      <x:c r="M631" s="48" t="str">
        <x:v>保留</x:v>
      </x:c>
      <x:c r="N631" s="48" t="str">
        <x:v>长丰苑|1室0厅1|39|3800|南</x:v>
      </x:c>
      <x:c r="O631" s="48"/>
      <x:c r="P631" s="48" t="str">
        <x:v>未知（未逐条补齐）</x:v>
      </x:c>
      <x:c r="Q631" s="48" t="str">
        <x:v>https://shenzhen.leyoujia.com/zf/detail/VWqti78XvfEKwx3THxSfG5.html</x:v>
      </x:c>
      <x:c r="R631" s="48" t="str">
        <x:v>2026-08-13</x:v>
      </x:c>
    </x:row>
    <x:row r="632">
      <x:c r="A632" s="48" t="str">
        <x:v>长丰苑</x:v>
      </x:c>
      <x:c r="B632" s="48" t="str">
        <x:v>长丰苑</x:v>
      </x:c>
      <x:c r="C632" s="48" t="str">
        <x:v>湖贝</x:v>
      </x:c>
      <x:c r="D632" s="56" t="n">
        <x:v>7</x:v>
      </x:c>
      <x:c r="E632" s="61" t="n">
        <x:v>3800</x:v>
      </x:c>
      <x:c r="F632" s="61" t="n">
        <x:v>50</x:v>
      </x:c>
      <x:c r="G632" s="61" t="n">
        <x:v>76</x:v>
      </x:c>
      <x:c r="H632" s="48" t="str">
        <x:v>1室1厅1</x:v>
      </x:c>
      <x:c r="I632" s="48" t="str">
        <x:v>东</x:v>
      </x:c>
      <x:c r="J632" s="48" t="str">
        <x:v>精装</x:v>
      </x:c>
      <x:c r="K632" s="48" t="str">
        <x:v>普通住宅</x:v>
      </x:c>
      <x:c r="L632" s="48" t="str">
        <x:v>是</x:v>
      </x:c>
      <x:c r="M632" s="48" t="str">
        <x:v>保留</x:v>
      </x:c>
      <x:c r="N632" s="48" t="str">
        <x:v>长丰苑|1室1厅1|50|3800|东</x:v>
      </x:c>
      <x:c r="O632" s="48"/>
      <x:c r="P632" s="48" t="str">
        <x:v>未知（未逐条补齐）</x:v>
      </x:c>
      <x:c r="Q632" s="48" t="str">
        <x:v>https://shenzhen.leyoujia.com/zf/detail/9is3mVbUkts8wsUKAbsy9v.html</x:v>
      </x:c>
      <x:c r="R632" s="48" t="str">
        <x:v>2026-08-13</x:v>
      </x:c>
    </x:row>
    <x:row r="633">
      <x:c r="A633" s="48" t="str">
        <x:v>长丰苑</x:v>
      </x:c>
      <x:c r="B633" s="48" t="str">
        <x:v>长丰苑</x:v>
      </x:c>
      <x:c r="C633" s="48" t="str">
        <x:v>湖贝</x:v>
      </x:c>
      <x:c r="D633" s="56" t="n">
        <x:v>7</x:v>
      </x:c>
      <x:c r="E633" s="61" t="n">
        <x:v>3900</x:v>
      </x:c>
      <x:c r="F633" s="61" t="n">
        <x:v>43.69</x:v>
      </x:c>
      <x:c r="G633" s="61" t="n">
        <x:v>89.3</x:v>
      </x:c>
      <x:c r="H633" s="48" t="str">
        <x:v>1室0厅1</x:v>
      </x:c>
      <x:c r="I633" s="48" t="str">
        <x:v>北</x:v>
      </x:c>
      <x:c r="J633" s="48" t="str">
        <x:v>精装</x:v>
      </x:c>
      <x:c r="K633" s="48" t="str">
        <x:v>普通住宅</x:v>
      </x:c>
      <x:c r="L633" s="48" t="str">
        <x:v>是</x:v>
      </x:c>
      <x:c r="M633" s="48" t="str">
        <x:v>保留</x:v>
      </x:c>
      <x:c r="N633" s="48" t="str">
        <x:v>长丰苑|1室0厅1|44|3900|北</x:v>
      </x:c>
      <x:c r="O633" s="48"/>
      <x:c r="P633" s="48" t="str">
        <x:v>未知（未逐条补齐）</x:v>
      </x:c>
      <x:c r="Q633" s="48" t="str">
        <x:v>https://shenzhen.leyoujia.com/zf/detail/MMHs7Pj6uzJ12PV29AGCzR.html</x:v>
      </x:c>
      <x:c r="R633" s="48" t="str">
        <x:v>2026-08-13</x:v>
      </x:c>
    </x:row>
    <x:row r="634">
      <x:c r="A634" s="48" t="str">
        <x:v>长丰苑</x:v>
      </x:c>
      <x:c r="B634" s="48" t="str">
        <x:v>长丰苑</x:v>
      </x:c>
      <x:c r="C634" s="48" t="str">
        <x:v>湖贝</x:v>
      </x:c>
      <x:c r="D634" s="56" t="n">
        <x:v>7</x:v>
      </x:c>
      <x:c r="E634" s="61" t="n">
        <x:v>3900</x:v>
      </x:c>
      <x:c r="F634" s="61" t="n">
        <x:v>45</x:v>
      </x:c>
      <x:c r="G634" s="61" t="n">
        <x:v>86.7</x:v>
      </x:c>
      <x:c r="H634" s="48" t="str">
        <x:v>1室1厅1</x:v>
      </x:c>
      <x:c r="I634" s="48" t="str">
        <x:v>北</x:v>
      </x:c>
      <x:c r="J634" s="48" t="str">
        <x:v>普装</x:v>
      </x:c>
      <x:c r="K634" s="48" t="str">
        <x:v>普通住宅</x:v>
      </x:c>
      <x:c r="L634" s="48" t="str">
        <x:v>是</x:v>
      </x:c>
      <x:c r="M634" s="48" t="str">
        <x:v>保留</x:v>
      </x:c>
      <x:c r="N634" s="48" t="str">
        <x:v>长丰苑|1室1厅1|45|3900|北</x:v>
      </x:c>
      <x:c r="O634" s="48"/>
      <x:c r="P634" s="48" t="str">
        <x:v>未知（未逐条补齐）</x:v>
      </x:c>
      <x:c r="Q634" s="48" t="str">
        <x:v>https://shenzhen.leyoujia.com/zf/detail/9UTr5i5NbFmWaPANEnQGVo.html</x:v>
      </x:c>
      <x:c r="R634" s="48" t="str">
        <x:v>2026-08-13</x:v>
      </x:c>
    </x:row>
    <x:row r="635">
      <x:c r="A635" s="48" t="str">
        <x:v>长丰苑</x:v>
      </x:c>
      <x:c r="B635" s="48" t="str">
        <x:v>长丰苑</x:v>
      </x:c>
      <x:c r="C635" s="48" t="str">
        <x:v>湖贝</x:v>
      </x:c>
      <x:c r="D635" s="56" t="n">
        <x:v>7</x:v>
      </x:c>
      <x:c r="E635" s="61" t="n">
        <x:v>4000</x:v>
      </x:c>
      <x:c r="F635" s="61" t="n">
        <x:v>47</x:v>
      </x:c>
      <x:c r="G635" s="61" t="n">
        <x:v>85.1</x:v>
      </x:c>
      <x:c r="H635" s="48" t="str">
        <x:v>1室1厅1</x:v>
      </x:c>
      <x:c r="I635" s="48" t="str">
        <x:v>东</x:v>
      </x:c>
      <x:c r="J635" s="48" t="str">
        <x:v>普装</x:v>
      </x:c>
      <x:c r="K635" s="48" t="str">
        <x:v>普通住宅</x:v>
      </x:c>
      <x:c r="L635" s="48" t="str">
        <x:v>是</x:v>
      </x:c>
      <x:c r="M635" s="48" t="str">
        <x:v>保留</x:v>
      </x:c>
      <x:c r="N635" s="48" t="str">
        <x:v>长丰苑|1室1厅1|47|4000|东</x:v>
      </x:c>
      <x:c r="O635" s="48"/>
      <x:c r="P635" s="48" t="str">
        <x:v>未知（未逐条补齐）</x:v>
      </x:c>
      <x:c r="Q635" s="48" t="str">
        <x:v>https://shenzhen.leyoujia.com/zf/detail/5KXn7qST1KPf2ino96QnSN.html</x:v>
      </x:c>
      <x:c r="R635" s="48" t="str">
        <x:v>2026-08-13</x:v>
      </x:c>
    </x:row>
    <x:row r="636">
      <x:c r="A636" s="48" t="str">
        <x:v>长丰苑</x:v>
      </x:c>
      <x:c r="B636" s="48" t="str">
        <x:v>长丰苑</x:v>
      </x:c>
      <x:c r="C636" s="48" t="str">
        <x:v>湖贝</x:v>
      </x:c>
      <x:c r="D636" s="56" t="n">
        <x:v>7</x:v>
      </x:c>
      <x:c r="E636" s="61" t="n">
        <x:v>4000</x:v>
      </x:c>
      <x:c r="F636" s="61" t="n">
        <x:v>47.93</x:v>
      </x:c>
      <x:c r="G636" s="61" t="n">
        <x:v>83.5</x:v>
      </x:c>
      <x:c r="H636" s="48" t="str">
        <x:v>1室1厅1</x:v>
      </x:c>
      <x:c r="I636" s="48" t="str">
        <x:v>北</x:v>
      </x:c>
      <x:c r="J636" s="48" t="str">
        <x:v>精装</x:v>
      </x:c>
      <x:c r="K636" s="48" t="str">
        <x:v>普通住宅</x:v>
      </x:c>
      <x:c r="L636" s="48" t="str">
        <x:v>是</x:v>
      </x:c>
      <x:c r="M636" s="48" t="str">
        <x:v>保留</x:v>
      </x:c>
      <x:c r="N636" s="48" t="str">
        <x:v>长丰苑|1室1厅1|48|4000|北</x:v>
      </x:c>
      <x:c r="O636" s="48"/>
      <x:c r="P636" s="48" t="str">
        <x:v>未知（未逐条补齐）</x:v>
      </x:c>
      <x:c r="Q636" s="48" t="str">
        <x:v>https://shenzhen.leyoujia.com/zf/detail/95QipC6gsVZRi64GGMJZ45.html</x:v>
      </x:c>
      <x:c r="R636" s="48" t="str">
        <x:v>2026-08-13</x:v>
      </x:c>
    </x:row>
    <x:row r="637">
      <x:c r="A637" s="48" t="str">
        <x:v>长丰苑</x:v>
      </x:c>
      <x:c r="B637" s="48" t="str">
        <x:v>长丰苑</x:v>
      </x:c>
      <x:c r="C637" s="48" t="str">
        <x:v>湖贝</x:v>
      </x:c>
      <x:c r="D637" s="56" t="n">
        <x:v>7</x:v>
      </x:c>
      <x:c r="E637" s="61" t="n">
        <x:v>4000</x:v>
      </x:c>
      <x:c r="F637" s="61" t="n">
        <x:v>45.71</x:v>
      </x:c>
      <x:c r="G637" s="61" t="n">
        <x:v>87.5</x:v>
      </x:c>
      <x:c r="H637" s="48" t="str">
        <x:v>1室1厅1</x:v>
      </x:c>
      <x:c r="I637" s="48" t="str">
        <x:v>西南</x:v>
      </x:c>
      <x:c r="J637" s="48" t="str">
        <x:v>精装</x:v>
      </x:c>
      <x:c r="K637" s="48" t="str">
        <x:v>普通住宅</x:v>
      </x:c>
      <x:c r="L637" s="48" t="str">
        <x:v>是</x:v>
      </x:c>
      <x:c r="M637" s="48" t="str">
        <x:v>保留</x:v>
      </x:c>
      <x:c r="N637" s="48" t="str">
        <x:v>长丰苑|1室1厅1|46|4000|西南</x:v>
      </x:c>
      <x:c r="O637" s="48"/>
      <x:c r="P637" s="48" t="str">
        <x:v>未知（未逐条补齐）</x:v>
      </x:c>
      <x:c r="Q637" s="48" t="str">
        <x:v>https://shenzhen.leyoujia.com/zf/detail/NAvfnBMGfbuxfFoikjy62e.html</x:v>
      </x:c>
      <x:c r="R637" s="48" t="str">
        <x:v>2026-08-13</x:v>
      </x:c>
    </x:row>
    <x:row r="638">
      <x:c r="A638" s="48" t="str">
        <x:v>长丰苑</x:v>
      </x:c>
      <x:c r="B638" s="48" t="str">
        <x:v>长丰苑</x:v>
      </x:c>
      <x:c r="C638" s="48" t="str">
        <x:v>湖贝</x:v>
      </x:c>
      <x:c r="D638" s="56" t="n">
        <x:v>7</x:v>
      </x:c>
      <x:c r="E638" s="61" t="n">
        <x:v>4000</x:v>
      </x:c>
      <x:c r="F638" s="61" t="n">
        <x:v>45</x:v>
      </x:c>
      <x:c r="G638" s="61" t="n">
        <x:v>88.9</x:v>
      </x:c>
      <x:c r="H638" s="48" t="str">
        <x:v>1室1厅1</x:v>
      </x:c>
      <x:c r="I638" s="48" t="str">
        <x:v>北</x:v>
      </x:c>
      <x:c r="J638" s="48" t="str">
        <x:v>精装</x:v>
      </x:c>
      <x:c r="K638" s="48" t="str">
        <x:v>普通住宅</x:v>
      </x:c>
      <x:c r="L638" s="48" t="str">
        <x:v>是</x:v>
      </x:c>
      <x:c r="M638" s="48" t="str">
        <x:v>保留</x:v>
      </x:c>
      <x:c r="N638" s="48" t="str">
        <x:v>长丰苑|1室1厅1|45|4000|北</x:v>
      </x:c>
      <x:c r="O638" s="48"/>
      <x:c r="P638" s="48" t="str">
        <x:v>未知（未逐条补齐）</x:v>
      </x:c>
      <x:c r="Q638" s="48" t="str">
        <x:v>https://shenzhen.leyoujia.com/zf/detail/6691wkPdEK3idhJFhENwB4.html</x:v>
      </x:c>
      <x:c r="R638" s="48" t="str">
        <x:v>2026-08-13</x:v>
      </x:c>
    </x:row>
    <x:row r="639">
      <x:c r="A639" s="48" t="str">
        <x:v>长丰苑</x:v>
      </x:c>
      <x:c r="B639" s="48" t="str">
        <x:v>长丰苑</x:v>
      </x:c>
      <x:c r="C639" s="48" t="str">
        <x:v>湖贝</x:v>
      </x:c>
      <x:c r="D639" s="56" t="n">
        <x:v>7</x:v>
      </x:c>
      <x:c r="E639" s="61" t="n">
        <x:v>4100</x:v>
      </x:c>
      <x:c r="F639" s="61" t="n">
        <x:v>45.96</x:v>
      </x:c>
      <x:c r="G639" s="61" t="n">
        <x:v>89.2</x:v>
      </x:c>
      <x:c r="H639" s="48" t="str">
        <x:v>1室1厅1</x:v>
      </x:c>
      <x:c r="I639" s="48" t="str">
        <x:v>南</x:v>
      </x:c>
      <x:c r="J639" s="48" t="str">
        <x:v>普装</x:v>
      </x:c>
      <x:c r="K639" s="48" t="str">
        <x:v>普通住宅</x:v>
      </x:c>
      <x:c r="L639" s="48" t="str">
        <x:v>是</x:v>
      </x:c>
      <x:c r="M639" s="48" t="str">
        <x:v>保留</x:v>
      </x:c>
      <x:c r="N639" s="48" t="str">
        <x:v>长丰苑|1室1厅1|46|4100|南</x:v>
      </x:c>
      <x:c r="O639" s="48"/>
      <x:c r="P639" s="48" t="str">
        <x:v>未知（未逐条补齐）</x:v>
      </x:c>
      <x:c r="Q639" s="48" t="str">
        <x:v>https://shenzhen.leyoujia.com/zf/detail/Frevqd5N1oUrnUo99DjH6t.html</x:v>
      </x:c>
      <x:c r="R639" s="48" t="str">
        <x:v>2026-08-13</x:v>
      </x:c>
    </x:row>
    <x:row r="640">
      <x:c r="A640" s="48" t="str">
        <x:v>长丰苑</x:v>
      </x:c>
      <x:c r="B640" s="48" t="str">
        <x:v>长丰苑</x:v>
      </x:c>
      <x:c r="C640" s="48" t="str">
        <x:v>湖贝</x:v>
      </x:c>
      <x:c r="D640" s="56" t="n">
        <x:v>7</x:v>
      </x:c>
      <x:c r="E640" s="61" t="n">
        <x:v>4200</x:v>
      </x:c>
      <x:c r="F640" s="61" t="n">
        <x:v>38.89</x:v>
      </x:c>
      <x:c r="G640" s="61" t="n">
        <x:v>108</x:v>
      </x:c>
      <x:c r="H640" s="48" t="str">
        <x:v>1室0厅1</x:v>
      </x:c>
      <x:c r="I640" s="48" t="str">
        <x:v>南</x:v>
      </x:c>
      <x:c r="J640" s="48" t="str">
        <x:v>精装</x:v>
      </x:c>
      <x:c r="K640" s="48" t="str">
        <x:v>普通住宅</x:v>
      </x:c>
      <x:c r="L640" s="48" t="str">
        <x:v>是</x:v>
      </x:c>
      <x:c r="M640" s="48" t="str">
        <x:v>保留</x:v>
      </x:c>
      <x:c r="N640" s="48" t="str">
        <x:v>长丰苑|1室0厅1|39|4200|南</x:v>
      </x:c>
      <x:c r="O640" s="48"/>
      <x:c r="P640" s="48" t="str">
        <x:v>未知（未逐条补齐）</x:v>
      </x:c>
      <x:c r="Q640" s="48" t="str">
        <x:v>https://shenzhen.leyoujia.com/zf/detail/4CVUJRQqf1yy3H92eR5T5B.html</x:v>
      </x:c>
      <x:c r="R640" s="48" t="str">
        <x:v>2026-08-13</x:v>
      </x:c>
    </x:row>
    <x:row r="641">
      <x:c r="A641" s="48" t="str">
        <x:v>长丰苑</x:v>
      </x:c>
      <x:c r="B641" s="48" t="str">
        <x:v>长丰苑</x:v>
      </x:c>
      <x:c r="C641" s="48" t="str">
        <x:v>湖贝</x:v>
      </x:c>
      <x:c r="D641" s="56" t="n">
        <x:v>7</x:v>
      </x:c>
      <x:c r="E641" s="61" t="n">
        <x:v>4200</x:v>
      </x:c>
      <x:c r="F641" s="61" t="n">
        <x:v>60</x:v>
      </x:c>
      <x:c r="G641" s="61" t="n">
        <x:v>70</x:v>
      </x:c>
      <x:c r="H641" s="48" t="str">
        <x:v>1室0厅1</x:v>
      </x:c>
      <x:c r="I641" s="48" t="str">
        <x:v>东北</x:v>
      </x:c>
      <x:c r="J641" s="48" t="str">
        <x:v>普装</x:v>
      </x:c>
      <x:c r="K641" s="48" t="str">
        <x:v>普通住宅</x:v>
      </x:c>
      <x:c r="L641" s="48" t="str">
        <x:v>是</x:v>
      </x:c>
      <x:c r="M641" s="48" t="str">
        <x:v>保留</x:v>
      </x:c>
      <x:c r="N641" s="48" t="str">
        <x:v>长丰苑|1室0厅1|60|4200|东北</x:v>
      </x:c>
      <x:c r="O641" s="48"/>
      <x:c r="P641" s="48" t="str">
        <x:v>未知（未逐条补齐）</x:v>
      </x:c>
      <x:c r="Q641" s="48" t="str">
        <x:v>https://shenzhen.leyoujia.com/zf/detail/3iu1DMauj6WsPcGdTH1d27.html</x:v>
      </x:c>
      <x:c r="R641" s="48" t="str">
        <x:v>2026-08-13</x:v>
      </x:c>
    </x:row>
    <x:row r="642">
      <x:c r="A642" s="48" t="str">
        <x:v>长丰苑</x:v>
      </x:c>
      <x:c r="B642" s="48" t="str">
        <x:v>长丰苑</x:v>
      </x:c>
      <x:c r="C642" s="48" t="str">
        <x:v>湖贝</x:v>
      </x:c>
      <x:c r="D642" s="56" t="n">
        <x:v>7</x:v>
      </x:c>
      <x:c r="E642" s="61" t="n">
        <x:v>4200</x:v>
      </x:c>
      <x:c r="F642" s="61" t="n">
        <x:v>40</x:v>
      </x:c>
      <x:c r="G642" s="61" t="n">
        <x:v>105</x:v>
      </x:c>
      <x:c r="H642" s="48" t="str">
        <x:v>1室1厅1</x:v>
      </x:c>
      <x:c r="I642" s="48" t="str">
        <x:v>北</x:v>
      </x:c>
      <x:c r="J642" s="48" t="str">
        <x:v>精装</x:v>
      </x:c>
      <x:c r="K642" s="48" t="str">
        <x:v>普通住宅</x:v>
      </x:c>
      <x:c r="L642" s="48" t="str">
        <x:v>是</x:v>
      </x:c>
      <x:c r="M642" s="48" t="str">
        <x:v>保留</x:v>
      </x:c>
      <x:c r="N642" s="48" t="str">
        <x:v>长丰苑|1室1厅1|40|4200|北</x:v>
      </x:c>
      <x:c r="O642" s="48"/>
      <x:c r="P642" s="48" t="str">
        <x:v>未知（未逐条补齐）</x:v>
      </x:c>
      <x:c r="Q642" s="48" t="str">
        <x:v>https://shenzhen.leyoujia.com/zf/detail/ELFP9JpS1hns4MCeADfSEy.html</x:v>
      </x:c>
      <x:c r="R642" s="48" t="str">
        <x:v>2026-08-13</x:v>
      </x:c>
    </x:row>
    <x:row r="643">
      <x:c r="A643" s="48" t="str">
        <x:v>长丰苑</x:v>
      </x:c>
      <x:c r="B643" s="48" t="str">
        <x:v>长丰苑</x:v>
      </x:c>
      <x:c r="C643" s="48" t="str">
        <x:v>湖贝</x:v>
      </x:c>
      <x:c r="D643" s="56" t="n">
        <x:v>7</x:v>
      </x:c>
      <x:c r="E643" s="61" t="n">
        <x:v>4300</x:v>
      </x:c>
      <x:c r="F643" s="61" t="n">
        <x:v>47.93</x:v>
      </x:c>
      <x:c r="G643" s="61" t="n">
        <x:v>89.7</x:v>
      </x:c>
      <x:c r="H643" s="48" t="str">
        <x:v>1室1厅1</x:v>
      </x:c>
      <x:c r="I643" s="48" t="str">
        <x:v>北</x:v>
      </x:c>
      <x:c r="J643" s="48" t="str">
        <x:v>精装</x:v>
      </x:c>
      <x:c r="K643" s="48" t="str">
        <x:v>普通住宅</x:v>
      </x:c>
      <x:c r="L643" s="48" t="str">
        <x:v>是</x:v>
      </x:c>
      <x:c r="M643" s="48" t="str">
        <x:v>保留</x:v>
      </x:c>
      <x:c r="N643" s="48" t="str">
        <x:v>长丰苑|1室1厅1|48|4300|北</x:v>
      </x:c>
      <x:c r="O643" s="48"/>
      <x:c r="P643" s="48" t="str">
        <x:v>未知（未逐条补齐）</x:v>
      </x:c>
      <x:c r="Q643" s="48" t="str">
        <x:v>https://shenzhen.leyoujia.com/zf/detail/WHJyQFC5DqDvF6Eo8BUKWZ.html</x:v>
      </x:c>
      <x:c r="R643" s="48" t="str">
        <x:v>2026-08-13</x:v>
      </x:c>
    </x:row>
    <x:row r="644">
      <x:c r="A644" s="48" t="str">
        <x:v>长丰苑</x:v>
      </x:c>
      <x:c r="B644" s="48" t="str">
        <x:v>长丰苑</x:v>
      </x:c>
      <x:c r="C644" s="48" t="str">
        <x:v>湖贝</x:v>
      </x:c>
      <x:c r="D644" s="56" t="n">
        <x:v>7</x:v>
      </x:c>
      <x:c r="E644" s="61" t="n">
        <x:v>4500</x:v>
      </x:c>
      <x:c r="F644" s="61" t="n">
        <x:v>50</x:v>
      </x:c>
      <x:c r="G644" s="61" t="n">
        <x:v>90</x:v>
      </x:c>
      <x:c r="H644" s="48" t="str">
        <x:v>1室1厅1</x:v>
      </x:c>
      <x:c r="I644" s="48" t="str">
        <x:v>北</x:v>
      </x:c>
      <x:c r="J644" s="48" t="str">
        <x:v>普装</x:v>
      </x:c>
      <x:c r="K644" s="48" t="str">
        <x:v>普通住宅</x:v>
      </x:c>
      <x:c r="L644" s="48" t="str">
        <x:v>是</x:v>
      </x:c>
      <x:c r="M644" s="48" t="str">
        <x:v>保留</x:v>
      </x:c>
      <x:c r="N644" s="48" t="str">
        <x:v>长丰苑|1室1厅1|50|4500|北</x:v>
      </x:c>
      <x:c r="O644" s="48"/>
      <x:c r="P644" s="48" t="str">
        <x:v>未知（未逐条补齐）</x:v>
      </x:c>
      <x:c r="Q644" s="48" t="str">
        <x:v>https://shenzhen.leyoujia.com/zf/detail/8wQHoQPCmHtLCGnShXUCVP.html</x:v>
      </x:c>
      <x:c r="R644" s="48" t="str">
        <x:v>2026-08-13</x:v>
      </x:c>
    </x:row>
    <x:row r="645">
      <x:c r="A645" s="48" t="str">
        <x:v>长丰苑</x:v>
      </x:c>
      <x:c r="B645" s="48" t="str">
        <x:v>长丰苑</x:v>
      </x:c>
      <x:c r="C645" s="48" t="str">
        <x:v>湖贝</x:v>
      </x:c>
      <x:c r="D645" s="56" t="n">
        <x:v>7</x:v>
      </x:c>
      <x:c r="E645" s="61" t="n">
        <x:v>4600</x:v>
      </x:c>
      <x:c r="F645" s="61" t="n">
        <x:v>42.24</x:v>
      </x:c>
      <x:c r="G645" s="61" t="n">
        <x:v>108.9</x:v>
      </x:c>
      <x:c r="H645" s="48" t="str">
        <x:v>1室0厅1</x:v>
      </x:c>
      <x:c r="I645" s="48" t="str">
        <x:v>东</x:v>
      </x:c>
      <x:c r="J645" s="48" t="str">
        <x:v>普装</x:v>
      </x:c>
      <x:c r="K645" s="48" t="str">
        <x:v>普通住宅</x:v>
      </x:c>
      <x:c r="L645" s="48" t="str">
        <x:v>是</x:v>
      </x:c>
      <x:c r="M645" s="48" t="str">
        <x:v>保留</x:v>
      </x:c>
      <x:c r="N645" s="48" t="str">
        <x:v>长丰苑|1室0厅1|42|4600|东</x:v>
      </x:c>
      <x:c r="O645" s="48"/>
      <x:c r="P645" s="48" t="str">
        <x:v>未知（未逐条补齐）</x:v>
      </x:c>
      <x:c r="Q645" s="48" t="str">
        <x:v>https://shenzhen.leyoujia.com/zf/detail/AfznH1JsSxgfCCuxMB6ZkJ.html</x:v>
      </x:c>
      <x:c r="R645" s="48" t="str">
        <x:v>2026-08-13</x:v>
      </x:c>
    </x:row>
    <x:row r="646">
      <x:c r="A646" s="48" t="str">
        <x:v>长丰苑</x:v>
      </x:c>
      <x:c r="B646" s="48" t="str">
        <x:v>长丰苑</x:v>
      </x:c>
      <x:c r="C646" s="48" t="str">
        <x:v>湖贝</x:v>
      </x:c>
      <x:c r="D646" s="56" t="n">
        <x:v>7</x:v>
      </x:c>
      <x:c r="E646" s="61" t="n">
        <x:v>4800</x:v>
      </x:c>
      <x:c r="F646" s="61" t="n">
        <x:v>43.69</x:v>
      </x:c>
      <x:c r="G646" s="61" t="n">
        <x:v>109.9</x:v>
      </x:c>
      <x:c r="H646" s="48" t="str">
        <x:v>1室1厅1</x:v>
      </x:c>
      <x:c r="I646" s="48" t="str">
        <x:v>北</x:v>
      </x:c>
      <x:c r="J646" s="48" t="str">
        <x:v>普装</x:v>
      </x:c>
      <x:c r="K646" s="48" t="str">
        <x:v>普通住宅</x:v>
      </x:c>
      <x:c r="L646" s="48" t="str">
        <x:v>是</x:v>
      </x:c>
      <x:c r="M646" s="48" t="str">
        <x:v>保留</x:v>
      </x:c>
      <x:c r="N646" s="48" t="str">
        <x:v>长丰苑|1室1厅1|44|4800|北</x:v>
      </x:c>
      <x:c r="O646" s="48"/>
      <x:c r="P646" s="48" t="str">
        <x:v>未知（未逐条补齐）</x:v>
      </x:c>
      <x:c r="Q646" s="48" t="str">
        <x:v>https://shenzhen.leyoujia.com/zf/detail/DtHUFFxXvEWY1kEb9pP2iz.html</x:v>
      </x:c>
      <x:c r="R646" s="48" t="str">
        <x:v>2026-08-13</x:v>
      </x:c>
    </x:row>
    <x:row r="647">
      <x:c r="A647" s="48" t="str">
        <x:v>长丰苑</x:v>
      </x:c>
      <x:c r="B647" s="48" t="str">
        <x:v>长丰苑</x:v>
      </x:c>
      <x:c r="C647" s="48" t="str">
        <x:v>湖贝</x:v>
      </x:c>
      <x:c r="D647" s="56" t="n">
        <x:v>7</x:v>
      </x:c>
      <x:c r="E647" s="61" t="n">
        <x:v>5000</x:v>
      </x:c>
      <x:c r="F647" s="61" t="n">
        <x:v>47</x:v>
      </x:c>
      <x:c r="G647" s="61" t="n">
        <x:v>106.4</x:v>
      </x:c>
      <x:c r="H647" s="48" t="str">
        <x:v>1室1厅1</x:v>
      </x:c>
      <x:c r="I647" s="48" t="str">
        <x:v>东南</x:v>
      </x:c>
      <x:c r="J647" s="48" t="str">
        <x:v>精装</x:v>
      </x:c>
      <x:c r="K647" s="48" t="str">
        <x:v>普通住宅</x:v>
      </x:c>
      <x:c r="L647" s="48" t="str">
        <x:v>否</x:v>
      </x:c>
      <x:c r="M647" s="48" t="str">
        <x:v>异常高价</x:v>
      </x:c>
      <x:c r="N647" s="48" t="str">
        <x:v>长丰苑|1室1厅1|47|5000|东南</x:v>
      </x:c>
      <x:c r="O647" s="48"/>
      <x:c r="P647" s="48" t="str">
        <x:v>未知（未逐条补齐）</x:v>
      </x:c>
      <x:c r="Q647" s="48" t="str">
        <x:v>https://shenzhen.leyoujia.com/zf/detail/CAbEYpR7fXaST2HGaWzoKR.html</x:v>
      </x:c>
      <x:c r="R647" s="48" t="str">
        <x:v>2026-08-13</x:v>
      </x:c>
    </x:row>
    <x:row r="648">
      <x:c r="A648" s="48" t="str">
        <x:v>金龙大厦</x:v>
      </x:c>
      <x:c r="B648" s="48" t="str">
        <x:v>金龙大厦（东门）</x:v>
      </x:c>
      <x:c r="C648" s="48" t="str">
        <x:v>湖贝</x:v>
      </x:c>
      <x:c r="D648" s="56" t="n">
        <x:v>7.3</x:v>
      </x:c>
      <x:c r="E648" s="61" t="n">
        <x:v>2700</x:v>
      </x:c>
      <x:c r="F648" s="61" t="n">
        <x:v>20</x:v>
      </x:c>
      <x:c r="G648" s="61" t="n">
        <x:v>135</x:v>
      </x:c>
      <x:c r="H648" s="48" t="str">
        <x:v>1室0厅1</x:v>
      </x:c>
      <x:c r="I648" s="48" t="str">
        <x:v>西北</x:v>
      </x:c>
      <x:c r="J648" s="48" t="str">
        <x:v>精装</x:v>
      </x:c>
      <x:c r="K648" s="48" t="str">
        <x:v>公寓</x:v>
      </x:c>
      <x:c r="L648" s="48" t="str">
        <x:v>是</x:v>
      </x:c>
      <x:c r="M648" s="48" t="str">
        <x:v>保留</x:v>
      </x:c>
      <x:c r="N648" s="48" t="str">
        <x:v>金龙大厦（东门）|1室0厅1|20|2700|西北</x:v>
      </x:c>
      <x:c r="O648" s="48"/>
      <x:c r="P648" s="48" t="str">
        <x:v>未知（未逐条补齐）</x:v>
      </x:c>
      <x:c r="Q648" s="48" t="str">
        <x:v>https://shenzhen.leyoujia.com/zf/detail/4qwiBdFz8wBPMNGa7PjXmu.html</x:v>
      </x:c>
      <x:c r="R648" s="48" t="str">
        <x:v>2026-08-13</x:v>
      </x:c>
    </x:row>
    <x:row r="649">
      <x:c r="A649" s="48" t="str">
        <x:v>金龙大厦</x:v>
      </x:c>
      <x:c r="B649" s="48" t="str">
        <x:v>金龙大厦（东门）</x:v>
      </x:c>
      <x:c r="C649" s="48" t="str">
        <x:v>湖贝</x:v>
      </x:c>
      <x:c r="D649" s="56" t="n">
        <x:v>7.3</x:v>
      </x:c>
      <x:c r="E649" s="61" t="n">
        <x:v>2700</x:v>
      </x:c>
      <x:c r="F649" s="61" t="n">
        <x:v>35</x:v>
      </x:c>
      <x:c r="G649" s="61" t="n">
        <x:v>77.1</x:v>
      </x:c>
      <x:c r="H649" s="48" t="str">
        <x:v>1室0厅1</x:v>
      </x:c>
      <x:c r="I649" s="48" t="str">
        <x:v>南</x:v>
      </x:c>
      <x:c r="J649" s="48" t="str">
        <x:v>精装</x:v>
      </x:c>
      <x:c r="K649" s="48" t="str">
        <x:v>酒店式公寓</x:v>
      </x:c>
      <x:c r="L649" s="48" t="str">
        <x:v>是</x:v>
      </x:c>
      <x:c r="M649" s="48" t="str">
        <x:v>保留</x:v>
      </x:c>
      <x:c r="N649" s="48" t="str">
        <x:v>金龙大厦（东门）|1室0厅1|35|2700|南</x:v>
      </x:c>
      <x:c r="O649" s="48"/>
      <x:c r="P649" s="48" t="str">
        <x:v>未知（未逐条补齐）</x:v>
      </x:c>
      <x:c r="Q649" s="48" t="str">
        <x:v>https://shenzhen.leyoujia.com/zf/detail/8EF6wTwWK4LTYv9S2VAWM2.html</x:v>
      </x:c>
      <x:c r="R649" s="48" t="str">
        <x:v>2026-08-13</x:v>
      </x:c>
    </x:row>
    <x:row r="650">
      <x:c r="A650" s="48" t="str">
        <x:v>金龙大厦</x:v>
      </x:c>
      <x:c r="B650" s="48" t="str">
        <x:v>金龙大厦（东门）</x:v>
      </x:c>
      <x:c r="C650" s="48" t="str">
        <x:v>湖贝</x:v>
      </x:c>
      <x:c r="D650" s="56" t="n">
        <x:v>7.3</x:v>
      </x:c>
      <x:c r="E650" s="61" t="n">
        <x:v>2780</x:v>
      </x:c>
      <x:c r="F650" s="61" t="n">
        <x:v>30</x:v>
      </x:c>
      <x:c r="G650" s="61" t="n">
        <x:v>92.7</x:v>
      </x:c>
      <x:c r="H650" s="48" t="str">
        <x:v>1室0厅1</x:v>
      </x:c>
      <x:c r="I650" s="48" t="str">
        <x:v>东南</x:v>
      </x:c>
      <x:c r="J650" s="48" t="str">
        <x:v>普装</x:v>
      </x:c>
      <x:c r="K650" s="48" t="str">
        <x:v>公寓</x:v>
      </x:c>
      <x:c r="L650" s="48" t="str">
        <x:v>是</x:v>
      </x:c>
      <x:c r="M650" s="48" t="str">
        <x:v>保留</x:v>
      </x:c>
      <x:c r="N650" s="48" t="str">
        <x:v>金龙大厦（东门）|1室0厅1|30|2780|东南</x:v>
      </x:c>
      <x:c r="O650" s="48"/>
      <x:c r="P650" s="48" t="str">
        <x:v>未知（未逐条补齐）</x:v>
      </x:c>
      <x:c r="Q650" s="48" t="str">
        <x:v>https://shenzhen.leyoujia.com/zf/detail/GLwAuHjYmEr3CFiEH3UVLH.html</x:v>
      </x:c>
      <x:c r="R650" s="48" t="str">
        <x:v>2026-08-13</x:v>
      </x:c>
    </x:row>
    <x:row r="651">
      <x:c r="A651" s="48" t="str">
        <x:v>金龙大厦</x:v>
      </x:c>
      <x:c r="B651" s="48" t="str">
        <x:v>金龙大厦（东门）</x:v>
      </x:c>
      <x:c r="C651" s="48" t="str">
        <x:v>湖贝</x:v>
      </x:c>
      <x:c r="D651" s="56" t="n">
        <x:v>7.3</x:v>
      </x:c>
      <x:c r="E651" s="61" t="n">
        <x:v>2800</x:v>
      </x:c>
      <x:c r="F651" s="61" t="n">
        <x:v>30</x:v>
      </x:c>
      <x:c r="G651" s="61" t="n">
        <x:v>93.3</x:v>
      </x:c>
      <x:c r="H651" s="48" t="str">
        <x:v>1室0厅1</x:v>
      </x:c>
      <x:c r="I651" s="48" t="str">
        <x:v>东南</x:v>
      </x:c>
      <x:c r="J651" s="48" t="str">
        <x:v>普装</x:v>
      </x:c>
      <x:c r="K651" s="48" t="str">
        <x:v>公寓</x:v>
      </x:c>
      <x:c r="L651" s="48" t="str">
        <x:v>是</x:v>
      </x:c>
      <x:c r="M651" s="48" t="str">
        <x:v>保留</x:v>
      </x:c>
      <x:c r="N651" s="48" t="str">
        <x:v>金龙大厦（东门）|1室0厅1|30|2800|东南</x:v>
      </x:c>
      <x:c r="O651" s="48"/>
      <x:c r="P651" s="48" t="str">
        <x:v>未知（未逐条补齐）</x:v>
      </x:c>
      <x:c r="Q651" s="48" t="str">
        <x:v>https://shenzhen.leyoujia.com/zf/detail/TFFpZxBxh4D71BsmzhJtZV.html</x:v>
      </x:c>
      <x:c r="R651" s="48" t="str">
        <x:v>2026-08-13</x:v>
      </x:c>
    </x:row>
    <x:row r="652">
      <x:c r="A652" s="48" t="str">
        <x:v>金龙大厦</x:v>
      </x:c>
      <x:c r="B652" s="48" t="str">
        <x:v>金龙大厦（东门）</x:v>
      </x:c>
      <x:c r="C652" s="48" t="str">
        <x:v>湖贝</x:v>
      </x:c>
      <x:c r="D652" s="56" t="n">
        <x:v>7.3</x:v>
      </x:c>
      <x:c r="E652" s="61" t="n">
        <x:v>2800</x:v>
      </x:c>
      <x:c r="F652" s="61" t="n">
        <x:v>25</x:v>
      </x:c>
      <x:c r="G652" s="61" t="n">
        <x:v>112</x:v>
      </x:c>
      <x:c r="H652" s="48" t="str">
        <x:v>1室0厅1</x:v>
      </x:c>
      <x:c r="I652" s="48" t="str">
        <x:v>南</x:v>
      </x:c>
      <x:c r="J652" s="48" t="str">
        <x:v>精装</x:v>
      </x:c>
      <x:c r="K652" s="48" t="str">
        <x:v>公寓</x:v>
      </x:c>
      <x:c r="L652" s="48" t="str">
        <x:v>是</x:v>
      </x:c>
      <x:c r="M652" s="48" t="str">
        <x:v>保留</x:v>
      </x:c>
      <x:c r="N652" s="48" t="str">
        <x:v>金龙大厦（东门）|1室0厅1|25|2800|南</x:v>
      </x:c>
      <x:c r="O652" s="48"/>
      <x:c r="P652" s="48" t="str">
        <x:v>未知（未逐条补齐）</x:v>
      </x:c>
      <x:c r="Q652" s="48" t="str">
        <x:v>https://shenzhen.leyoujia.com/zf/detail/YWPD2jJPCGYavffERxuoo3.html</x:v>
      </x:c>
      <x:c r="R652" s="48" t="str">
        <x:v>2026-08-13</x:v>
      </x:c>
    </x:row>
    <x:row r="653">
      <x:c r="A653" s="48" t="str">
        <x:v>金龙大厦</x:v>
      </x:c>
      <x:c r="B653" s="48" t="str">
        <x:v>金龙大厦（东门）</x:v>
      </x:c>
      <x:c r="C653" s="48" t="str">
        <x:v>湖贝</x:v>
      </x:c>
      <x:c r="D653" s="56" t="n">
        <x:v>7.3</x:v>
      </x:c>
      <x:c r="E653" s="61" t="n">
        <x:v>2800</x:v>
      </x:c>
      <x:c r="F653" s="61" t="n">
        <x:v>35</x:v>
      </x:c>
      <x:c r="G653" s="61" t="n">
        <x:v>80</x:v>
      </x:c>
      <x:c r="H653" s="48" t="str">
        <x:v>1室0厅1</x:v>
      </x:c>
      <x:c r="I653" s="48" t="str">
        <x:v>北</x:v>
      </x:c>
      <x:c r="J653" s="48" t="str">
        <x:v>普装</x:v>
      </x:c>
      <x:c r="K653" s="48" t="str">
        <x:v>普通住宅</x:v>
      </x:c>
      <x:c r="L653" s="48" t="str">
        <x:v>是</x:v>
      </x:c>
      <x:c r="M653" s="48" t="str">
        <x:v>保留</x:v>
      </x:c>
      <x:c r="N653" s="48" t="str">
        <x:v>金龙大厦（东门）|1室0厅1|35|2800|北</x:v>
      </x:c>
      <x:c r="O653" s="48"/>
      <x:c r="P653" s="48" t="str">
        <x:v>未知（未逐条补齐）</x:v>
      </x:c>
      <x:c r="Q653" s="48" t="str">
        <x:v>https://shenzhen.leyoujia.com/zf/detail/6NpD9bimB5rFi3ccLpgFwa.html</x:v>
      </x:c>
      <x:c r="R653" s="48" t="str">
        <x:v>2026-08-13</x:v>
      </x:c>
    </x:row>
    <x:row r="654">
      <x:c r="A654" s="48" t="str">
        <x:v>金龙大厦</x:v>
      </x:c>
      <x:c r="B654" s="48" t="str">
        <x:v>金龙大厦（东门）</x:v>
      </x:c>
      <x:c r="C654" s="48" t="str">
        <x:v>湖贝</x:v>
      </x:c>
      <x:c r="D654" s="56" t="n">
        <x:v>7.3</x:v>
      </x:c>
      <x:c r="E654" s="61" t="n">
        <x:v>2800</x:v>
      </x:c>
      <x:c r="F654" s="61" t="n">
        <x:v>30</x:v>
      </x:c>
      <x:c r="G654" s="61" t="n">
        <x:v>93.3</x:v>
      </x:c>
      <x:c r="H654" s="48" t="str">
        <x:v>1室0厅1</x:v>
      </x:c>
      <x:c r="I654" s="48" t="str">
        <x:v>东</x:v>
      </x:c>
      <x:c r="J654" s="48" t="str">
        <x:v>普装</x:v>
      </x:c>
      <x:c r="K654" s="48" t="str">
        <x:v>普通住宅</x:v>
      </x:c>
      <x:c r="L654" s="48" t="str">
        <x:v>是</x:v>
      </x:c>
      <x:c r="M654" s="48" t="str">
        <x:v>保留</x:v>
      </x:c>
      <x:c r="N654" s="48" t="str">
        <x:v>金龙大厦（东门）|1室0厅1|30|2800|东</x:v>
      </x:c>
      <x:c r="O654" s="48"/>
      <x:c r="P654" s="48" t="str">
        <x:v>未知（未逐条补齐）</x:v>
      </x:c>
      <x:c r="Q654" s="48" t="str">
        <x:v>https://shenzhen.leyoujia.com/zf/detail/49qeb5veKmddJAyrzdtddY.html</x:v>
      </x:c>
      <x:c r="R654" s="48" t="str">
        <x:v>2026-08-13</x:v>
      </x:c>
    </x:row>
    <x:row r="655">
      <x:c r="A655" s="48" t="str">
        <x:v>金龙大厦</x:v>
      </x:c>
      <x:c r="B655" s="48" t="str">
        <x:v>金龙大厦（东门）</x:v>
      </x:c>
      <x:c r="C655" s="48" t="str">
        <x:v>湖贝</x:v>
      </x:c>
      <x:c r="D655" s="56" t="n">
        <x:v>7.3</x:v>
      </x:c>
      <x:c r="E655" s="61" t="n">
        <x:v>2900</x:v>
      </x:c>
      <x:c r="F655" s="61" t="n">
        <x:v>30</x:v>
      </x:c>
      <x:c r="G655" s="61" t="n">
        <x:v>96.7</x:v>
      </x:c>
      <x:c r="H655" s="48" t="str">
        <x:v>1室0厅1</x:v>
      </x:c>
      <x:c r="I655" s="48" t="str">
        <x:v>西北</x:v>
      </x:c>
      <x:c r="J655" s="48" t="str">
        <x:v>精装</x:v>
      </x:c>
      <x:c r="K655" s="48" t="str">
        <x:v>普通住宅</x:v>
      </x:c>
      <x:c r="L655" s="48" t="str">
        <x:v>是</x:v>
      </x:c>
      <x:c r="M655" s="48" t="str">
        <x:v>保留</x:v>
      </x:c>
      <x:c r="N655" s="48" t="str">
        <x:v>金龙大厦（东门）|1室0厅1|30|2900|西北</x:v>
      </x:c>
      <x:c r="O655" s="48"/>
      <x:c r="P655" s="48" t="str">
        <x:v>未知（未逐条补齐）</x:v>
      </x:c>
      <x:c r="Q655" s="48" t="str">
        <x:v>https://shenzhen.leyoujia.com/zf/detail/AS6RzsaWToF7FLZ9KHBL2z.html</x:v>
      </x:c>
      <x:c r="R655" s="48" t="str">
        <x:v>2026-08-13</x:v>
      </x:c>
    </x:row>
    <x:row r="656">
      <x:c r="A656" s="48" t="str">
        <x:v>金龙大厦</x:v>
      </x:c>
      <x:c r="B656" s="48" t="str">
        <x:v>金龙大厦（东门）</x:v>
      </x:c>
      <x:c r="C656" s="48" t="str">
        <x:v>湖贝</x:v>
      </x:c>
      <x:c r="D656" s="56" t="n">
        <x:v>7.3</x:v>
      </x:c>
      <x:c r="E656" s="61" t="n">
        <x:v>2900</x:v>
      </x:c>
      <x:c r="F656" s="61" t="n">
        <x:v>30</x:v>
      </x:c>
      <x:c r="G656" s="61" t="n">
        <x:v>96.7</x:v>
      </x:c>
      <x:c r="H656" s="48" t="str">
        <x:v>1室0厅1</x:v>
      </x:c>
      <x:c r="I656" s="48" t="str">
        <x:v>西</x:v>
      </x:c>
      <x:c r="J656" s="48" t="str">
        <x:v>普装</x:v>
      </x:c>
      <x:c r="K656" s="48" t="str">
        <x:v>公寓</x:v>
      </x:c>
      <x:c r="L656" s="48" t="str">
        <x:v>是</x:v>
      </x:c>
      <x:c r="M656" s="48" t="str">
        <x:v>保留</x:v>
      </x:c>
      <x:c r="N656" s="48" t="str">
        <x:v>金龙大厦（东门）|1室0厅1|30|2900|西</x:v>
      </x:c>
      <x:c r="O656" s="48"/>
      <x:c r="P656" s="48" t="str">
        <x:v>未知（未逐条补齐）</x:v>
      </x:c>
      <x:c r="Q656" s="48" t="str">
        <x:v>https://shenzhen.leyoujia.com/zf/detail/71N6iV1kZ9fnjKCQ8oCYx9.html</x:v>
      </x:c>
      <x:c r="R656" s="48" t="str">
        <x:v>2026-08-13</x:v>
      </x:c>
    </x:row>
    <x:row r="657">
      <x:c r="A657" s="48" t="str">
        <x:v>金龙大厦</x:v>
      </x:c>
      <x:c r="B657" s="48" t="str">
        <x:v>金龙大厦（东门）</x:v>
      </x:c>
      <x:c r="C657" s="48" t="str">
        <x:v>湖贝</x:v>
      </x:c>
      <x:c r="D657" s="56" t="n">
        <x:v>7.3</x:v>
      </x:c>
      <x:c r="E657" s="61" t="n">
        <x:v>2900</x:v>
      </x:c>
      <x:c r="F657" s="61" t="n">
        <x:v>30</x:v>
      </x:c>
      <x:c r="G657" s="61" t="n">
        <x:v>96.7</x:v>
      </x:c>
      <x:c r="H657" s="48" t="str">
        <x:v>1室1厅1</x:v>
      </x:c>
      <x:c r="I657" s="48" t="str">
        <x:v>西南</x:v>
      </x:c>
      <x:c r="J657" s="48" t="str">
        <x:v>普装</x:v>
      </x:c>
      <x:c r="K657" s="48" t="str">
        <x:v>公寓</x:v>
      </x:c>
      <x:c r="L657" s="48" t="str">
        <x:v>是</x:v>
      </x:c>
      <x:c r="M657" s="48" t="str">
        <x:v>保留</x:v>
      </x:c>
      <x:c r="N657" s="48" t="str">
        <x:v>金龙大厦（东门）|1室1厅1|30|2900|西南</x:v>
      </x:c>
      <x:c r="O657" s="48"/>
      <x:c r="P657" s="48" t="str">
        <x:v>未知（未逐条补齐）</x:v>
      </x:c>
      <x:c r="Q657" s="48" t="str">
        <x:v>https://shenzhen.leyoujia.com/zf/detail/QfXmcrNf2RYyhv2WCrpDPR.html</x:v>
      </x:c>
      <x:c r="R657" s="48" t="str">
        <x:v>2026-08-13</x:v>
      </x:c>
    </x:row>
    <x:row r="658">
      <x:c r="A658" s="48" t="str">
        <x:v>金龙大厦</x:v>
      </x:c>
      <x:c r="B658" s="48" t="str">
        <x:v>金龙大厦（东门）</x:v>
      </x:c>
      <x:c r="C658" s="48" t="str">
        <x:v>湖贝</x:v>
      </x:c>
      <x:c r="D658" s="56" t="n">
        <x:v>7.3</x:v>
      </x:c>
      <x:c r="E658" s="61" t="n">
        <x:v>2900</x:v>
      </x:c>
      <x:c r="F658" s="61" t="n">
        <x:v>30</x:v>
      </x:c>
      <x:c r="G658" s="61" t="n">
        <x:v>96.7</x:v>
      </x:c>
      <x:c r="H658" s="48" t="str">
        <x:v>1室0厅1</x:v>
      </x:c>
      <x:c r="I658" s="48" t="str">
        <x:v>东</x:v>
      </x:c>
      <x:c r="J658" s="48" t="str">
        <x:v>普装</x:v>
      </x:c>
      <x:c r="K658" s="48" t="str">
        <x:v>普通住宅</x:v>
      </x:c>
      <x:c r="L658" s="48" t="str">
        <x:v>是</x:v>
      </x:c>
      <x:c r="M658" s="48" t="str">
        <x:v>保留</x:v>
      </x:c>
      <x:c r="N658" s="48" t="str">
        <x:v>金龙大厦（东门）|1室0厅1|30|2900|东</x:v>
      </x:c>
      <x:c r="O658" s="48"/>
      <x:c r="P658" s="48" t="str">
        <x:v>未知（未逐条补齐）</x:v>
      </x:c>
      <x:c r="Q658" s="48" t="str">
        <x:v>https://shenzhen.leyoujia.com/zf/detail/3D7BKazZstBwRDgjJCZoDJ.html</x:v>
      </x:c>
      <x:c r="R658" s="48" t="str">
        <x:v>2026-08-13</x:v>
      </x:c>
    </x:row>
    <x:row r="659">
      <x:c r="A659" s="48" t="str">
        <x:v>金龙大厦</x:v>
      </x:c>
      <x:c r="B659" s="48" t="str">
        <x:v>金龙大厦（东门）</x:v>
      </x:c>
      <x:c r="C659" s="48" t="str">
        <x:v>湖贝</x:v>
      </x:c>
      <x:c r="D659" s="56" t="n">
        <x:v>7.3</x:v>
      </x:c>
      <x:c r="E659" s="61" t="n">
        <x:v>2900</x:v>
      </x:c>
      <x:c r="F659" s="61" t="n">
        <x:v>30</x:v>
      </x:c>
      <x:c r="G659" s="61" t="n">
        <x:v>96.7</x:v>
      </x:c>
      <x:c r="H659" s="48" t="str">
        <x:v>1室0厅1</x:v>
      </x:c>
      <x:c r="I659" s="48" t="str">
        <x:v>南</x:v>
      </x:c>
      <x:c r="J659" s="48" t="str">
        <x:v>普装</x:v>
      </x:c>
      <x:c r="K659" s="48" t="str">
        <x:v>普通住宅</x:v>
      </x:c>
      <x:c r="L659" s="48" t="str">
        <x:v>是</x:v>
      </x:c>
      <x:c r="M659" s="48" t="str">
        <x:v>保留</x:v>
      </x:c>
      <x:c r="N659" s="48" t="str">
        <x:v>金龙大厦（东门）|1室0厅1|30|2900|南</x:v>
      </x:c>
      <x:c r="O659" s="48"/>
      <x:c r="P659" s="48" t="str">
        <x:v>未知（未逐条补齐）</x:v>
      </x:c>
      <x:c r="Q659" s="48" t="str">
        <x:v>https://shenzhen.leyoujia.com/zf/detail/XrR8jChzXkXLhRkWMKph8A.html</x:v>
      </x:c>
      <x:c r="R659" s="48" t="str">
        <x:v>2026-08-13</x:v>
      </x:c>
    </x:row>
    <x:row r="660">
      <x:c r="A660" s="48" t="str">
        <x:v>金龙大厦</x:v>
      </x:c>
      <x:c r="B660" s="48" t="str">
        <x:v>金龙大厦（东门）</x:v>
      </x:c>
      <x:c r="C660" s="48" t="str">
        <x:v>湖贝</x:v>
      </x:c>
      <x:c r="D660" s="56" t="n">
        <x:v>7.3</x:v>
      </x:c>
      <x:c r="E660" s="61" t="n">
        <x:v>2980</x:v>
      </x:c>
      <x:c r="F660" s="61" t="n">
        <x:v>25</x:v>
      </x:c>
      <x:c r="G660" s="61" t="n">
        <x:v>119.2</x:v>
      </x:c>
      <x:c r="H660" s="48" t="str">
        <x:v>1室0厅1</x:v>
      </x:c>
      <x:c r="I660" s="48" t="str">
        <x:v>东</x:v>
      </x:c>
      <x:c r="J660" s="48" t="str">
        <x:v>普装</x:v>
      </x:c>
      <x:c r="K660" s="48" t="str">
        <x:v>酒店式公寓</x:v>
      </x:c>
      <x:c r="L660" s="48" t="str">
        <x:v>是</x:v>
      </x:c>
      <x:c r="M660" s="48" t="str">
        <x:v>保留</x:v>
      </x:c>
      <x:c r="N660" s="48" t="str">
        <x:v>金龙大厦（东门）|1室0厅1|25|2980|东</x:v>
      </x:c>
      <x:c r="O660" s="48"/>
      <x:c r="P660" s="48" t="str">
        <x:v>未知（未逐条补齐）</x:v>
      </x:c>
      <x:c r="Q660" s="48" t="str">
        <x:v>https://shenzhen.leyoujia.com/zf/detail/WRAUQWqghCDfFuEmpRBrdi.html</x:v>
      </x:c>
      <x:c r="R660" s="48" t="str">
        <x:v>2026-08-13</x:v>
      </x:c>
    </x:row>
    <x:row r="661">
      <x:c r="A661" s="48" t="str">
        <x:v>金龙大厦</x:v>
      </x:c>
      <x:c r="B661" s="48" t="str">
        <x:v>金龙大厦（东门）</x:v>
      </x:c>
      <x:c r="C661" s="48" t="str">
        <x:v>湖贝</x:v>
      </x:c>
      <x:c r="D661" s="56" t="n">
        <x:v>7.3</x:v>
      </x:c>
      <x:c r="E661" s="61" t="n">
        <x:v>2980</x:v>
      </x:c>
      <x:c r="F661" s="61" t="n">
        <x:v>30</x:v>
      </x:c>
      <x:c r="G661" s="61" t="n">
        <x:v>99.3</x:v>
      </x:c>
      <x:c r="H661" s="48" t="str">
        <x:v>1室1厅1</x:v>
      </x:c>
      <x:c r="I661" s="48" t="str">
        <x:v>东南</x:v>
      </x:c>
      <x:c r="J661" s="48" t="str">
        <x:v>普装</x:v>
      </x:c>
      <x:c r="K661" s="48" t="str">
        <x:v>公寓</x:v>
      </x:c>
      <x:c r="L661" s="48" t="str">
        <x:v>是</x:v>
      </x:c>
      <x:c r="M661" s="48" t="str">
        <x:v>保留</x:v>
      </x:c>
      <x:c r="N661" s="48" t="str">
        <x:v>金龙大厦（东门）|1室1厅1|30|2980|东南</x:v>
      </x:c>
      <x:c r="O661" s="48"/>
      <x:c r="P661" s="48" t="str">
        <x:v>未知（未逐条补齐）</x:v>
      </x:c>
      <x:c r="Q661" s="48" t="str">
        <x:v>https://shenzhen.leyoujia.com/zf/detail/HnUeVCQFYWgYcs6e2fUHTd.html</x:v>
      </x:c>
      <x:c r="R661" s="48" t="str">
        <x:v>2026-08-13</x:v>
      </x:c>
    </x:row>
    <x:row r="662">
      <x:c r="A662" s="48" t="str">
        <x:v>金龙大厦</x:v>
      </x:c>
      <x:c r="B662" s="48" t="str">
        <x:v>金龙大厦（东门）</x:v>
      </x:c>
      <x:c r="C662" s="48" t="str">
        <x:v>湖贝</x:v>
      </x:c>
      <x:c r="D662" s="56" t="n">
        <x:v>7.3</x:v>
      </x:c>
      <x:c r="E662" s="61" t="n">
        <x:v>3000</x:v>
      </x:c>
      <x:c r="F662" s="61" t="n">
        <x:v>30</x:v>
      </x:c>
      <x:c r="G662" s="61" t="n">
        <x:v>100</x:v>
      </x:c>
      <x:c r="H662" s="48" t="str">
        <x:v>1室0厅1</x:v>
      </x:c>
      <x:c r="I662" s="48" t="str">
        <x:v>东南</x:v>
      </x:c>
      <x:c r="J662" s="48" t="str">
        <x:v>普装</x:v>
      </x:c>
      <x:c r="K662" s="48" t="str">
        <x:v>公寓</x:v>
      </x:c>
      <x:c r="L662" s="48" t="str">
        <x:v>是</x:v>
      </x:c>
      <x:c r="M662" s="48" t="str">
        <x:v>保留</x:v>
      </x:c>
      <x:c r="N662" s="48" t="str">
        <x:v>金龙大厦（东门）|1室0厅1|30|3000|东南</x:v>
      </x:c>
      <x:c r="O662" s="48"/>
      <x:c r="P662" s="48" t="str">
        <x:v>未知（未逐条补齐）</x:v>
      </x:c>
      <x:c r="Q662" s="48" t="str">
        <x:v>https://shenzhen.leyoujia.com/zf/detail/WW5Yb36pK7mY4AiL4zi5BX.html</x:v>
      </x:c>
      <x:c r="R662" s="48" t="str">
        <x:v>2026-08-13</x:v>
      </x:c>
    </x:row>
    <x:row r="663">
      <x:c r="A663" s="48" t="str">
        <x:v>金龙大厦</x:v>
      </x:c>
      <x:c r="B663" s="48" t="str">
        <x:v>金龙大厦（东门）</x:v>
      </x:c>
      <x:c r="C663" s="48" t="str">
        <x:v>湖贝</x:v>
      </x:c>
      <x:c r="D663" s="56" t="n">
        <x:v>7.3</x:v>
      </x:c>
      <x:c r="E663" s="61" t="n">
        <x:v>3000</x:v>
      </x:c>
      <x:c r="F663" s="61" t="n">
        <x:v>28</x:v>
      </x:c>
      <x:c r="G663" s="61" t="n">
        <x:v>107.1</x:v>
      </x:c>
      <x:c r="H663" s="48" t="str">
        <x:v>1室0厅1</x:v>
      </x:c>
      <x:c r="I663" s="48" t="str">
        <x:v>南</x:v>
      </x:c>
      <x:c r="J663" s="48" t="str">
        <x:v>精装</x:v>
      </x:c>
      <x:c r="K663" s="48" t="str">
        <x:v>公寓</x:v>
      </x:c>
      <x:c r="L663" s="48" t="str">
        <x:v>是</x:v>
      </x:c>
      <x:c r="M663" s="48" t="str">
        <x:v>保留</x:v>
      </x:c>
      <x:c r="N663" s="48" t="str">
        <x:v>金龙大厦（东门）|1室0厅1|28|3000|南</x:v>
      </x:c>
      <x:c r="O663" s="48"/>
      <x:c r="P663" s="48" t="str">
        <x:v>未知（未逐条补齐）</x:v>
      </x:c>
      <x:c r="Q663" s="48" t="str">
        <x:v>https://shenzhen.leyoujia.com/zf/detail/Mft8kXdeEuRxxfpR6UMX4n.html</x:v>
      </x:c>
      <x:c r="R663" s="48" t="str">
        <x:v>2026-08-13</x:v>
      </x:c>
    </x:row>
    <x:row r="664">
      <x:c r="A664" s="48" t="str">
        <x:v>金龙大厦</x:v>
      </x:c>
      <x:c r="B664" s="48" t="str">
        <x:v>金龙大厦（东门）</x:v>
      </x:c>
      <x:c r="C664" s="48" t="str">
        <x:v>湖贝</x:v>
      </x:c>
      <x:c r="D664" s="56" t="n">
        <x:v>7.3</x:v>
      </x:c>
      <x:c r="E664" s="61" t="n">
        <x:v>3180</x:v>
      </x:c>
      <x:c r="F664" s="61" t="n">
        <x:v>20</x:v>
      </x:c>
      <x:c r="G664" s="61" t="n">
        <x:v>159</x:v>
      </x:c>
      <x:c r="H664" s="48" t="str">
        <x:v>1室0厅1</x:v>
      </x:c>
      <x:c r="I664" s="48" t="str">
        <x:v>东</x:v>
      </x:c>
      <x:c r="J664" s="48" t="str">
        <x:v>普装</x:v>
      </x:c>
      <x:c r="K664" s="48" t="str">
        <x:v>酒店式公寓</x:v>
      </x:c>
      <x:c r="L664" s="48" t="str">
        <x:v>是</x:v>
      </x:c>
      <x:c r="M664" s="48" t="str">
        <x:v>保留</x:v>
      </x:c>
      <x:c r="N664" s="48" t="str">
        <x:v>金龙大厦（东门）|1室0厅1|20|3180|东</x:v>
      </x:c>
      <x:c r="O664" s="48"/>
      <x:c r="P664" s="48" t="str">
        <x:v>未知（未逐条补齐）</x:v>
      </x:c>
      <x:c r="Q664" s="48" t="str">
        <x:v>https://shenzhen.leyoujia.com/zf/detail/JVhwisf7JcyBZN9UM84nRN.html</x:v>
      </x:c>
      <x:c r="R664" s="48" t="str">
        <x:v>2026-08-13</x:v>
      </x:c>
    </x:row>
    <x:row r="665">
      <x:c r="A665" s="48" t="str">
        <x:v>金龙大厦</x:v>
      </x:c>
      <x:c r="B665" s="48" t="str">
        <x:v>金龙大厦（东门）</x:v>
      </x:c>
      <x:c r="C665" s="48" t="str">
        <x:v>湖贝</x:v>
      </x:c>
      <x:c r="D665" s="56" t="n">
        <x:v>7.3</x:v>
      </x:c>
      <x:c r="E665" s="61" t="n">
        <x:v>3200</x:v>
      </x:c>
      <x:c r="F665" s="61" t="n">
        <x:v>35</x:v>
      </x:c>
      <x:c r="G665" s="61" t="n">
        <x:v>91.4</x:v>
      </x:c>
      <x:c r="H665" s="48" t="str">
        <x:v>1室0厅1</x:v>
      </x:c>
      <x:c r="I665" s="48" t="str">
        <x:v>南</x:v>
      </x:c>
      <x:c r="J665" s="48" t="str">
        <x:v>普装</x:v>
      </x:c>
      <x:c r="K665" s="48" t="str">
        <x:v>普通住宅</x:v>
      </x:c>
      <x:c r="L665" s="48" t="str">
        <x:v>是</x:v>
      </x:c>
      <x:c r="M665" s="48" t="str">
        <x:v>保留</x:v>
      </x:c>
      <x:c r="N665" s="48" t="str">
        <x:v>金龙大厦（东门）|1室0厅1|35|3200|南</x:v>
      </x:c>
      <x:c r="O665" s="48"/>
      <x:c r="P665" s="48" t="str">
        <x:v>未知（未逐条补齐）</x:v>
      </x:c>
      <x:c r="Q665" s="48" t="str">
        <x:v>https://shenzhen.leyoujia.com/zf/detail/96vsUdWdoRs4huYCVgjszc.html</x:v>
      </x:c>
      <x:c r="R665" s="48" t="str">
        <x:v>2026-08-13</x:v>
      </x:c>
    </x:row>
    <x:row r="666">
      <x:c r="A666" s="48" t="str">
        <x:v>金龙大厦</x:v>
      </x:c>
      <x:c r="B666" s="48" t="str">
        <x:v>金龙大厦（东门）</x:v>
      </x:c>
      <x:c r="C666" s="48" t="str">
        <x:v>湖贝</x:v>
      </x:c>
      <x:c r="D666" s="56" t="n">
        <x:v>7.3</x:v>
      </x:c>
      <x:c r="E666" s="61" t="n">
        <x:v>3580</x:v>
      </x:c>
      <x:c r="F666" s="61" t="n">
        <x:v>40</x:v>
      </x:c>
      <x:c r="G666" s="61" t="n">
        <x:v>89.5</x:v>
      </x:c>
      <x:c r="H666" s="48" t="str">
        <x:v>1室0厅1</x:v>
      </x:c>
      <x:c r="I666" s="48" t="str">
        <x:v>北</x:v>
      </x:c>
      <x:c r="J666" s="48" t="str">
        <x:v>精装</x:v>
      </x:c>
      <x:c r="K666" s="48" t="str">
        <x:v>公寓</x:v>
      </x:c>
      <x:c r="L666" s="48" t="str">
        <x:v>是</x:v>
      </x:c>
      <x:c r="M666" s="48" t="str">
        <x:v>保留</x:v>
      </x:c>
      <x:c r="N666" s="48" t="str">
        <x:v>金龙大厦（东门）|1室0厅1|40|3580|北</x:v>
      </x:c>
      <x:c r="O666" s="48"/>
      <x:c r="P666" s="48" t="str">
        <x:v>未知（未逐条补齐）</x:v>
      </x:c>
      <x:c r="Q666" s="48" t="str">
        <x:v>https://shenzhen.leyoujia.com/zf/detail/1ETxFrMFfpWVBHBYwAcpA.html</x:v>
      </x:c>
      <x:c r="R666" s="48" t="str">
        <x:v>2026-08-13</x:v>
      </x:c>
    </x:row>
    <x:row r="667">
      <x:c r="A667" s="48" t="str">
        <x:v>金龙大厦</x:v>
      </x:c>
      <x:c r="B667" s="48" t="str">
        <x:v>金龙大厦（东门）</x:v>
      </x:c>
      <x:c r="C667" s="48" t="str">
        <x:v>湖贝</x:v>
      </x:c>
      <x:c r="D667" s="56" t="n">
        <x:v>7.3</x:v>
      </x:c>
      <x:c r="E667" s="61" t="n">
        <x:v>3580</x:v>
      </x:c>
      <x:c r="F667" s="61" t="n">
        <x:v>42.26</x:v>
      </x:c>
      <x:c r="G667" s="61" t="n">
        <x:v>84.7</x:v>
      </x:c>
      <x:c r="H667" s="48" t="str">
        <x:v>1室0厅1</x:v>
      </x:c>
      <x:c r="I667" s="48" t="str">
        <x:v>西北</x:v>
      </x:c>
      <x:c r="J667" s="48" t="str">
        <x:v>精装</x:v>
      </x:c>
      <x:c r="K667" s="48" t="str">
        <x:v>公寓</x:v>
      </x:c>
      <x:c r="L667" s="48" t="str">
        <x:v>是</x:v>
      </x:c>
      <x:c r="M667" s="48" t="str">
        <x:v>保留</x:v>
      </x:c>
      <x:c r="N667" s="48" t="str">
        <x:v>金龙大厦（东门）|1室0厅1|42|3580|西北</x:v>
      </x:c>
      <x:c r="O667" s="48"/>
      <x:c r="P667" s="48" t="str">
        <x:v>未知（未逐条补齐）</x:v>
      </x:c>
      <x:c r="Q667" s="48" t="str">
        <x:v>https://shenzhen.leyoujia.com/zf/detail/5Jg6C7ugneuHm1Z5vPxUUe.html</x:v>
      </x:c>
      <x:c r="R667" s="48" t="str">
        <x:v>2026-08-13</x:v>
      </x:c>
    </x:row>
    <x:row r="668">
      <x:c r="A668" s="48" t="str">
        <x:v>金龙大厦</x:v>
      </x:c>
      <x:c r="B668" s="48" t="str">
        <x:v>金龙大厦（东门）</x:v>
      </x:c>
      <x:c r="C668" s="48" t="str">
        <x:v>湖贝</x:v>
      </x:c>
      <x:c r="D668" s="56" t="n">
        <x:v>7.3</x:v>
      </x:c>
      <x:c r="E668" s="61" t="n">
        <x:v>3580</x:v>
      </x:c>
      <x:c r="F668" s="61" t="n">
        <x:v>42.25</x:v>
      </x:c>
      <x:c r="G668" s="61" t="n">
        <x:v>84.7</x:v>
      </x:c>
      <x:c r="H668" s="48" t="str">
        <x:v>1室0厅1</x:v>
      </x:c>
      <x:c r="I668" s="48" t="str">
        <x:v>北</x:v>
      </x:c>
      <x:c r="J668" s="48" t="str">
        <x:v>普装</x:v>
      </x:c>
      <x:c r="K668" s="48" t="str">
        <x:v>公寓</x:v>
      </x:c>
      <x:c r="L668" s="48" t="str">
        <x:v>是</x:v>
      </x:c>
      <x:c r="M668" s="48" t="str">
        <x:v>保留</x:v>
      </x:c>
      <x:c r="N668" s="48" t="str">
        <x:v>金龙大厦（东门）|1室0厅1|42|3580|北</x:v>
      </x:c>
      <x:c r="O668" s="48"/>
      <x:c r="P668" s="48" t="str">
        <x:v>未知（未逐条补齐）</x:v>
      </x:c>
      <x:c r="Q668" s="48" t="str">
        <x:v>https://shenzhen.leyoujia.com/zf/detail/PDaJvaWcpzxT4LSGNYfXdN.html</x:v>
      </x:c>
      <x:c r="R668" s="48" t="str">
        <x:v>2026-08-13</x:v>
      </x:c>
    </x:row>
    <x:row r="669">
      <x:c r="A669" s="48" t="str">
        <x:v>金龙大厦</x:v>
      </x:c>
      <x:c r="B669" s="48" t="str">
        <x:v>金龙大厦（东门）</x:v>
      </x:c>
      <x:c r="C669" s="48" t="str">
        <x:v>湖贝</x:v>
      </x:c>
      <x:c r="D669" s="56" t="n">
        <x:v>7.3</x:v>
      </x:c>
      <x:c r="E669" s="61" t="n">
        <x:v>3680</x:v>
      </x:c>
      <x:c r="F669" s="61" t="n">
        <x:v>30</x:v>
      </x:c>
      <x:c r="G669" s="61" t="n">
        <x:v>122.7</x:v>
      </x:c>
      <x:c r="H669" s="48" t="str">
        <x:v>1室0厅1</x:v>
      </x:c>
      <x:c r="I669" s="48" t="str">
        <x:v>南</x:v>
      </x:c>
      <x:c r="J669" s="48" t="str">
        <x:v>普装</x:v>
      </x:c>
      <x:c r="K669" s="48" t="str">
        <x:v>公寓</x:v>
      </x:c>
      <x:c r="L669" s="48" t="str">
        <x:v>是</x:v>
      </x:c>
      <x:c r="M669" s="48" t="str">
        <x:v>保留</x:v>
      </x:c>
      <x:c r="N669" s="48" t="str">
        <x:v>金龙大厦（东门）|1室0厅1|30|3680|南</x:v>
      </x:c>
      <x:c r="O669" s="48"/>
      <x:c r="P669" s="48" t="str">
        <x:v>未知（未逐条补齐）</x:v>
      </x:c>
      <x:c r="Q669" s="48" t="str">
        <x:v>https://shenzhen.leyoujia.com/zf/detail/EwLV16FCoRMnF6g8gYsfgb.html</x:v>
      </x:c>
      <x:c r="R669" s="48" t="str">
        <x:v>2026-08-13</x:v>
      </x:c>
    </x:row>
    <x:row r="670">
      <x:c r="A670" s="48" t="str">
        <x:v>金龙大厦</x:v>
      </x:c>
      <x:c r="B670" s="48" t="str">
        <x:v>金龙大厦（东门）</x:v>
      </x:c>
      <x:c r="C670" s="48" t="str">
        <x:v>湖贝</x:v>
      </x:c>
      <x:c r="D670" s="56" t="n">
        <x:v>7.3</x:v>
      </x:c>
      <x:c r="E670" s="61" t="n">
        <x:v>3680</x:v>
      </x:c>
      <x:c r="F670" s="61" t="n">
        <x:v>42.6</x:v>
      </x:c>
      <x:c r="G670" s="61" t="n">
        <x:v>86.4</x:v>
      </x:c>
      <x:c r="H670" s="48" t="str">
        <x:v>1室0厅0</x:v>
      </x:c>
      <x:c r="I670" s="48" t="str">
        <x:v>东南</x:v>
      </x:c>
      <x:c r="J670" s="48" t="str">
        <x:v>精装</x:v>
      </x:c>
      <x:c r="K670" s="48" t="str">
        <x:v>普通住宅</x:v>
      </x:c>
      <x:c r="L670" s="48" t="str">
        <x:v>是</x:v>
      </x:c>
      <x:c r="M670" s="48" t="str">
        <x:v>保留</x:v>
      </x:c>
      <x:c r="N670" s="48" t="str">
        <x:v>金龙大厦（东门）|1室0厅0|43|3680|东南</x:v>
      </x:c>
      <x:c r="O670" s="48"/>
      <x:c r="P670" s="48" t="str">
        <x:v>未知（未逐条补齐）</x:v>
      </x:c>
      <x:c r="Q670" s="48" t="str">
        <x:v>https://shenzhen.leyoujia.com/zf/detail/Ueaj9wMd9sdYe7G2qhfr6M.html</x:v>
      </x:c>
      <x:c r="R670" s="48" t="str">
        <x:v>2026-08-13</x:v>
      </x:c>
    </x:row>
    <x:row r="671">
      <x:c r="A671" s="48" t="str">
        <x:v>金龙大厦</x:v>
      </x:c>
      <x:c r="B671" s="48" t="str">
        <x:v>金龙大厦（东门）</x:v>
      </x:c>
      <x:c r="C671" s="48" t="str">
        <x:v>湖贝</x:v>
      </x:c>
      <x:c r="D671" s="56" t="n">
        <x:v>7.3</x:v>
      </x:c>
      <x:c r="E671" s="61" t="n">
        <x:v>3780</x:v>
      </x:c>
      <x:c r="F671" s="61" t="n">
        <x:v>35</x:v>
      </x:c>
      <x:c r="G671" s="61" t="n">
        <x:v>108</x:v>
      </x:c>
      <x:c r="H671" s="48" t="str">
        <x:v>1室0厅1</x:v>
      </x:c>
      <x:c r="I671" s="48" t="str">
        <x:v>西北</x:v>
      </x:c>
      <x:c r="J671" s="48" t="str">
        <x:v>普装</x:v>
      </x:c>
      <x:c r="K671" s="48" t="str">
        <x:v>公寓</x:v>
      </x:c>
      <x:c r="L671" s="48" t="str">
        <x:v>是</x:v>
      </x:c>
      <x:c r="M671" s="48" t="str">
        <x:v>保留</x:v>
      </x:c>
      <x:c r="N671" s="48" t="str">
        <x:v>金龙大厦（东门）|1室0厅1|35|3780|西北</x:v>
      </x:c>
      <x:c r="O671" s="48"/>
      <x:c r="P671" s="48" t="str">
        <x:v>未知（未逐条补齐）</x:v>
      </x:c>
      <x:c r="Q671" s="48" t="str">
        <x:v>https://shenzhen.leyoujia.com/zf/detail/NRCd4moNSRZKg7txYfE99j.html</x:v>
      </x:c>
      <x:c r="R671" s="48" t="str">
        <x:v>2026-08-13</x:v>
      </x:c>
    </x:row>
    <x:row r="672">
      <x:c r="A672" s="48" t="str">
        <x:v>金龙大厦</x:v>
      </x:c>
      <x:c r="B672" s="48" t="str">
        <x:v>金龙大厦（东门）</x:v>
      </x:c>
      <x:c r="C672" s="48" t="str">
        <x:v>湖贝</x:v>
      </x:c>
      <x:c r="D672" s="56" t="n">
        <x:v>7.3</x:v>
      </x:c>
      <x:c r="E672" s="61" t="n">
        <x:v>3780</x:v>
      </x:c>
      <x:c r="F672" s="61" t="n">
        <x:v>30</x:v>
      </x:c>
      <x:c r="G672" s="61" t="n">
        <x:v>126</x:v>
      </x:c>
      <x:c r="H672" s="48" t="str">
        <x:v>1室0厅0</x:v>
      </x:c>
      <x:c r="I672" s="48" t="str">
        <x:v>南</x:v>
      </x:c>
      <x:c r="J672" s="48" t="str">
        <x:v>普装</x:v>
      </x:c>
      <x:c r="K672" s="48" t="str">
        <x:v>公寓</x:v>
      </x:c>
      <x:c r="L672" s="48" t="str">
        <x:v>是</x:v>
      </x:c>
      <x:c r="M672" s="48" t="str">
        <x:v>保留</x:v>
      </x:c>
      <x:c r="N672" s="48" t="str">
        <x:v>金龙大厦（东门）|1室0厅0|30|3780|南</x:v>
      </x:c>
      <x:c r="O672" s="48"/>
      <x:c r="P672" s="48" t="str">
        <x:v>未知（未逐条补齐）</x:v>
      </x:c>
      <x:c r="Q672" s="48" t="str">
        <x:v>https://shenzhen.leyoujia.com/zf/detail/2FMi8RNUNWqup3LiSano4v.html</x:v>
      </x:c>
      <x:c r="R672" s="48" t="str">
        <x:v>2026-08-13</x:v>
      </x:c>
    </x:row>
    <x:row r="673">
      <x:c r="A673" s="48" t="str">
        <x:v>金龙大厦</x:v>
      </x:c>
      <x:c r="B673" s="48" t="str">
        <x:v>金龙大厦（东门）</x:v>
      </x:c>
      <x:c r="C673" s="48" t="str">
        <x:v>湖贝</x:v>
      </x:c>
      <x:c r="D673" s="56" t="n">
        <x:v>7.3</x:v>
      </x:c>
      <x:c r="E673" s="61" t="n">
        <x:v>3780</x:v>
      </x:c>
      <x:c r="F673" s="61" t="n">
        <x:v>35</x:v>
      </x:c>
      <x:c r="G673" s="61" t="n">
        <x:v>108</x:v>
      </x:c>
      <x:c r="H673" s="48" t="str">
        <x:v>1室0厅1</x:v>
      </x:c>
      <x:c r="I673" s="48" t="str">
        <x:v>东南</x:v>
      </x:c>
      <x:c r="J673" s="48" t="str">
        <x:v>普装</x:v>
      </x:c>
      <x:c r="K673" s="48" t="str">
        <x:v>公寓</x:v>
      </x:c>
      <x:c r="L673" s="48" t="str">
        <x:v>是</x:v>
      </x:c>
      <x:c r="M673" s="48" t="str">
        <x:v>保留</x:v>
      </x:c>
      <x:c r="N673" s="48" t="str">
        <x:v>金龙大厦（东门）|1室0厅1|35|3780|东南</x:v>
      </x:c>
      <x:c r="O673" s="48"/>
      <x:c r="P673" s="48" t="str">
        <x:v>未知（未逐条补齐）</x:v>
      </x:c>
      <x:c r="Q673" s="48" t="str">
        <x:v>https://shenzhen.leyoujia.com/zf/detail/N3v6gFPF2HsPvgznm3DVDP.html</x:v>
      </x:c>
      <x:c r="R673" s="48" t="str">
        <x:v>2026-08-13</x:v>
      </x:c>
    </x:row>
    <x:row r="674">
      <x:c r="A674" s="48" t="str">
        <x:v>金龙大厦</x:v>
      </x:c>
      <x:c r="B674" s="48" t="str">
        <x:v>金龙大厦（东门）</x:v>
      </x:c>
      <x:c r="C674" s="48" t="str">
        <x:v>湖贝</x:v>
      </x:c>
      <x:c r="D674" s="56" t="n">
        <x:v>7.3</x:v>
      </x:c>
      <x:c r="E674" s="61" t="n">
        <x:v>3880</x:v>
      </x:c>
      <x:c r="F674" s="61" t="n">
        <x:v>46</x:v>
      </x:c>
      <x:c r="G674" s="61" t="n">
        <x:v>84.3</x:v>
      </x:c>
      <x:c r="H674" s="48" t="str">
        <x:v>1室0厅0</x:v>
      </x:c>
      <x:c r="I674" s="48" t="str">
        <x:v>西北</x:v>
      </x:c>
      <x:c r="J674" s="48" t="str">
        <x:v>普装</x:v>
      </x:c>
      <x:c r="K674" s="48" t="str">
        <x:v>公寓</x:v>
      </x:c>
      <x:c r="L674" s="48" t="str">
        <x:v>是</x:v>
      </x:c>
      <x:c r="M674" s="48" t="str">
        <x:v>保留</x:v>
      </x:c>
      <x:c r="N674" s="48" t="str">
        <x:v>金龙大厦（东门）|1室0厅0|46|3880|西北</x:v>
      </x:c>
      <x:c r="O674" s="48"/>
      <x:c r="P674" s="48" t="str">
        <x:v>未知（未逐条补齐）</x:v>
      </x:c>
      <x:c r="Q674" s="48" t="str">
        <x:v>https://shenzhen.leyoujia.com/zf/detail/7ft5tcWRb8fkbZcrqdBXvd.html</x:v>
      </x:c>
      <x:c r="R674" s="48" t="str">
        <x:v>2026-08-13</x:v>
      </x:c>
    </x:row>
    <x:row r="675">
      <x:c r="A675" s="48" t="str">
        <x:v>金龙大厦</x:v>
      </x:c>
      <x:c r="B675" s="48" t="str">
        <x:v>金龙大厦（东门）</x:v>
      </x:c>
      <x:c r="C675" s="48" t="str">
        <x:v>湖贝</x:v>
      </x:c>
      <x:c r="D675" s="56" t="n">
        <x:v>7.3</x:v>
      </x:c>
      <x:c r="E675" s="61" t="n">
        <x:v>3980</x:v>
      </x:c>
      <x:c r="F675" s="61" t="n">
        <x:v>35</x:v>
      </x:c>
      <x:c r="G675" s="61" t="n">
        <x:v>113.7</x:v>
      </x:c>
      <x:c r="H675" s="48" t="str">
        <x:v>1室0厅1</x:v>
      </x:c>
      <x:c r="I675" s="48" t="str">
        <x:v>北</x:v>
      </x:c>
      <x:c r="J675" s="48" t="str">
        <x:v>普装</x:v>
      </x:c>
      <x:c r="K675" s="48" t="str">
        <x:v>公寓</x:v>
      </x:c>
      <x:c r="L675" s="48" t="str">
        <x:v>是</x:v>
      </x:c>
      <x:c r="M675" s="48" t="str">
        <x:v>保留</x:v>
      </x:c>
      <x:c r="N675" s="48" t="str">
        <x:v>金龙大厦（东门）|1室0厅1|35|3980|北</x:v>
      </x:c>
      <x:c r="O675" s="48"/>
      <x:c r="P675" s="48" t="str">
        <x:v>未知（未逐条补齐）</x:v>
      </x:c>
      <x:c r="Q675" s="48" t="str">
        <x:v>https://shenzhen.leyoujia.com/zf/detail/AUHNL8yN7GmU44XpL9F24p.html</x:v>
      </x:c>
      <x:c r="R675" s="48" t="str">
        <x:v>2026-08-13</x:v>
      </x:c>
    </x:row>
    <x:row r="676">
      <x:c r="A676" s="48" t="str">
        <x:v>金龙大厦</x:v>
      </x:c>
      <x:c r="B676" s="48" t="str">
        <x:v>金龙大厦（东门）</x:v>
      </x:c>
      <x:c r="C676" s="48" t="str">
        <x:v>湖贝</x:v>
      </x:c>
      <x:c r="D676" s="56" t="n">
        <x:v>7.3</x:v>
      </x:c>
      <x:c r="E676" s="61" t="n">
        <x:v>3980</x:v>
      </x:c>
      <x:c r="F676" s="61" t="n">
        <x:v>38</x:v>
      </x:c>
      <x:c r="G676" s="61" t="n">
        <x:v>104.7</x:v>
      </x:c>
      <x:c r="H676" s="48" t="str">
        <x:v>1室0厅0</x:v>
      </x:c>
      <x:c r="I676" s="48" t="str">
        <x:v>北</x:v>
      </x:c>
      <x:c r="J676" s="48" t="str">
        <x:v>普装</x:v>
      </x:c>
      <x:c r="K676" s="48" t="str">
        <x:v>公寓</x:v>
      </x:c>
      <x:c r="L676" s="48" t="str">
        <x:v>是</x:v>
      </x:c>
      <x:c r="M676" s="48" t="str">
        <x:v>保留</x:v>
      </x:c>
      <x:c r="N676" s="48" t="str">
        <x:v>金龙大厦（东门）|1室0厅0|38|3980|北</x:v>
      </x:c>
      <x:c r="O676" s="48"/>
      <x:c r="P676" s="48" t="str">
        <x:v>未知（未逐条补齐）</x:v>
      </x:c>
      <x:c r="Q676" s="48" t="str">
        <x:v>https://shenzhen.leyoujia.com/zf/detail/269bwuzbHDV9eYV6KRFM8p.html</x:v>
      </x:c>
      <x:c r="R676" s="48" t="str">
        <x:v>2026-08-13</x:v>
      </x:c>
    </x:row>
    <x:row r="677">
      <x:c r="A677" s="48" t="str">
        <x:v>金龙大厦</x:v>
      </x:c>
      <x:c r="B677" s="48" t="str">
        <x:v>金龙大厦（东门）</x:v>
      </x:c>
      <x:c r="C677" s="48" t="str">
        <x:v>湖贝</x:v>
      </x:c>
      <x:c r="D677" s="56" t="n">
        <x:v>7.3</x:v>
      </x:c>
      <x:c r="E677" s="61" t="n">
        <x:v>3980</x:v>
      </x:c>
      <x:c r="F677" s="61" t="n">
        <x:v>30</x:v>
      </x:c>
      <x:c r="G677" s="61" t="n">
        <x:v>132.7</x:v>
      </x:c>
      <x:c r="H677" s="48" t="str">
        <x:v>1室0厅1</x:v>
      </x:c>
      <x:c r="I677" s="48" t="str">
        <x:v>南</x:v>
      </x:c>
      <x:c r="J677" s="48" t="str">
        <x:v>精装</x:v>
      </x:c>
      <x:c r="K677" s="48" t="str">
        <x:v>公寓</x:v>
      </x:c>
      <x:c r="L677" s="48" t="str">
        <x:v>是</x:v>
      </x:c>
      <x:c r="M677" s="48" t="str">
        <x:v>保留</x:v>
      </x:c>
      <x:c r="N677" s="48" t="str">
        <x:v>金龙大厦（东门）|1室0厅1|30|3980|南</x:v>
      </x:c>
      <x:c r="O677" s="48"/>
      <x:c r="P677" s="48" t="str">
        <x:v>未知（未逐条补齐）</x:v>
      </x:c>
      <x:c r="Q677" s="48" t="str">
        <x:v>https://shenzhen.leyoujia.com/zf/detail/BUtK8tniawNQR3mkdH5dba.html</x:v>
      </x:c>
      <x:c r="R677" s="48" t="str">
        <x:v>2026-08-13</x:v>
      </x:c>
    </x:row>
    <x:row r="678">
      <x:c r="A678" s="48" t="str">
        <x:v>金龙大厦</x:v>
      </x:c>
      <x:c r="B678" s="48" t="str">
        <x:v>金龙大厦（东门）</x:v>
      </x:c>
      <x:c r="C678" s="48" t="str">
        <x:v>湖贝</x:v>
      </x:c>
      <x:c r="D678" s="56" t="n">
        <x:v>7.3</x:v>
      </x:c>
      <x:c r="E678" s="61" t="n">
        <x:v>4080</x:v>
      </x:c>
      <x:c r="F678" s="61" t="n">
        <x:v>30</x:v>
      </x:c>
      <x:c r="G678" s="61" t="n">
        <x:v>136</x:v>
      </x:c>
      <x:c r="H678" s="48" t="str">
        <x:v>1室1厅1</x:v>
      </x:c>
      <x:c r="I678" s="48" t="str">
        <x:v>南</x:v>
      </x:c>
      <x:c r="J678" s="48" t="str">
        <x:v>精装</x:v>
      </x:c>
      <x:c r="K678" s="48" t="str">
        <x:v>公寓</x:v>
      </x:c>
      <x:c r="L678" s="48" t="str">
        <x:v>是</x:v>
      </x:c>
      <x:c r="M678" s="48" t="str">
        <x:v>保留</x:v>
      </x:c>
      <x:c r="N678" s="48" t="str">
        <x:v>金龙大厦（东门）|1室1厅1|30|4080|南</x:v>
      </x:c>
      <x:c r="O678" s="48"/>
      <x:c r="P678" s="48" t="str">
        <x:v>未知（未逐条补齐）</x:v>
      </x:c>
      <x:c r="Q678" s="48" t="str">
        <x:v>https://shenzhen.leyoujia.com/zf/detail/T9VWDPrCDBZVL6HP2Ghf1p.html</x:v>
      </x:c>
      <x:c r="R678" s="48" t="str">
        <x:v>2026-08-13</x:v>
      </x:c>
    </x:row>
    <x:row r="679">
      <x:c r="A679" s="48" t="str">
        <x:v>金龙大厦</x:v>
      </x:c>
      <x:c r="B679" s="48" t="str">
        <x:v>金龙大厦（东门）</x:v>
      </x:c>
      <x:c r="C679" s="48" t="str">
        <x:v>湖贝</x:v>
      </x:c>
      <x:c r="D679" s="56" t="n">
        <x:v>7.3</x:v>
      </x:c>
      <x:c r="E679" s="61" t="n">
        <x:v>4080</x:v>
      </x:c>
      <x:c r="F679" s="61" t="n">
        <x:v>20</x:v>
      </x:c>
      <x:c r="G679" s="61" t="n">
        <x:v>204</x:v>
      </x:c>
      <x:c r="H679" s="48" t="str">
        <x:v>1室0厅1</x:v>
      </x:c>
      <x:c r="I679" s="48" t="str">
        <x:v>东南</x:v>
      </x:c>
      <x:c r="J679" s="48" t="str">
        <x:v>普装</x:v>
      </x:c>
      <x:c r="K679" s="48" t="str">
        <x:v>普通住宅</x:v>
      </x:c>
      <x:c r="L679" s="48" t="str">
        <x:v>是</x:v>
      </x:c>
      <x:c r="M679" s="48" t="str">
        <x:v>保留</x:v>
      </x:c>
      <x:c r="N679" s="48" t="str">
        <x:v>金龙大厦（东门）|1室0厅1|20|4080|东南</x:v>
      </x:c>
      <x:c r="O679" s="48"/>
      <x:c r="P679" s="48" t="str">
        <x:v>未知（未逐条补齐）</x:v>
      </x:c>
      <x:c r="Q679" s="48" t="str">
        <x:v>https://shenzhen.leyoujia.com/zf/detail/VypmFdH1g9JjkgTF7zj3sW.html</x:v>
      </x:c>
      <x:c r="R679" s="48" t="str">
        <x:v>2026-08-13</x:v>
      </x:c>
    </x:row>
    <x:row r="680">
      <x:c r="A680" s="48" t="str">
        <x:v>金龙大厦</x:v>
      </x:c>
      <x:c r="B680" s="48" t="str">
        <x:v>金龙大厦（东门）</x:v>
      </x:c>
      <x:c r="C680" s="48" t="str">
        <x:v>湖贝</x:v>
      </x:c>
      <x:c r="D680" s="56" t="n">
        <x:v>7.3</x:v>
      </x:c>
      <x:c r="E680" s="61" t="n">
        <x:v>4080</x:v>
      </x:c>
      <x:c r="F680" s="61" t="n">
        <x:v>30</x:v>
      </x:c>
      <x:c r="G680" s="61" t="n">
        <x:v>136</x:v>
      </x:c>
      <x:c r="H680" s="48" t="str">
        <x:v>1室0厅1</x:v>
      </x:c>
      <x:c r="I680" s="48" t="str">
        <x:v>南</x:v>
      </x:c>
      <x:c r="J680" s="48" t="str">
        <x:v>精装</x:v>
      </x:c>
      <x:c r="K680" s="48" t="str">
        <x:v>公寓</x:v>
      </x:c>
      <x:c r="L680" s="48" t="str">
        <x:v>是</x:v>
      </x:c>
      <x:c r="M680" s="48" t="str">
        <x:v>保留</x:v>
      </x:c>
      <x:c r="N680" s="48" t="str">
        <x:v>金龙大厦（东门）|1室0厅1|30|4080|南</x:v>
      </x:c>
      <x:c r="O680" s="48"/>
      <x:c r="P680" s="48" t="str">
        <x:v>未知（未逐条补齐）</x:v>
      </x:c>
      <x:c r="Q680" s="48" t="str">
        <x:v>https://shenzhen.leyoujia.com/zf/detail/SxZ5iTJasu1fgJVgWPdXSR.html</x:v>
      </x:c>
      <x:c r="R680" s="48" t="str">
        <x:v>2026-08-13</x:v>
      </x:c>
    </x:row>
    <x:row r="681">
      <x:c r="A681" s="48" t="str">
        <x:v>金龙大厦</x:v>
      </x:c>
      <x:c r="B681" s="48" t="str">
        <x:v>金龙大厦（东门）</x:v>
      </x:c>
      <x:c r="C681" s="48" t="str">
        <x:v>湖贝</x:v>
      </x:c>
      <x:c r="D681" s="56" t="n">
        <x:v>7.3</x:v>
      </x:c>
      <x:c r="E681" s="61" t="n">
        <x:v>4080</x:v>
      </x:c>
      <x:c r="F681" s="61" t="n">
        <x:v>30</x:v>
      </x:c>
      <x:c r="G681" s="61" t="n">
        <x:v>136</x:v>
      </x:c>
      <x:c r="H681" s="48" t="str">
        <x:v>1室1厅1</x:v>
      </x:c>
      <x:c r="I681" s="48" t="str">
        <x:v>南</x:v>
      </x:c>
      <x:c r="J681" s="48" t="str">
        <x:v>精装</x:v>
      </x:c>
      <x:c r="K681" s="48" t="str">
        <x:v>公寓</x:v>
      </x:c>
      <x:c r="L681" s="48" t="str">
        <x:v>否</x:v>
      </x:c>
      <x:c r="M681" s="48" t="str">
        <x:v>疑似重复挂牌</x:v>
      </x:c>
      <x:c r="N681" s="48" t="str">
        <x:v>金龙大厦（东门）|1室1厅1|30|4080|南</x:v>
      </x:c>
      <x:c r="O681" s="48"/>
      <x:c r="P681" s="48" t="str">
        <x:v>未知（未逐条补齐）</x:v>
      </x:c>
      <x:c r="Q681" s="48" t="str">
        <x:v>https://shenzhen.leyoujia.com/zf/detail/8aEB3Ki7eYHLSCuMTCFK66.html</x:v>
      </x:c>
      <x:c r="R681" s="48" t="str">
        <x:v>2026-08-13</x:v>
      </x:c>
    </x:row>
    <x:row r="682">
      <x:c r="A682" s="48" t="str">
        <x:v>金龙大厦</x:v>
      </x:c>
      <x:c r="B682" s="48" t="str">
        <x:v>金龙大厦（东门）</x:v>
      </x:c>
      <x:c r="C682" s="48" t="str">
        <x:v>湖贝</x:v>
      </x:c>
      <x:c r="D682" s="56" t="n">
        <x:v>7.3</x:v>
      </x:c>
      <x:c r="E682" s="61" t="n">
        <x:v>4280</x:v>
      </x:c>
      <x:c r="F682" s="61" t="n">
        <x:v>40</x:v>
      </x:c>
      <x:c r="G682" s="61" t="n">
        <x:v>107</x:v>
      </x:c>
      <x:c r="H682" s="48" t="str">
        <x:v>1室0厅1</x:v>
      </x:c>
      <x:c r="I682" s="48" t="str">
        <x:v>北</x:v>
      </x:c>
      <x:c r="J682" s="48" t="str">
        <x:v>精装</x:v>
      </x:c>
      <x:c r="K682" s="48" t="str">
        <x:v>公寓</x:v>
      </x:c>
      <x:c r="L682" s="48" t="str">
        <x:v>是</x:v>
      </x:c>
      <x:c r="M682" s="48" t="str">
        <x:v>保留</x:v>
      </x:c>
      <x:c r="N682" s="48" t="str">
        <x:v>金龙大厦（东门）|1室0厅1|40|4280|北</x:v>
      </x:c>
      <x:c r="O682" s="48"/>
      <x:c r="P682" s="48" t="str">
        <x:v>未知（未逐条补齐）</x:v>
      </x:c>
      <x:c r="Q682" s="48" t="str">
        <x:v>https://shenzhen.leyoujia.com/zf/detail/8ztNjWgYokqtnndb2B9tL7.html</x:v>
      </x:c>
      <x:c r="R682" s="48" t="str">
        <x:v>2026-08-13</x:v>
      </x:c>
    </x:row>
    <x:row r="683">
      <x:c r="A683" s="48" t="str">
        <x:v>金龙大厦</x:v>
      </x:c>
      <x:c r="B683" s="48" t="str">
        <x:v>金龙大厦（东门）</x:v>
      </x:c>
      <x:c r="C683" s="48" t="str">
        <x:v>湖贝</x:v>
      </x:c>
      <x:c r="D683" s="56" t="n">
        <x:v>7.3</x:v>
      </x:c>
      <x:c r="E683" s="61" t="n">
        <x:v>4280</x:v>
      </x:c>
      <x:c r="F683" s="61" t="n">
        <x:v>30</x:v>
      </x:c>
      <x:c r="G683" s="61" t="n">
        <x:v>142.7</x:v>
      </x:c>
      <x:c r="H683" s="48" t="str">
        <x:v>1室1厅1</x:v>
      </x:c>
      <x:c r="I683" s="48" t="str">
        <x:v>南</x:v>
      </x:c>
      <x:c r="J683" s="48" t="str">
        <x:v>普装</x:v>
      </x:c>
      <x:c r="K683" s="48" t="str">
        <x:v>公寓</x:v>
      </x:c>
      <x:c r="L683" s="48" t="str">
        <x:v>是</x:v>
      </x:c>
      <x:c r="M683" s="48" t="str">
        <x:v>保留</x:v>
      </x:c>
      <x:c r="N683" s="48" t="str">
        <x:v>金龙大厦（东门）|1室1厅1|30|4280|南</x:v>
      </x:c>
      <x:c r="O683" s="48"/>
      <x:c r="P683" s="48" t="str">
        <x:v>未知（未逐条补齐）</x:v>
      </x:c>
      <x:c r="Q683" s="48" t="str">
        <x:v>https://shenzhen.leyoujia.com/zf/detail/U9ggVVZqf6JsUhqGiMRfut.html</x:v>
      </x:c>
      <x:c r="R683" s="48" t="str">
        <x:v>2026-08-13</x:v>
      </x:c>
    </x:row>
    <x:row r="684">
      <x:c r="A684" s="48" t="str">
        <x:v>金龙大厦</x:v>
      </x:c>
      <x:c r="B684" s="48" t="str">
        <x:v>金龙大厦（东门）</x:v>
      </x:c>
      <x:c r="C684" s="48" t="str">
        <x:v>湖贝</x:v>
      </x:c>
      <x:c r="D684" s="56" t="n">
        <x:v>7.3</x:v>
      </x:c>
      <x:c r="E684" s="61" t="n">
        <x:v>4280</x:v>
      </x:c>
      <x:c r="F684" s="61" t="n">
        <x:v>30</x:v>
      </x:c>
      <x:c r="G684" s="61" t="n">
        <x:v>142.7</x:v>
      </x:c>
      <x:c r="H684" s="48" t="str">
        <x:v>1室0厅1</x:v>
      </x:c>
      <x:c r="I684" s="48" t="str">
        <x:v>南</x:v>
      </x:c>
      <x:c r="J684" s="48" t="str">
        <x:v>普装</x:v>
      </x:c>
      <x:c r="K684" s="48" t="str">
        <x:v>普通住宅</x:v>
      </x:c>
      <x:c r="L684" s="48" t="str">
        <x:v>是</x:v>
      </x:c>
      <x:c r="M684" s="48" t="str">
        <x:v>保留</x:v>
      </x:c>
      <x:c r="N684" s="48" t="str">
        <x:v>金龙大厦（东门）|1室0厅1|30|4280|南</x:v>
      </x:c>
      <x:c r="O684" s="48"/>
      <x:c r="P684" s="48" t="str">
        <x:v>未知（未逐条补齐）</x:v>
      </x:c>
      <x:c r="Q684" s="48" t="str">
        <x:v>https://shenzhen.leyoujia.com/zf/detail/8VoVUX4QKvX6sphtpns2Fe.html</x:v>
      </x:c>
      <x:c r="R684" s="48" t="str">
        <x:v>2026-08-13</x:v>
      </x:c>
    </x:row>
    <x:row r="685">
      <x:c r="A685" s="48" t="str">
        <x:v>金龙大厦</x:v>
      </x:c>
      <x:c r="B685" s="48" t="str">
        <x:v>金龙大厦（东门）</x:v>
      </x:c>
      <x:c r="C685" s="48" t="str">
        <x:v>湖贝</x:v>
      </x:c>
      <x:c r="D685" s="56" t="n">
        <x:v>7.3</x:v>
      </x:c>
      <x:c r="E685" s="61" t="n">
        <x:v>4280</x:v>
      </x:c>
      <x:c r="F685" s="61" t="n">
        <x:v>30</x:v>
      </x:c>
      <x:c r="G685" s="61" t="n">
        <x:v>142.7</x:v>
      </x:c>
      <x:c r="H685" s="48" t="str">
        <x:v>1室0厅1</x:v>
      </x:c>
      <x:c r="I685" s="48" t="str">
        <x:v>南</x:v>
      </x:c>
      <x:c r="J685" s="48" t="str">
        <x:v>普装</x:v>
      </x:c>
      <x:c r="K685" s="48" t="str">
        <x:v>公寓</x:v>
      </x:c>
      <x:c r="L685" s="48" t="str">
        <x:v>否</x:v>
      </x:c>
      <x:c r="M685" s="48" t="str">
        <x:v>疑似重复挂牌</x:v>
      </x:c>
      <x:c r="N685" s="48" t="str">
        <x:v>金龙大厦（东门）|1室0厅1|30|4280|南</x:v>
      </x:c>
      <x:c r="O685" s="48"/>
      <x:c r="P685" s="48" t="str">
        <x:v>未知（未逐条补齐）</x:v>
      </x:c>
      <x:c r="Q685" s="48" t="str">
        <x:v>https://shenzhen.leyoujia.com/zf/detail/QzkuP4XcDZG923C43pbF76.html</x:v>
      </x:c>
      <x:c r="R685" s="48" t="str">
        <x:v>2026-08-13</x:v>
      </x:c>
    </x:row>
    <x:row r="686">
      <x:c r="A686" s="48" t="str">
        <x:v>金龙大厦</x:v>
      </x:c>
      <x:c r="B686" s="48" t="str">
        <x:v>金龙大厦（东门）</x:v>
      </x:c>
      <x:c r="C686" s="48" t="str">
        <x:v>湖贝</x:v>
      </x:c>
      <x:c r="D686" s="56" t="n">
        <x:v>7.3</x:v>
      </x:c>
      <x:c r="E686" s="61" t="n">
        <x:v>4380</x:v>
      </x:c>
      <x:c r="F686" s="61" t="n">
        <x:v>35</x:v>
      </x:c>
      <x:c r="G686" s="61" t="n">
        <x:v>125.1</x:v>
      </x:c>
      <x:c r="H686" s="48" t="str">
        <x:v>1室0厅1</x:v>
      </x:c>
      <x:c r="I686" s="48" t="str">
        <x:v>北</x:v>
      </x:c>
      <x:c r="J686" s="48" t="str">
        <x:v>精装</x:v>
      </x:c>
      <x:c r="K686" s="48" t="str">
        <x:v>普通住宅</x:v>
      </x:c>
      <x:c r="L686" s="48" t="str">
        <x:v>是</x:v>
      </x:c>
      <x:c r="M686" s="48" t="str">
        <x:v>保留</x:v>
      </x:c>
      <x:c r="N686" s="48" t="str">
        <x:v>金龙大厦（东门）|1室0厅1|35|4380|北</x:v>
      </x:c>
      <x:c r="O686" s="48"/>
      <x:c r="P686" s="48" t="str">
        <x:v>未知（未逐条补齐）</x:v>
      </x:c>
      <x:c r="Q686" s="48" t="str">
        <x:v>https://shenzhen.leyoujia.com/zf/detail/UUmFsPEf8Ga1hyPxfESThc.html</x:v>
      </x:c>
      <x:c r="R686" s="48" t="str">
        <x:v>2026-08-13</x:v>
      </x:c>
    </x:row>
    <x:row r="687">
      <x:c r="A687" s="48" t="str">
        <x:v>金龙大厦</x:v>
      </x:c>
      <x:c r="B687" s="48" t="str">
        <x:v>金龙大厦（东门）</x:v>
      </x:c>
      <x:c r="C687" s="48" t="str">
        <x:v>湖贝</x:v>
      </x:c>
      <x:c r="D687" s="56" t="n">
        <x:v>7.3</x:v>
      </x:c>
      <x:c r="E687" s="61" t="n">
        <x:v>4380</x:v>
      </x:c>
      <x:c r="F687" s="61" t="n">
        <x:v>38</x:v>
      </x:c>
      <x:c r="G687" s="61" t="n">
        <x:v>115.3</x:v>
      </x:c>
      <x:c r="H687" s="48" t="str">
        <x:v>1室0厅1</x:v>
      </x:c>
      <x:c r="I687" s="48" t="str">
        <x:v>南</x:v>
      </x:c>
      <x:c r="J687" s="48" t="str">
        <x:v>普装</x:v>
      </x:c>
      <x:c r="K687" s="48" t="str">
        <x:v>公寓</x:v>
      </x:c>
      <x:c r="L687" s="48" t="str">
        <x:v>是</x:v>
      </x:c>
      <x:c r="M687" s="48" t="str">
        <x:v>保留</x:v>
      </x:c>
      <x:c r="N687" s="48" t="str">
        <x:v>金龙大厦（东门）|1室0厅1|38|4380|南</x:v>
      </x:c>
      <x:c r="O687" s="48"/>
      <x:c r="P687" s="48" t="str">
        <x:v>未知（未逐条补齐）</x:v>
      </x:c>
      <x:c r="Q687" s="48" t="str">
        <x:v>https://shenzhen.leyoujia.com/zf/detail/8bomck87vxMfUmWqESYh2j.html</x:v>
      </x:c>
      <x:c r="R687" s="48" t="str">
        <x:v>2026-08-13</x:v>
      </x:c>
    </x:row>
    <x:row r="688">
      <x:c r="A688" s="48" t="str">
        <x:v>金龙大厦</x:v>
      </x:c>
      <x:c r="B688" s="48" t="str">
        <x:v>金龙大厦（东门）</x:v>
      </x:c>
      <x:c r="C688" s="48" t="str">
        <x:v>湖贝</x:v>
      </x:c>
      <x:c r="D688" s="56" t="n">
        <x:v>7.3</x:v>
      </x:c>
      <x:c r="E688" s="61" t="n">
        <x:v>4380</x:v>
      </x:c>
      <x:c r="F688" s="61" t="n">
        <x:v>30</x:v>
      </x:c>
      <x:c r="G688" s="61" t="n">
        <x:v>146</x:v>
      </x:c>
      <x:c r="H688" s="48" t="str">
        <x:v>1室0厅1</x:v>
      </x:c>
      <x:c r="I688" s="48" t="str">
        <x:v>南</x:v>
      </x:c>
      <x:c r="J688" s="48" t="str">
        <x:v>精装</x:v>
      </x:c>
      <x:c r="K688" s="48" t="str">
        <x:v>公寓</x:v>
      </x:c>
      <x:c r="L688" s="48" t="str">
        <x:v>是</x:v>
      </x:c>
      <x:c r="M688" s="48" t="str">
        <x:v>保留</x:v>
      </x:c>
      <x:c r="N688" s="48" t="str">
        <x:v>金龙大厦（东门）|1室0厅1|30|4380|南</x:v>
      </x:c>
      <x:c r="O688" s="48"/>
      <x:c r="P688" s="48" t="str">
        <x:v>未知（未逐条补齐）</x:v>
      </x:c>
      <x:c r="Q688" s="48" t="str">
        <x:v>https://shenzhen.leyoujia.com/zf/detail/QK8qxLPNnyxmD3j3Uv2EBS.html</x:v>
      </x:c>
      <x:c r="R688" s="48" t="str">
        <x:v>2026-08-13</x:v>
      </x:c>
    </x:row>
    <x:row r="689">
      <x:c r="A689" s="48" t="str">
        <x:v>金龙大厦</x:v>
      </x:c>
      <x:c r="B689" s="48" t="str">
        <x:v>金龙大厦（东门）</x:v>
      </x:c>
      <x:c r="C689" s="48" t="str">
        <x:v>湖贝</x:v>
      </x:c>
      <x:c r="D689" s="56" t="n">
        <x:v>7.3</x:v>
      </x:c>
      <x:c r="E689" s="61" t="n">
        <x:v>4380</x:v>
      </x:c>
      <x:c r="F689" s="61" t="n">
        <x:v>25</x:v>
      </x:c>
      <x:c r="G689" s="61" t="n">
        <x:v>175.2</x:v>
      </x:c>
      <x:c r="H689" s="48" t="str">
        <x:v>1室0厅1</x:v>
      </x:c>
      <x:c r="I689" s="48" t="str">
        <x:v>东南</x:v>
      </x:c>
      <x:c r="J689" s="48" t="str">
        <x:v>普装</x:v>
      </x:c>
      <x:c r="K689" s="48" t="str">
        <x:v>公寓</x:v>
      </x:c>
      <x:c r="L689" s="48" t="str">
        <x:v>是</x:v>
      </x:c>
      <x:c r="M689" s="48" t="str">
        <x:v>保留</x:v>
      </x:c>
      <x:c r="N689" s="48" t="str">
        <x:v>金龙大厦（东门）|1室0厅1|25|4380|东南</x:v>
      </x:c>
      <x:c r="O689" s="48"/>
      <x:c r="P689" s="48" t="str">
        <x:v>未知（未逐条补齐）</x:v>
      </x:c>
      <x:c r="Q689" s="48" t="str">
        <x:v>https://shenzhen.leyoujia.com/zf/detail/6NkoWjsx7DfJB2gG63Nmn7.html</x:v>
      </x:c>
      <x:c r="R689" s="48" t="str">
        <x:v>2026-08-13</x:v>
      </x:c>
    </x:row>
    <x:row r="690">
      <x:c r="A690" s="48" t="str">
        <x:v>金龙大厦</x:v>
      </x:c>
      <x:c r="B690" s="48" t="str">
        <x:v>金龙大厦（东门）</x:v>
      </x:c>
      <x:c r="C690" s="48" t="str">
        <x:v>湖贝</x:v>
      </x:c>
      <x:c r="D690" s="56" t="n">
        <x:v>7.3</x:v>
      </x:c>
      <x:c r="E690" s="61" t="n">
        <x:v>4380</x:v>
      </x:c>
      <x:c r="F690" s="61" t="n">
        <x:v>40</x:v>
      </x:c>
      <x:c r="G690" s="61" t="n">
        <x:v>109.5</x:v>
      </x:c>
      <x:c r="H690" s="48" t="str">
        <x:v>1室1厅1</x:v>
      </x:c>
      <x:c r="I690" s="48" t="str">
        <x:v>南</x:v>
      </x:c>
      <x:c r="J690" s="48" t="str">
        <x:v>精装</x:v>
      </x:c>
      <x:c r="K690" s="48" t="str">
        <x:v>公寓</x:v>
      </x:c>
      <x:c r="L690" s="48" t="str">
        <x:v>是</x:v>
      </x:c>
      <x:c r="M690" s="48" t="str">
        <x:v>保留</x:v>
      </x:c>
      <x:c r="N690" s="48" t="str">
        <x:v>金龙大厦（东门）|1室1厅1|40|4380|南</x:v>
      </x:c>
      <x:c r="O690" s="48"/>
      <x:c r="P690" s="48" t="str">
        <x:v>未知（未逐条补齐）</x:v>
      </x:c>
      <x:c r="Q690" s="48" t="str">
        <x:v>https://shenzhen.leyoujia.com/zf/detail/4NC3qCP1tSVQ5mQD4u19J7.html</x:v>
      </x:c>
      <x:c r="R690" s="48" t="str">
        <x:v>2026-08-13</x:v>
      </x:c>
    </x:row>
    <x:row r="691">
      <x:c r="A691" s="48" t="str">
        <x:v>金龙大厦</x:v>
      </x:c>
      <x:c r="B691" s="48" t="str">
        <x:v>金龙大厦（东门）</x:v>
      </x:c>
      <x:c r="C691" s="48" t="str">
        <x:v>湖贝</x:v>
      </x:c>
      <x:c r="D691" s="56" t="n">
        <x:v>7.3</x:v>
      </x:c>
      <x:c r="E691" s="61" t="n">
        <x:v>4380</x:v>
      </x:c>
      <x:c r="F691" s="61" t="n">
        <x:v>20</x:v>
      </x:c>
      <x:c r="G691" s="61" t="n">
        <x:v>219</x:v>
      </x:c>
      <x:c r="H691" s="48" t="str">
        <x:v>1室0厅1</x:v>
      </x:c>
      <x:c r="I691" s="48" t="str">
        <x:v>东南</x:v>
      </x:c>
      <x:c r="J691" s="48" t="str">
        <x:v>普装</x:v>
      </x:c>
      <x:c r="K691" s="48" t="str">
        <x:v>普通住宅</x:v>
      </x:c>
      <x:c r="L691" s="48" t="str">
        <x:v>是</x:v>
      </x:c>
      <x:c r="M691" s="48" t="str">
        <x:v>保留</x:v>
      </x:c>
      <x:c r="N691" s="48" t="str">
        <x:v>金龙大厦（东门）|1室0厅1|20|4380|东南</x:v>
      </x:c>
      <x:c r="O691" s="48"/>
      <x:c r="P691" s="48" t="str">
        <x:v>未知（未逐条补齐）</x:v>
      </x:c>
      <x:c r="Q691" s="48" t="str">
        <x:v>https://shenzhen.leyoujia.com/zf/detail/PaNxes93TVFXScq4UGjvTj.html</x:v>
      </x:c>
      <x:c r="R691" s="48" t="str">
        <x:v>2026-08-13</x:v>
      </x:c>
    </x:row>
    <x:row r="692">
      <x:c r="A692" s="48" t="str">
        <x:v>金龙大厦</x:v>
      </x:c>
      <x:c r="B692" s="48" t="str">
        <x:v>金龙大厦（东门）</x:v>
      </x:c>
      <x:c r="C692" s="48" t="str">
        <x:v>湖贝</x:v>
      </x:c>
      <x:c r="D692" s="56" t="n">
        <x:v>7.3</x:v>
      </x:c>
      <x:c r="E692" s="61" t="n">
        <x:v>4380</x:v>
      </x:c>
      <x:c r="F692" s="61" t="n">
        <x:v>25</x:v>
      </x:c>
      <x:c r="G692" s="61" t="n">
        <x:v>175.2</x:v>
      </x:c>
      <x:c r="H692" s="48" t="str">
        <x:v>1室1厅1</x:v>
      </x:c>
      <x:c r="I692" s="48" t="str">
        <x:v>南</x:v>
      </x:c>
      <x:c r="J692" s="48" t="str">
        <x:v>普装</x:v>
      </x:c>
      <x:c r="K692" s="48" t="str">
        <x:v>公寓</x:v>
      </x:c>
      <x:c r="L692" s="48" t="str">
        <x:v>是</x:v>
      </x:c>
      <x:c r="M692" s="48" t="str">
        <x:v>保留</x:v>
      </x:c>
      <x:c r="N692" s="48" t="str">
        <x:v>金龙大厦（东门）|1室1厅1|25|4380|南</x:v>
      </x:c>
      <x:c r="O692" s="48"/>
      <x:c r="P692" s="48" t="str">
        <x:v>未知（未逐条补齐）</x:v>
      </x:c>
      <x:c r="Q692" s="48" t="str">
        <x:v>https://shenzhen.leyoujia.com/zf/detail/PKdxhsfnAHpExHVdW3YLY9.html</x:v>
      </x:c>
      <x:c r="R692" s="48" t="str">
        <x:v>2026-08-13</x:v>
      </x:c>
    </x:row>
    <x:row r="693">
      <x:c r="A693" s="48" t="str">
        <x:v>金龙大厦</x:v>
      </x:c>
      <x:c r="B693" s="48" t="str">
        <x:v>金龙大厦（东门）</x:v>
      </x:c>
      <x:c r="C693" s="48" t="str">
        <x:v>湖贝</x:v>
      </x:c>
      <x:c r="D693" s="56" t="n">
        <x:v>7.3</x:v>
      </x:c>
      <x:c r="E693" s="61" t="n">
        <x:v>4380</x:v>
      </x:c>
      <x:c r="F693" s="61" t="n">
        <x:v>40</x:v>
      </x:c>
      <x:c r="G693" s="61" t="n">
        <x:v>109.5</x:v>
      </x:c>
      <x:c r="H693" s="48" t="str">
        <x:v>1室1厅1</x:v>
      </x:c>
      <x:c r="I693" s="48" t="str">
        <x:v>北</x:v>
      </x:c>
      <x:c r="J693" s="48" t="str">
        <x:v>待核</x:v>
      </x:c>
      <x:c r="K693" s="48" t="str">
        <x:v>公寓</x:v>
      </x:c>
      <x:c r="L693" s="48" t="str">
        <x:v>是</x:v>
      </x:c>
      <x:c r="M693" s="48" t="str">
        <x:v>保留</x:v>
      </x:c>
      <x:c r="N693" s="48" t="str">
        <x:v>金龙大厦（东门）|1室1厅1|40|4380|北</x:v>
      </x:c>
      <x:c r="O693" s="48"/>
      <x:c r="P693" s="48" t="str">
        <x:v>未知（未逐条补齐）</x:v>
      </x:c>
      <x:c r="Q693" s="48" t="str">
        <x:v>https://shenzhen.leyoujia.com/zf/detail/UPa98AWygzLoZN6rNxXN9W.html</x:v>
      </x:c>
      <x:c r="R693" s="48" t="str">
        <x:v>2026-08-13</x:v>
      </x:c>
    </x:row>
    <x:row r="694">
      <x:c r="A694" s="48" t="str">
        <x:v>金龙大厦</x:v>
      </x:c>
      <x:c r="B694" s="48" t="str">
        <x:v>金龙大厦（东门）</x:v>
      </x:c>
      <x:c r="C694" s="48" t="str">
        <x:v>湖贝</x:v>
      </x:c>
      <x:c r="D694" s="56" t="n">
        <x:v>7.3</x:v>
      </x:c>
      <x:c r="E694" s="61" t="n">
        <x:v>4480</x:v>
      </x:c>
      <x:c r="F694" s="61" t="n">
        <x:v>45</x:v>
      </x:c>
      <x:c r="G694" s="61" t="n">
        <x:v>99.6</x:v>
      </x:c>
      <x:c r="H694" s="48" t="str">
        <x:v>1室1厅1</x:v>
      </x:c>
      <x:c r="I694" s="48" t="str">
        <x:v>北</x:v>
      </x:c>
      <x:c r="J694" s="48" t="str">
        <x:v>普装</x:v>
      </x:c>
      <x:c r="K694" s="48" t="str">
        <x:v>公寓</x:v>
      </x:c>
      <x:c r="L694" s="48" t="str">
        <x:v>是</x:v>
      </x:c>
      <x:c r="M694" s="48" t="str">
        <x:v>保留</x:v>
      </x:c>
      <x:c r="N694" s="48" t="str">
        <x:v>金龙大厦（东门）|1室1厅1|45|4480|北</x:v>
      </x:c>
      <x:c r="O694" s="48"/>
      <x:c r="P694" s="48" t="str">
        <x:v>未知（未逐条补齐）</x:v>
      </x:c>
      <x:c r="Q694" s="48" t="str">
        <x:v>https://shenzhen.leyoujia.com/zf/detail/NCJ1c3iAHwUGcQ4bcKkogD.html</x:v>
      </x:c>
      <x:c r="R694" s="48" t="str">
        <x:v>2026-08-13</x:v>
      </x:c>
    </x:row>
    <x:row r="695">
      <x:c r="A695" s="48" t="str">
        <x:v>金龙大厦</x:v>
      </x:c>
      <x:c r="B695" s="48" t="str">
        <x:v>金龙大厦（东门）</x:v>
      </x:c>
      <x:c r="C695" s="48" t="str">
        <x:v>湖贝</x:v>
      </x:c>
      <x:c r="D695" s="56" t="n">
        <x:v>7.3</x:v>
      </x:c>
      <x:c r="E695" s="61" t="n">
        <x:v>4480</x:v>
      </x:c>
      <x:c r="F695" s="61" t="n">
        <x:v>38</x:v>
      </x:c>
      <x:c r="G695" s="61" t="n">
        <x:v>117.9</x:v>
      </x:c>
      <x:c r="H695" s="48" t="str">
        <x:v>1室0厅1</x:v>
      </x:c>
      <x:c r="I695" s="48" t="str">
        <x:v>东</x:v>
      </x:c>
      <x:c r="J695" s="48" t="str">
        <x:v>待核</x:v>
      </x:c>
      <x:c r="K695" s="48" t="str">
        <x:v>公寓</x:v>
      </x:c>
      <x:c r="L695" s="48" t="str">
        <x:v>是</x:v>
      </x:c>
      <x:c r="M695" s="48" t="str">
        <x:v>保留</x:v>
      </x:c>
      <x:c r="N695" s="48" t="str">
        <x:v>金龙大厦（东门）|1室0厅1|38|4480|东</x:v>
      </x:c>
      <x:c r="O695" s="48"/>
      <x:c r="P695" s="48" t="str">
        <x:v>未知（未逐条补齐）</x:v>
      </x:c>
      <x:c r="Q695" s="48" t="str">
        <x:v>https://shenzhen.leyoujia.com/zf/detail/WBXCAp6yrnVi441vwqcb46.html</x:v>
      </x:c>
      <x:c r="R695" s="48" t="str">
        <x:v>2026-08-13</x:v>
      </x:c>
    </x:row>
    <x:row r="696">
      <x:c r="A696" s="48" t="str">
        <x:v>金龙大厦</x:v>
      </x:c>
      <x:c r="B696" s="48" t="str">
        <x:v>金龙大厦（东门）</x:v>
      </x:c>
      <x:c r="C696" s="48" t="str">
        <x:v>湖贝</x:v>
      </x:c>
      <x:c r="D696" s="56" t="n">
        <x:v>7.3</x:v>
      </x:c>
      <x:c r="E696" s="61" t="n">
        <x:v>4480</x:v>
      </x:c>
      <x:c r="F696" s="61" t="n">
        <x:v>43</x:v>
      </x:c>
      <x:c r="G696" s="61" t="n">
        <x:v>104.2</x:v>
      </x:c>
      <x:c r="H696" s="48" t="str">
        <x:v>1室1厅1</x:v>
      </x:c>
      <x:c r="I696" s="48" t="str">
        <x:v>北</x:v>
      </x:c>
      <x:c r="J696" s="48" t="str">
        <x:v>普装</x:v>
      </x:c>
      <x:c r="K696" s="48" t="str">
        <x:v>公寓</x:v>
      </x:c>
      <x:c r="L696" s="48" t="str">
        <x:v>是</x:v>
      </x:c>
      <x:c r="M696" s="48" t="str">
        <x:v>保留</x:v>
      </x:c>
      <x:c r="N696" s="48" t="str">
        <x:v>金龙大厦（东门）|1室1厅1|43|4480|北</x:v>
      </x:c>
      <x:c r="O696" s="48"/>
      <x:c r="P696" s="48" t="str">
        <x:v>未知（未逐条补齐）</x:v>
      </x:c>
      <x:c r="Q696" s="48" t="str">
        <x:v>https://shenzhen.leyoujia.com/zf/detail/YHE9rGvVe6Q3kVn4xpKCdj.html</x:v>
      </x:c>
      <x:c r="R696" s="48" t="str">
        <x:v>2026-08-13</x:v>
      </x:c>
    </x:row>
    <x:row r="697">
      <x:c r="A697" s="48" t="str">
        <x:v>金龙大厦</x:v>
      </x:c>
      <x:c r="B697" s="48" t="str">
        <x:v>金龙大厦（东门）</x:v>
      </x:c>
      <x:c r="C697" s="48" t="str">
        <x:v>湖贝</x:v>
      </x:c>
      <x:c r="D697" s="56" t="n">
        <x:v>7.3</x:v>
      </x:c>
      <x:c r="E697" s="61" t="n">
        <x:v>4580</x:v>
      </x:c>
      <x:c r="F697" s="61" t="n">
        <x:v>50</x:v>
      </x:c>
      <x:c r="G697" s="61" t="n">
        <x:v>91.6</x:v>
      </x:c>
      <x:c r="H697" s="48" t="str">
        <x:v>1室1厅1</x:v>
      </x:c>
      <x:c r="I697" s="48" t="str">
        <x:v>南</x:v>
      </x:c>
      <x:c r="J697" s="48" t="str">
        <x:v>普装</x:v>
      </x:c>
      <x:c r="K697" s="48" t="str">
        <x:v>公寓</x:v>
      </x:c>
      <x:c r="L697" s="48" t="str">
        <x:v>是</x:v>
      </x:c>
      <x:c r="M697" s="48" t="str">
        <x:v>保留</x:v>
      </x:c>
      <x:c r="N697" s="48" t="str">
        <x:v>金龙大厦（东门）|1室1厅1|50|4580|南</x:v>
      </x:c>
      <x:c r="O697" s="48"/>
      <x:c r="P697" s="48" t="str">
        <x:v>未知（未逐条补齐）</x:v>
      </x:c>
      <x:c r="Q697" s="48" t="str">
        <x:v>https://shenzhen.leyoujia.com/zf/detail/9hfhFfTJuUQoUo3j7WefNz.html</x:v>
      </x:c>
      <x:c r="R697" s="48" t="str">
        <x:v>2026-08-13</x:v>
      </x:c>
    </x:row>
    <x:row r="698">
      <x:c r="A698" s="48" t="str">
        <x:v>金龙大厦</x:v>
      </x:c>
      <x:c r="B698" s="48" t="str">
        <x:v>金龙大厦（东门）</x:v>
      </x:c>
      <x:c r="C698" s="48" t="str">
        <x:v>湖贝</x:v>
      </x:c>
      <x:c r="D698" s="56" t="n">
        <x:v>7.3</x:v>
      </x:c>
      <x:c r="E698" s="61" t="n">
        <x:v>4580</x:v>
      </x:c>
      <x:c r="F698" s="61" t="n">
        <x:v>38</x:v>
      </x:c>
      <x:c r="G698" s="61" t="n">
        <x:v>120.5</x:v>
      </x:c>
      <x:c r="H698" s="48" t="str">
        <x:v>1室1厅1</x:v>
      </x:c>
      <x:c r="I698" s="48" t="str">
        <x:v>东</x:v>
      </x:c>
      <x:c r="J698" s="48" t="str">
        <x:v>普装</x:v>
      </x:c>
      <x:c r="K698" s="48" t="str">
        <x:v>公寓</x:v>
      </x:c>
      <x:c r="L698" s="48" t="str">
        <x:v>是</x:v>
      </x:c>
      <x:c r="M698" s="48" t="str">
        <x:v>保留</x:v>
      </x:c>
      <x:c r="N698" s="48" t="str">
        <x:v>金龙大厦（东门）|1室1厅1|38|4580|东</x:v>
      </x:c>
      <x:c r="O698" s="48"/>
      <x:c r="P698" s="48" t="str">
        <x:v>未知（未逐条补齐）</x:v>
      </x:c>
      <x:c r="Q698" s="48" t="str">
        <x:v>https://shenzhen.leyoujia.com/zf/detail/6CbXohr8Ba5SEZ2ygArnos.html</x:v>
      </x:c>
      <x:c r="R698" s="48" t="str">
        <x:v>2026-08-13</x:v>
      </x:c>
    </x:row>
    <x:row r="699">
      <x:c r="A699" s="48" t="str">
        <x:v>金龙大厦</x:v>
      </x:c>
      <x:c r="B699" s="48" t="str">
        <x:v>金龙大厦（东门）</x:v>
      </x:c>
      <x:c r="C699" s="48" t="str">
        <x:v>湖贝</x:v>
      </x:c>
      <x:c r="D699" s="56" t="n">
        <x:v>7.3</x:v>
      </x:c>
      <x:c r="E699" s="61" t="n">
        <x:v>4580</x:v>
      </x:c>
      <x:c r="F699" s="61" t="n">
        <x:v>40</x:v>
      </x:c>
      <x:c r="G699" s="61" t="n">
        <x:v>114.5</x:v>
      </x:c>
      <x:c r="H699" s="48" t="str">
        <x:v>1室1厅1</x:v>
      </x:c>
      <x:c r="I699" s="48" t="str">
        <x:v>北</x:v>
      </x:c>
      <x:c r="J699" s="48" t="str">
        <x:v>普装</x:v>
      </x:c>
      <x:c r="K699" s="48" t="str">
        <x:v>普通住宅</x:v>
      </x:c>
      <x:c r="L699" s="48" t="str">
        <x:v>是</x:v>
      </x:c>
      <x:c r="M699" s="48" t="str">
        <x:v>保留</x:v>
      </x:c>
      <x:c r="N699" s="48" t="str">
        <x:v>金龙大厦（东门）|1室1厅1|40|4580|北</x:v>
      </x:c>
      <x:c r="O699" s="48"/>
      <x:c r="P699" s="48" t="str">
        <x:v>未知（未逐条补齐）</x:v>
      </x:c>
      <x:c r="Q699" s="48" t="str">
        <x:v>https://shenzhen.leyoujia.com/zf/detail/UGx7grqM8xvVdPiB4J7QSv.html</x:v>
      </x:c>
      <x:c r="R699" s="48" t="str">
        <x:v>2026-08-13</x:v>
      </x:c>
    </x:row>
    <x:row r="700">
      <x:c r="A700" s="48" t="str">
        <x:v>金龙大厦</x:v>
      </x:c>
      <x:c r="B700" s="48" t="str">
        <x:v>金龙大厦（东门）</x:v>
      </x:c>
      <x:c r="C700" s="48" t="str">
        <x:v>湖贝</x:v>
      </x:c>
      <x:c r="D700" s="56" t="n">
        <x:v>7.3</x:v>
      </x:c>
      <x:c r="E700" s="61" t="n">
        <x:v>4580</x:v>
      </x:c>
      <x:c r="F700" s="61" t="n">
        <x:v>40</x:v>
      </x:c>
      <x:c r="G700" s="61" t="n">
        <x:v>114.5</x:v>
      </x:c>
      <x:c r="H700" s="48" t="str">
        <x:v>1室1厅1</x:v>
      </x:c>
      <x:c r="I700" s="48" t="str">
        <x:v>南</x:v>
      </x:c>
      <x:c r="J700" s="48" t="str">
        <x:v>普装</x:v>
      </x:c>
      <x:c r="K700" s="48" t="str">
        <x:v>普通住宅</x:v>
      </x:c>
      <x:c r="L700" s="48" t="str">
        <x:v>是</x:v>
      </x:c>
      <x:c r="M700" s="48" t="str">
        <x:v>保留</x:v>
      </x:c>
      <x:c r="N700" s="48" t="str">
        <x:v>金龙大厦（东门）|1室1厅1|40|4580|南</x:v>
      </x:c>
      <x:c r="O700" s="48"/>
      <x:c r="P700" s="48" t="str">
        <x:v>未知（未逐条补齐）</x:v>
      </x:c>
      <x:c r="Q700" s="48" t="str">
        <x:v>https://shenzhen.leyoujia.com/zf/detail/JhtpNouYypfoBWhG73RDP4.html</x:v>
      </x:c>
      <x:c r="R700" s="48" t="str">
        <x:v>2026-08-13</x:v>
      </x:c>
    </x:row>
    <x:row r="701">
      <x:c r="A701" s="48" t="str">
        <x:v>金龙大厦</x:v>
      </x:c>
      <x:c r="B701" s="48" t="str">
        <x:v>金龙大厦（东门）</x:v>
      </x:c>
      <x:c r="C701" s="48" t="str">
        <x:v>湖贝</x:v>
      </x:c>
      <x:c r="D701" s="56" t="n">
        <x:v>7.3</x:v>
      </x:c>
      <x:c r="E701" s="61" t="n">
        <x:v>4680</x:v>
      </x:c>
      <x:c r="F701" s="61" t="n">
        <x:v>38</x:v>
      </x:c>
      <x:c r="G701" s="61" t="n">
        <x:v>123.2</x:v>
      </x:c>
      <x:c r="H701" s="48" t="str">
        <x:v>1室1厅1</x:v>
      </x:c>
      <x:c r="I701" s="48" t="str">
        <x:v>南</x:v>
      </x:c>
      <x:c r="J701" s="48" t="str">
        <x:v>普装</x:v>
      </x:c>
      <x:c r="K701" s="48" t="str">
        <x:v>公寓</x:v>
      </x:c>
      <x:c r="L701" s="48" t="str">
        <x:v>是</x:v>
      </x:c>
      <x:c r="M701" s="48" t="str">
        <x:v>保留</x:v>
      </x:c>
      <x:c r="N701" s="48" t="str">
        <x:v>金龙大厦（东门）|1室1厅1|38|4680|南</x:v>
      </x:c>
      <x:c r="O701" s="48"/>
      <x:c r="P701" s="48" t="str">
        <x:v>未知（未逐条补齐）</x:v>
      </x:c>
      <x:c r="Q701" s="48" t="str">
        <x:v>https://shenzhen.leyoujia.com/zf/detail/DteNuUBhUr4yj85iiAvAJZ.html</x:v>
      </x:c>
      <x:c r="R701" s="48" t="str">
        <x:v>2026-08-13</x:v>
      </x:c>
    </x:row>
    <x:row r="702">
      <x:c r="A702" s="48" t="str">
        <x:v>金龙大厦</x:v>
      </x:c>
      <x:c r="B702" s="48" t="str">
        <x:v>金龙大厦（东门）</x:v>
      </x:c>
      <x:c r="C702" s="48" t="str">
        <x:v>湖贝</x:v>
      </x:c>
      <x:c r="D702" s="56" t="n">
        <x:v>7.3</x:v>
      </x:c>
      <x:c r="E702" s="61" t="n">
        <x:v>4880</x:v>
      </x:c>
      <x:c r="F702" s="61" t="n">
        <x:v>30</x:v>
      </x:c>
      <x:c r="G702" s="61" t="n">
        <x:v>162.7</x:v>
      </x:c>
      <x:c r="H702" s="48" t="str">
        <x:v>1室0厅1</x:v>
      </x:c>
      <x:c r="I702" s="48" t="str">
        <x:v>南</x:v>
      </x:c>
      <x:c r="J702" s="48" t="str">
        <x:v>普装</x:v>
      </x:c>
      <x:c r="K702" s="48" t="str">
        <x:v>公寓</x:v>
      </x:c>
      <x:c r="L702" s="48" t="str">
        <x:v>是</x:v>
      </x:c>
      <x:c r="M702" s="48" t="str">
        <x:v>保留</x:v>
      </x:c>
      <x:c r="N702" s="48" t="str">
        <x:v>金龙大厦（东门）|1室0厅1|30|4880|南</x:v>
      </x:c>
      <x:c r="O702" s="48"/>
      <x:c r="P702" s="48" t="str">
        <x:v>未知（未逐条补齐）</x:v>
      </x:c>
      <x:c r="Q702" s="48" t="str">
        <x:v>https://shenzhen.leyoujia.com/zf/detail/NPqQoitgLVVnX3BZPNV4kY.html</x:v>
      </x:c>
      <x:c r="R702" s="48" t="str">
        <x:v>2026-08-13</x:v>
      </x:c>
    </x:row>
    <x:row r="703">
      <x:c r="A703" s="48" t="str">
        <x:v>鸿基大厦</x:v>
      </x:c>
      <x:c r="B703" s="48" t="str">
        <x:v>鸿基大厦</x:v>
      </x:c>
      <x:c r="C703" s="48" t="str">
        <x:v>晒布</x:v>
      </x:c>
      <x:c r="D703" s="56" t="n">
        <x:v>7.3</x:v>
      </x:c>
      <x:c r="E703" s="61" t="n">
        <x:v>3300</x:v>
      </x:c>
      <x:c r="F703" s="61" t="n">
        <x:v>50</x:v>
      </x:c>
      <x:c r="G703" s="61" t="n">
        <x:v>66</x:v>
      </x:c>
      <x:c r="H703" s="48" t="str">
        <x:v>1室0厅0</x:v>
      </x:c>
      <x:c r="I703" s="48" t="str">
        <x:v>东</x:v>
      </x:c>
      <x:c r="J703" s="48" t="str">
        <x:v>精装</x:v>
      </x:c>
      <x:c r="K703" s="48" t="str">
        <x:v>公寓</x:v>
      </x:c>
      <x:c r="L703" s="48" t="str">
        <x:v>是</x:v>
      </x:c>
      <x:c r="M703" s="48" t="str">
        <x:v>保留</x:v>
      </x:c>
      <x:c r="N703" s="48" t="str">
        <x:v>鸿基大厦|1室0厅0|50|3300|东</x:v>
      </x:c>
      <x:c r="O703" s="48"/>
      <x:c r="P703" s="48" t="str">
        <x:v>未知（未逐条补齐）</x:v>
      </x:c>
      <x:c r="Q703" s="48" t="str">
        <x:v>https://shenzhen.leyoujia.com/zf/detail/ADHtSPYj4oJeE1gVJnFGRH.html</x:v>
      </x:c>
      <x:c r="R703" s="48" t="str">
        <x:v>2026-08-13</x:v>
      </x:c>
    </x:row>
    <x:row r="704">
      <x:c r="A704" s="48" t="str">
        <x:v>鸿基大厦</x:v>
      </x:c>
      <x:c r="B704" s="48" t="str">
        <x:v>鸿基大厦</x:v>
      </x:c>
      <x:c r="C704" s="48" t="str">
        <x:v>晒布</x:v>
      </x:c>
      <x:c r="D704" s="56" t="n">
        <x:v>7.3</x:v>
      </x:c>
      <x:c r="E704" s="61" t="n">
        <x:v>3500</x:v>
      </x:c>
      <x:c r="F704" s="61" t="n">
        <x:v>53</x:v>
      </x:c>
      <x:c r="G704" s="61" t="n">
        <x:v>66</x:v>
      </x:c>
      <x:c r="H704" s="48" t="str">
        <x:v>1室0厅0</x:v>
      </x:c>
      <x:c r="I704" s="48" t="str">
        <x:v>东</x:v>
      </x:c>
      <x:c r="J704" s="48" t="str">
        <x:v>精装</x:v>
      </x:c>
      <x:c r="K704" s="48" t="str">
        <x:v>公寓</x:v>
      </x:c>
      <x:c r="L704" s="48" t="str">
        <x:v>是</x:v>
      </x:c>
      <x:c r="M704" s="48" t="str">
        <x:v>保留</x:v>
      </x:c>
      <x:c r="N704" s="48" t="str">
        <x:v>鸿基大厦|1室0厅0|53|3500|东</x:v>
      </x:c>
      <x:c r="O704" s="48"/>
      <x:c r="P704" s="48" t="str">
        <x:v>未知（未逐条补齐）</x:v>
      </x:c>
      <x:c r="Q704" s="48" t="str">
        <x:v>https://shenzhen.leyoujia.com/zf/detail/EwcMshJ2U3abWmxWxaGKBB.html</x:v>
      </x:c>
      <x:c r="R704" s="48" t="str">
        <x:v>2026-08-13</x:v>
      </x:c>
    </x:row>
    <x:row r="705">
      <x:c r="A705" s="48" t="str">
        <x:v>鸿基大厦</x:v>
      </x:c>
      <x:c r="B705" s="48" t="str">
        <x:v>鸿基大厦</x:v>
      </x:c>
      <x:c r="C705" s="48" t="str">
        <x:v>晒布</x:v>
      </x:c>
      <x:c r="D705" s="56" t="n">
        <x:v>7.3</x:v>
      </x:c>
      <x:c r="E705" s="61" t="n">
        <x:v>3500</x:v>
      </x:c>
      <x:c r="F705" s="61" t="n">
        <x:v>53</x:v>
      </x:c>
      <x:c r="G705" s="61" t="n">
        <x:v>66</x:v>
      </x:c>
      <x:c r="H705" s="48" t="str">
        <x:v>1室0厅0</x:v>
      </x:c>
      <x:c r="I705" s="48" t="str">
        <x:v>北</x:v>
      </x:c>
      <x:c r="J705" s="48" t="str">
        <x:v>精装</x:v>
      </x:c>
      <x:c r="K705" s="48" t="str">
        <x:v>公寓</x:v>
      </x:c>
      <x:c r="L705" s="48" t="str">
        <x:v>是</x:v>
      </x:c>
      <x:c r="M705" s="48" t="str">
        <x:v>保留</x:v>
      </x:c>
      <x:c r="N705" s="48" t="str">
        <x:v>鸿基大厦|1室0厅0|53|3500|北</x:v>
      </x:c>
      <x:c r="O705" s="48"/>
      <x:c r="P705" s="48" t="str">
        <x:v>未知（未逐条补齐）</x:v>
      </x:c>
      <x:c r="Q705" s="48" t="str">
        <x:v>https://shenzhen.leyoujia.com/zf/detail/Nf7dXZfKqmCYvJmreyQ1L1.html</x:v>
      </x:c>
      <x:c r="R705" s="48" t="str">
        <x:v>2026-08-13</x:v>
      </x:c>
    </x:row>
    <x:row r="706">
      <x:c r="A706" s="48" t="str">
        <x:v>鸿基大厦</x:v>
      </x:c>
      <x:c r="B706" s="48" t="str">
        <x:v>鸿基大厦</x:v>
      </x:c>
      <x:c r="C706" s="48" t="str">
        <x:v>晒布</x:v>
      </x:c>
      <x:c r="D706" s="56" t="n">
        <x:v>7.3</x:v>
      </x:c>
      <x:c r="E706" s="61" t="n">
        <x:v>4300</x:v>
      </x:c>
      <x:c r="F706" s="61" t="n">
        <x:v>65</x:v>
      </x:c>
      <x:c r="G706" s="61" t="n">
        <x:v>66.2</x:v>
      </x:c>
      <x:c r="H706" s="48" t="str">
        <x:v>1室0厅0</x:v>
      </x:c>
      <x:c r="I706" s="48" t="str">
        <x:v>东南</x:v>
      </x:c>
      <x:c r="J706" s="48" t="str">
        <x:v>精装</x:v>
      </x:c>
      <x:c r="K706" s="48" t="str">
        <x:v>公寓</x:v>
      </x:c>
      <x:c r="L706" s="48" t="str">
        <x:v>是</x:v>
      </x:c>
      <x:c r="M706" s="48" t="str">
        <x:v>保留</x:v>
      </x:c>
      <x:c r="N706" s="48" t="str">
        <x:v>鸿基大厦|1室0厅0|65|4300|东南</x:v>
      </x:c>
      <x:c r="O706" s="48"/>
      <x:c r="P706" s="48" t="str">
        <x:v>未知（未逐条补齐）</x:v>
      </x:c>
      <x:c r="Q706" s="48" t="str">
        <x:v>https://shenzhen.leyoujia.com/zf/detail/Rd9jXQbnL7KU4ZvtVWbyQ3.html</x:v>
      </x:c>
      <x:c r="R706" s="48" t="str">
        <x:v>2026-08-13</x:v>
      </x:c>
    </x:row>
    <x:row r="707">
      <x:c r="A707" s="48" t="str">
        <x:v>鸿基大厦</x:v>
      </x:c>
      <x:c r="B707" s="48" t="str">
        <x:v>鸿基大厦</x:v>
      </x:c>
      <x:c r="C707" s="48" t="str">
        <x:v>晒布</x:v>
      </x:c>
      <x:c r="D707" s="56" t="n">
        <x:v>7.3</x:v>
      </x:c>
      <x:c r="E707" s="61" t="n">
        <x:v>4300</x:v>
      </x:c>
      <x:c r="F707" s="61" t="n">
        <x:v>65</x:v>
      </x:c>
      <x:c r="G707" s="61" t="n">
        <x:v>66.2</x:v>
      </x:c>
      <x:c r="H707" s="48" t="str">
        <x:v>1室0厅0</x:v>
      </x:c>
      <x:c r="I707" s="48" t="str">
        <x:v>西南</x:v>
      </x:c>
      <x:c r="J707" s="48" t="str">
        <x:v>精装</x:v>
      </x:c>
      <x:c r="K707" s="48" t="str">
        <x:v>公寓</x:v>
      </x:c>
      <x:c r="L707" s="48" t="str">
        <x:v>是</x:v>
      </x:c>
      <x:c r="M707" s="48" t="str">
        <x:v>保留</x:v>
      </x:c>
      <x:c r="N707" s="48" t="str">
        <x:v>鸿基大厦|1室0厅0|65|4300|西南</x:v>
      </x:c>
      <x:c r="O707" s="48"/>
      <x:c r="P707" s="48" t="str">
        <x:v>未知（未逐条补齐）</x:v>
      </x:c>
      <x:c r="Q707" s="48" t="str">
        <x:v>https://shenzhen.leyoujia.com/zf/detail/NzS17L9LjsGiRkgMJ6AY6j.html</x:v>
      </x:c>
      <x:c r="R707" s="48" t="str">
        <x:v>2026-08-13</x:v>
      </x:c>
    </x:row>
    <x:row r="708">
      <x:c r="A708" s="48" t="str">
        <x:v>鸿基大厦</x:v>
      </x:c>
      <x:c r="B708" s="48" t="str">
        <x:v>鸿基大厦</x:v>
      </x:c>
      <x:c r="C708" s="48" t="str">
        <x:v>晒布</x:v>
      </x:c>
      <x:c r="D708" s="56" t="n">
        <x:v>7.3</x:v>
      </x:c>
      <x:c r="E708" s="61" t="n">
        <x:v>4600</x:v>
      </x:c>
      <x:c r="F708" s="61" t="n">
        <x:v>70</x:v>
      </x:c>
      <x:c r="G708" s="61" t="n">
        <x:v>65.7</x:v>
      </x:c>
      <x:c r="H708" s="48" t="str">
        <x:v>1室0厅0</x:v>
      </x:c>
      <x:c r="I708" s="48" t="str">
        <x:v>东南</x:v>
      </x:c>
      <x:c r="J708" s="48" t="str">
        <x:v>精装</x:v>
      </x:c>
      <x:c r="K708" s="48" t="str">
        <x:v>公寓</x:v>
      </x:c>
      <x:c r="L708" s="48" t="str">
        <x:v>是</x:v>
      </x:c>
      <x:c r="M708" s="48" t="str">
        <x:v>保留</x:v>
      </x:c>
      <x:c r="N708" s="48" t="str">
        <x:v>鸿基大厦|1室0厅0|70|4600|东南</x:v>
      </x:c>
      <x:c r="O708" s="48"/>
      <x:c r="P708" s="48" t="str">
        <x:v>未知（未逐条补齐）</x:v>
      </x:c>
      <x:c r="Q708" s="48" t="str">
        <x:v>https://shenzhen.leyoujia.com/zf/detail/FgzRTmCMDMDYN9KHCfKqB4.html</x:v>
      </x:c>
      <x:c r="R708" s="48" t="str">
        <x:v>2026-08-13</x:v>
      </x:c>
    </x:row>
    <x:row r="709">
      <x:c r="A709" s="48" t="str">
        <x:v>鸿基大厦</x:v>
      </x:c>
      <x:c r="B709" s="48" t="str">
        <x:v>鸿基大厦</x:v>
      </x:c>
      <x:c r="C709" s="48" t="str">
        <x:v>晒布</x:v>
      </x:c>
      <x:c r="D709" s="56" t="n">
        <x:v>7.3</x:v>
      </x:c>
      <x:c r="E709" s="61" t="n">
        <x:v>5000</x:v>
      </x:c>
      <x:c r="F709" s="61" t="n">
        <x:v>76</x:v>
      </x:c>
      <x:c r="G709" s="61" t="n">
        <x:v>65.8</x:v>
      </x:c>
      <x:c r="H709" s="48" t="str">
        <x:v>1室0厅0</x:v>
      </x:c>
      <x:c r="I709" s="48" t="str">
        <x:v>南</x:v>
      </x:c>
      <x:c r="J709" s="48" t="str">
        <x:v>精装</x:v>
      </x:c>
      <x:c r="K709" s="48" t="str">
        <x:v>公寓</x:v>
      </x:c>
      <x:c r="L709" s="48" t="str">
        <x:v>是</x:v>
      </x:c>
      <x:c r="M709" s="48" t="str">
        <x:v>保留</x:v>
      </x:c>
      <x:c r="N709" s="48" t="str">
        <x:v>鸿基大厦|1室0厅0|76|5000|南</x:v>
      </x:c>
      <x:c r="O709" s="48"/>
      <x:c r="P709" s="48" t="str">
        <x:v>未知（未逐条补齐）</x:v>
      </x:c>
      <x:c r="Q709" s="48" t="str">
        <x:v>https://shenzhen.leyoujia.com/zf/detail/2zoTkL74r5d3ascpvKDmDN.html</x:v>
      </x:c>
      <x:c r="R709" s="48" t="str">
        <x:v>2026-08-13</x:v>
      </x:c>
    </x:row>
    <x:row r="710">
      <x:c r="A710" s="48" t="str">
        <x:v>鸿基大厦</x:v>
      </x:c>
      <x:c r="B710" s="48" t="str">
        <x:v>鸿基大厦</x:v>
      </x:c>
      <x:c r="C710" s="48" t="str">
        <x:v>晒布</x:v>
      </x:c>
      <x:c r="D710" s="56" t="n">
        <x:v>7.3</x:v>
      </x:c>
      <x:c r="E710" s="61" t="n">
        <x:v>5000</x:v>
      </x:c>
      <x:c r="F710" s="61" t="n">
        <x:v>76</x:v>
      </x:c>
      <x:c r="G710" s="61" t="n">
        <x:v>65.8</x:v>
      </x:c>
      <x:c r="H710" s="48" t="str">
        <x:v>1室0厅0</x:v>
      </x:c>
      <x:c r="I710" s="48" t="str">
        <x:v>南</x:v>
      </x:c>
      <x:c r="J710" s="48" t="str">
        <x:v>精装</x:v>
      </x:c>
      <x:c r="K710" s="48" t="str">
        <x:v>公寓</x:v>
      </x:c>
      <x:c r="L710" s="48" t="str">
        <x:v>否</x:v>
      </x:c>
      <x:c r="M710" s="48" t="str">
        <x:v>疑似重复挂牌</x:v>
      </x:c>
      <x:c r="N710" s="48" t="str">
        <x:v>鸿基大厦|1室0厅0|76|5000|南</x:v>
      </x:c>
      <x:c r="O710" s="48"/>
      <x:c r="P710" s="48" t="str">
        <x:v>未知（未逐条补齐）</x:v>
      </x:c>
      <x:c r="Q710" s="48" t="str">
        <x:v>https://shenzhen.leyoujia.com/zf/detail/F6D7A5zE9WkKq1Z5yip5Ui.html</x:v>
      </x:c>
      <x:c r="R710" s="48" t="str">
        <x:v>2026-08-13</x:v>
      </x:c>
    </x:row>
    <x:row r="711">
      <x:c r="A711" s="48" t="str">
        <x:v>钻石时代</x:v>
      </x:c>
      <x:c r="B711" s="48" t="str">
        <x:v>钻石时代</x:v>
      </x:c>
      <x:c r="C711" s="48" t="str">
        <x:v>湖贝</x:v>
      </x:c>
      <x:c r="D711" s="56" t="n">
        <x:v>8.4</x:v>
      </x:c>
      <x:c r="E711" s="61" t="n">
        <x:v>3200</x:v>
      </x:c>
      <x:c r="F711" s="61" t="n">
        <x:v>36</x:v>
      </x:c>
      <x:c r="G711" s="61" t="n">
        <x:v>88.9</x:v>
      </x:c>
      <x:c r="H711" s="48" t="str">
        <x:v>1室1厅1</x:v>
      </x:c>
      <x:c r="I711" s="48" t="str">
        <x:v>南</x:v>
      </x:c>
      <x:c r="J711" s="48" t="str">
        <x:v>精装</x:v>
      </x:c>
      <x:c r="K711" s="48" t="str">
        <x:v>普通住宅</x:v>
      </x:c>
      <x:c r="L711" s="48" t="str">
        <x:v>是</x:v>
      </x:c>
      <x:c r="M711" s="48" t="str">
        <x:v>保留</x:v>
      </x:c>
      <x:c r="N711" s="48" t="str">
        <x:v>钻石时代|1室1厅1|36|3200|南</x:v>
      </x:c>
      <x:c r="O711" s="48"/>
      <x:c r="P711" s="48" t="str">
        <x:v>未知（未逐条补齐）</x:v>
      </x:c>
      <x:c r="Q711" s="48" t="str">
        <x:v>https://shenzhen.leyoujia.com/zf/detail/Q3PAbkEMm81youUhZ3SmCR.html</x:v>
      </x:c>
      <x:c r="R711" s="48" t="str">
        <x:v>2026-08-13</x:v>
      </x:c>
    </x:row>
    <x:row r="712">
      <x:c r="A712" s="48" t="str">
        <x:v>钻石时代</x:v>
      </x:c>
      <x:c r="B712" s="48" t="str">
        <x:v>钻石时代</x:v>
      </x:c>
      <x:c r="C712" s="48" t="str">
        <x:v>湖贝</x:v>
      </x:c>
      <x:c r="D712" s="56" t="n">
        <x:v>8.4</x:v>
      </x:c>
      <x:c r="E712" s="61" t="n">
        <x:v>3200</x:v>
      </x:c>
      <x:c r="F712" s="61" t="n">
        <x:v>26</x:v>
      </x:c>
      <x:c r="G712" s="61" t="n">
        <x:v>123.1</x:v>
      </x:c>
      <x:c r="H712" s="48" t="str">
        <x:v>1室0厅1</x:v>
      </x:c>
      <x:c r="I712" s="48" t="str">
        <x:v>北</x:v>
      </x:c>
      <x:c r="J712" s="48" t="str">
        <x:v>精装</x:v>
      </x:c>
      <x:c r="K712" s="48" t="str">
        <x:v>普通住宅</x:v>
      </x:c>
      <x:c r="L712" s="48" t="str">
        <x:v>是</x:v>
      </x:c>
      <x:c r="M712" s="48" t="str">
        <x:v>保留</x:v>
      </x:c>
      <x:c r="N712" s="48" t="str">
        <x:v>钻石时代|1室0厅1|26|3200|北</x:v>
      </x:c>
      <x:c r="O712" s="48"/>
      <x:c r="P712" s="48" t="str">
        <x:v>未知（未逐条补齐）</x:v>
      </x:c>
      <x:c r="Q712" s="48" t="str">
        <x:v>https://shenzhen.leyoujia.com/zf/detail/YSBP1PJE36vkthXd3LWVvG.html</x:v>
      </x:c>
      <x:c r="R712" s="48" t="str">
        <x:v>2026-08-13</x:v>
      </x:c>
    </x:row>
    <x:row r="713">
      <x:c r="A713" s="48" t="str">
        <x:v>钻石时代</x:v>
      </x:c>
      <x:c r="B713" s="48" t="str">
        <x:v>钻石时代</x:v>
      </x:c>
      <x:c r="C713" s="48" t="str">
        <x:v>湖贝</x:v>
      </x:c>
      <x:c r="D713" s="56" t="n">
        <x:v>8.4</x:v>
      </x:c>
      <x:c r="E713" s="61" t="n">
        <x:v>3200</x:v>
      </x:c>
      <x:c r="F713" s="61" t="n">
        <x:v>28</x:v>
      </x:c>
      <x:c r="G713" s="61" t="n">
        <x:v>114.3</x:v>
      </x:c>
      <x:c r="H713" s="48" t="str">
        <x:v>1室0厅1</x:v>
      </x:c>
      <x:c r="I713" s="48" t="str">
        <x:v>南</x:v>
      </x:c>
      <x:c r="J713" s="48" t="str">
        <x:v>精装</x:v>
      </x:c>
      <x:c r="K713" s="48" t="str">
        <x:v>普通住宅</x:v>
      </x:c>
      <x:c r="L713" s="48" t="str">
        <x:v>是</x:v>
      </x:c>
      <x:c r="M713" s="48" t="str">
        <x:v>保留</x:v>
      </x:c>
      <x:c r="N713" s="48" t="str">
        <x:v>钻石时代|1室0厅1|28|3200|南</x:v>
      </x:c>
      <x:c r="O713" s="48"/>
      <x:c r="P713" s="48" t="str">
        <x:v>未知（未逐条补齐）</x:v>
      </x:c>
      <x:c r="Q713" s="48" t="str">
        <x:v>https://shenzhen.leyoujia.com/zf/detail/9dsifBa92WVWn41D3ryVb7.html</x:v>
      </x:c>
      <x:c r="R713" s="48" t="str">
        <x:v>2026-08-13</x:v>
      </x:c>
    </x:row>
    <x:row r="714">
      <x:c r="A714" s="48" t="str">
        <x:v>钻石时代</x:v>
      </x:c>
      <x:c r="B714" s="48" t="str">
        <x:v>钻石时代</x:v>
      </x:c>
      <x:c r="C714" s="48" t="str">
        <x:v>湖贝</x:v>
      </x:c>
      <x:c r="D714" s="56" t="n">
        <x:v>8.4</x:v>
      </x:c>
      <x:c r="E714" s="61" t="n">
        <x:v>3200</x:v>
      </x:c>
      <x:c r="F714" s="61" t="n">
        <x:v>27</x:v>
      </x:c>
      <x:c r="G714" s="61" t="n">
        <x:v>118.5</x:v>
      </x:c>
      <x:c r="H714" s="48" t="str">
        <x:v>1室0厅1</x:v>
      </x:c>
      <x:c r="I714" s="48" t="str">
        <x:v>北</x:v>
      </x:c>
      <x:c r="J714" s="48" t="str">
        <x:v>精装</x:v>
      </x:c>
      <x:c r="K714" s="48" t="str">
        <x:v>普通住宅</x:v>
      </x:c>
      <x:c r="L714" s="48" t="str">
        <x:v>是</x:v>
      </x:c>
      <x:c r="M714" s="48" t="str">
        <x:v>保留</x:v>
      </x:c>
      <x:c r="N714" s="48" t="str">
        <x:v>钻石时代|1室0厅1|27|3200|北</x:v>
      </x:c>
      <x:c r="O714" s="48"/>
      <x:c r="P714" s="48" t="str">
        <x:v>未知（未逐条补齐）</x:v>
      </x:c>
      <x:c r="Q714" s="48" t="str">
        <x:v>https://shenzhen.leyoujia.com/zf/detail/B6Kb8qx2kvnTHBKRc3H9ft.html</x:v>
      </x:c>
      <x:c r="R714" s="48" t="str">
        <x:v>2026-08-13</x:v>
      </x:c>
    </x:row>
    <x:row r="715">
      <x:c r="A715" s="48" t="str">
        <x:v>钻石时代</x:v>
      </x:c>
      <x:c r="B715" s="48" t="str">
        <x:v>钻石时代</x:v>
      </x:c>
      <x:c r="C715" s="48" t="str">
        <x:v>湖贝</x:v>
      </x:c>
      <x:c r="D715" s="56" t="n">
        <x:v>8.4</x:v>
      </x:c>
      <x:c r="E715" s="61" t="n">
        <x:v>3200</x:v>
      </x:c>
      <x:c r="F715" s="61" t="n">
        <x:v>28</x:v>
      </x:c>
      <x:c r="G715" s="61" t="n">
        <x:v>114.3</x:v>
      </x:c>
      <x:c r="H715" s="48" t="str">
        <x:v>1室0厅1</x:v>
      </x:c>
      <x:c r="I715" s="48" t="str">
        <x:v>西</x:v>
      </x:c>
      <x:c r="J715" s="48" t="str">
        <x:v>精装</x:v>
      </x:c>
      <x:c r="K715" s="48" t="str">
        <x:v>普通住宅</x:v>
      </x:c>
      <x:c r="L715" s="48" t="str">
        <x:v>是</x:v>
      </x:c>
      <x:c r="M715" s="48" t="str">
        <x:v>保留</x:v>
      </x:c>
      <x:c r="N715" s="48" t="str">
        <x:v>钻石时代|1室0厅1|28|3200|西</x:v>
      </x:c>
      <x:c r="O715" s="48"/>
      <x:c r="P715" s="48" t="str">
        <x:v>未知（未逐条补齐）</x:v>
      </x:c>
      <x:c r="Q715" s="48" t="str">
        <x:v>https://shenzhen.leyoujia.com/zf/detail/PkS98jeeAEZFmqL9hAwJen.html</x:v>
      </x:c>
      <x:c r="R715" s="48" t="str">
        <x:v>2026-08-13</x:v>
      </x:c>
    </x:row>
    <x:row r="716">
      <x:c r="A716" s="48" t="str">
        <x:v>钻石时代</x:v>
      </x:c>
      <x:c r="B716" s="48" t="str">
        <x:v>钻石时代</x:v>
      </x:c>
      <x:c r="C716" s="48" t="str">
        <x:v>湖贝</x:v>
      </x:c>
      <x:c r="D716" s="56" t="n">
        <x:v>8.4</x:v>
      </x:c>
      <x:c r="E716" s="61" t="n">
        <x:v>3200</x:v>
      </x:c>
      <x:c r="F716" s="61" t="n">
        <x:v>28</x:v>
      </x:c>
      <x:c r="G716" s="61" t="n">
        <x:v>114.3</x:v>
      </x:c>
      <x:c r="H716" s="48" t="str">
        <x:v>1室0厅1</x:v>
      </x:c>
      <x:c r="I716" s="48" t="str">
        <x:v>西</x:v>
      </x:c>
      <x:c r="J716" s="48" t="str">
        <x:v>普装</x:v>
      </x:c>
      <x:c r="K716" s="48" t="str">
        <x:v>普通住宅</x:v>
      </x:c>
      <x:c r="L716" s="48" t="str">
        <x:v>否</x:v>
      </x:c>
      <x:c r="M716" s="48" t="str">
        <x:v>疑似重复挂牌</x:v>
      </x:c>
      <x:c r="N716" s="48" t="str">
        <x:v>钻石时代|1室0厅1|28|3200|西</x:v>
      </x:c>
      <x:c r="O716" s="48"/>
      <x:c r="P716" s="48" t="str">
        <x:v>未知（未逐条补齐）</x:v>
      </x:c>
      <x:c r="Q716" s="48" t="str">
        <x:v>https://shenzhen.leyoujia.com/zf/detail/NoxUsKZA2MzrSXi7xmhPMK.html</x:v>
      </x:c>
      <x:c r="R716" s="48" t="str">
        <x:v>2026-08-13</x:v>
      </x:c>
    </x:row>
    <x:row r="717">
      <x:c r="A717" s="48" t="str">
        <x:v>钻石时代</x:v>
      </x:c>
      <x:c r="B717" s="48" t="str">
        <x:v>钻石时代</x:v>
      </x:c>
      <x:c r="C717" s="48" t="str">
        <x:v>湖贝</x:v>
      </x:c>
      <x:c r="D717" s="56" t="n">
        <x:v>8.4</x:v>
      </x:c>
      <x:c r="E717" s="61" t="n">
        <x:v>3250</x:v>
      </x:c>
      <x:c r="F717" s="61" t="n">
        <x:v>28</x:v>
      </x:c>
      <x:c r="G717" s="61" t="n">
        <x:v>116.1</x:v>
      </x:c>
      <x:c r="H717" s="48" t="str">
        <x:v>1室0厅1</x:v>
      </x:c>
      <x:c r="I717" s="48" t="str">
        <x:v>南</x:v>
      </x:c>
      <x:c r="J717" s="48" t="str">
        <x:v>精装</x:v>
      </x:c>
      <x:c r="K717" s="48" t="str">
        <x:v>普通住宅</x:v>
      </x:c>
      <x:c r="L717" s="48" t="str">
        <x:v>是</x:v>
      </x:c>
      <x:c r="M717" s="48" t="str">
        <x:v>保留</x:v>
      </x:c>
      <x:c r="N717" s="48" t="str">
        <x:v>钻石时代|1室0厅1|28|3250|南</x:v>
      </x:c>
      <x:c r="O717" s="48"/>
      <x:c r="P717" s="48" t="str">
        <x:v>未知（未逐条补齐）</x:v>
      </x:c>
      <x:c r="Q717" s="48" t="str">
        <x:v>https://shenzhen.leyoujia.com/zf/detail/By3PnB3qM61kyezsA3MTcb.html</x:v>
      </x:c>
      <x:c r="R717" s="48" t="str">
        <x:v>2026-08-13</x:v>
      </x:c>
    </x:row>
    <x:row r="718">
      <x:c r="A718" s="48" t="str">
        <x:v>钻石时代</x:v>
      </x:c>
      <x:c r="B718" s="48" t="str">
        <x:v>钻石时代</x:v>
      </x:c>
      <x:c r="C718" s="48" t="str">
        <x:v>湖贝</x:v>
      </x:c>
      <x:c r="D718" s="56" t="n">
        <x:v>8.4</x:v>
      </x:c>
      <x:c r="E718" s="61" t="n">
        <x:v>3300</x:v>
      </x:c>
      <x:c r="F718" s="61" t="n">
        <x:v>28</x:v>
      </x:c>
      <x:c r="G718" s="61" t="n">
        <x:v>117.9</x:v>
      </x:c>
      <x:c r="H718" s="48" t="str">
        <x:v>1室0厅1</x:v>
      </x:c>
      <x:c r="I718" s="48" t="str">
        <x:v>东</x:v>
      </x:c>
      <x:c r="J718" s="48" t="str">
        <x:v>精装</x:v>
      </x:c>
      <x:c r="K718" s="48" t="str">
        <x:v>普通住宅</x:v>
      </x:c>
      <x:c r="L718" s="48" t="str">
        <x:v>是</x:v>
      </x:c>
      <x:c r="M718" s="48" t="str">
        <x:v>保留</x:v>
      </x:c>
      <x:c r="N718" s="48" t="str">
        <x:v>钻石时代|1室0厅1|28|3300|东</x:v>
      </x:c>
      <x:c r="O718" s="48"/>
      <x:c r="P718" s="48" t="str">
        <x:v>未知（未逐条补齐）</x:v>
      </x:c>
      <x:c r="Q718" s="48" t="str">
        <x:v>https://shenzhen.leyoujia.com/zf/detail/ANseT5vSJfKZnJ8QJTB95U.html</x:v>
      </x:c>
      <x:c r="R718" s="48" t="str">
        <x:v>2026-08-13</x:v>
      </x:c>
    </x:row>
    <x:row r="719">
      <x:c r="A719" s="48" t="str">
        <x:v>钻石时代</x:v>
      </x:c>
      <x:c r="B719" s="48" t="str">
        <x:v>钻石时代</x:v>
      </x:c>
      <x:c r="C719" s="48" t="str">
        <x:v>湖贝</x:v>
      </x:c>
      <x:c r="D719" s="56" t="n">
        <x:v>8.4</x:v>
      </x:c>
      <x:c r="E719" s="61" t="n">
        <x:v>3300</x:v>
      </x:c>
      <x:c r="F719" s="61" t="n">
        <x:v>27</x:v>
      </x:c>
      <x:c r="G719" s="61" t="n">
        <x:v>122.2</x:v>
      </x:c>
      <x:c r="H719" s="48" t="str">
        <x:v>1室0厅1</x:v>
      </x:c>
      <x:c r="I719" s="48" t="str">
        <x:v>西</x:v>
      </x:c>
      <x:c r="J719" s="48" t="str">
        <x:v>普装</x:v>
      </x:c>
      <x:c r="K719" s="48" t="str">
        <x:v>普通住宅</x:v>
      </x:c>
      <x:c r="L719" s="48" t="str">
        <x:v>是</x:v>
      </x:c>
      <x:c r="M719" s="48" t="str">
        <x:v>保留</x:v>
      </x:c>
      <x:c r="N719" s="48" t="str">
        <x:v>钻石时代|1室0厅1|27|3300|西</x:v>
      </x:c>
      <x:c r="O719" s="48"/>
      <x:c r="P719" s="48" t="str">
        <x:v>未知（未逐条补齐）</x:v>
      </x:c>
      <x:c r="Q719" s="48" t="str">
        <x:v>https://shenzhen.leyoujia.com/zf/detail/GHpfp2mtzChrgtxq7ktz9x.html</x:v>
      </x:c>
      <x:c r="R719" s="48" t="str">
        <x:v>2026-08-13</x:v>
      </x:c>
    </x:row>
    <x:row r="720">
      <x:c r="A720" s="48" t="str">
        <x:v>钻石时代</x:v>
      </x:c>
      <x:c r="B720" s="48" t="str">
        <x:v>钻石时代</x:v>
      </x:c>
      <x:c r="C720" s="48" t="str">
        <x:v>湖贝</x:v>
      </x:c>
      <x:c r="D720" s="56" t="n">
        <x:v>8.4</x:v>
      </x:c>
      <x:c r="E720" s="61" t="n">
        <x:v>3300</x:v>
      </x:c>
      <x:c r="F720" s="61" t="n">
        <x:v>28</x:v>
      </x:c>
      <x:c r="G720" s="61" t="n">
        <x:v>117.9</x:v>
      </x:c>
      <x:c r="H720" s="48" t="str">
        <x:v>1室0厅1</x:v>
      </x:c>
      <x:c r="I720" s="48" t="str">
        <x:v>南</x:v>
      </x:c>
      <x:c r="J720" s="48" t="str">
        <x:v>豪装</x:v>
      </x:c>
      <x:c r="K720" s="48" t="str">
        <x:v>普通住宅</x:v>
      </x:c>
      <x:c r="L720" s="48" t="str">
        <x:v>是</x:v>
      </x:c>
      <x:c r="M720" s="48" t="str">
        <x:v>保留</x:v>
      </x:c>
      <x:c r="N720" s="48" t="str">
        <x:v>钻石时代|1室0厅1|28|3300|南</x:v>
      </x:c>
      <x:c r="O720" s="48"/>
      <x:c r="P720" s="48" t="str">
        <x:v>未知（未逐条补齐）</x:v>
      </x:c>
      <x:c r="Q720" s="48" t="str">
        <x:v>https://shenzhen.leyoujia.com/zf/detail/3WvUvSc1MDhfZbWGkQ9g4W.html</x:v>
      </x:c>
      <x:c r="R720" s="48" t="str">
        <x:v>2026-08-13</x:v>
      </x:c>
    </x:row>
    <x:row r="721">
      <x:c r="A721" s="48" t="str">
        <x:v>钻石时代</x:v>
      </x:c>
      <x:c r="B721" s="48" t="str">
        <x:v>钻石时代</x:v>
      </x:c>
      <x:c r="C721" s="48" t="str">
        <x:v>湖贝</x:v>
      </x:c>
      <x:c r="D721" s="56" t="n">
        <x:v>8.4</x:v>
      </x:c>
      <x:c r="E721" s="61" t="n">
        <x:v>3300</x:v>
      </x:c>
      <x:c r="F721" s="61" t="n">
        <x:v>27.04</x:v>
      </x:c>
      <x:c r="G721" s="61" t="n">
        <x:v>122</x:v>
      </x:c>
      <x:c r="H721" s="48" t="str">
        <x:v>1室0厅1</x:v>
      </x:c>
      <x:c r="I721" s="48" t="str">
        <x:v>南</x:v>
      </x:c>
      <x:c r="J721" s="48" t="str">
        <x:v>普装</x:v>
      </x:c>
      <x:c r="K721" s="48" t="str">
        <x:v>普通住宅</x:v>
      </x:c>
      <x:c r="L721" s="48" t="str">
        <x:v>是</x:v>
      </x:c>
      <x:c r="M721" s="48" t="str">
        <x:v>保留</x:v>
      </x:c>
      <x:c r="N721" s="48" t="str">
        <x:v>钻石时代|1室0厅1|27|3300|南</x:v>
      </x:c>
      <x:c r="O721" s="48"/>
      <x:c r="P721" s="48" t="str">
        <x:v>未知（未逐条补齐）</x:v>
      </x:c>
      <x:c r="Q721" s="48" t="str">
        <x:v>https://shenzhen.leyoujia.com/zf/detail/GNxEozeg2Sr4dQ4VPxqzfk.html</x:v>
      </x:c>
      <x:c r="R721" s="48" t="str">
        <x:v>2026-08-13</x:v>
      </x:c>
    </x:row>
    <x:row r="722">
      <x:c r="A722" s="48" t="str">
        <x:v>钻石时代</x:v>
      </x:c>
      <x:c r="B722" s="48" t="str">
        <x:v>钻石时代</x:v>
      </x:c>
      <x:c r="C722" s="48" t="str">
        <x:v>湖贝</x:v>
      </x:c>
      <x:c r="D722" s="56" t="n">
        <x:v>8.4</x:v>
      </x:c>
      <x:c r="E722" s="61" t="n">
        <x:v>3300</x:v>
      </x:c>
      <x:c r="F722" s="61" t="n">
        <x:v>32</x:v>
      </x:c>
      <x:c r="G722" s="61" t="n">
        <x:v>103.1</x:v>
      </x:c>
      <x:c r="H722" s="48" t="str">
        <x:v>1室0厅1</x:v>
      </x:c>
      <x:c r="I722" s="48" t="str">
        <x:v>西</x:v>
      </x:c>
      <x:c r="J722" s="48" t="str">
        <x:v>精装</x:v>
      </x:c>
      <x:c r="K722" s="48" t="str">
        <x:v>普通住宅</x:v>
      </x:c>
      <x:c r="L722" s="48" t="str">
        <x:v>是</x:v>
      </x:c>
      <x:c r="M722" s="48" t="str">
        <x:v>保留</x:v>
      </x:c>
      <x:c r="N722" s="48" t="str">
        <x:v>钻石时代|1室0厅1|32|3300|西</x:v>
      </x:c>
      <x:c r="O722" s="48"/>
      <x:c r="P722" s="48" t="str">
        <x:v>未知（未逐条补齐）</x:v>
      </x:c>
      <x:c r="Q722" s="48" t="str">
        <x:v>https://shenzhen.leyoujia.com/zf/detail/YXhJKaYHCZghuFNqNBfx9r.html</x:v>
      </x:c>
      <x:c r="R722" s="48" t="str">
        <x:v>2026-08-13</x:v>
      </x:c>
    </x:row>
    <x:row r="723">
      <x:c r="A723" s="48" t="str">
        <x:v>钻石时代</x:v>
      </x:c>
      <x:c r="B723" s="48" t="str">
        <x:v>钻石时代</x:v>
      </x:c>
      <x:c r="C723" s="48" t="str">
        <x:v>湖贝</x:v>
      </x:c>
      <x:c r="D723" s="56" t="n">
        <x:v>8.4</x:v>
      </x:c>
      <x:c r="E723" s="61" t="n">
        <x:v>3900</x:v>
      </x:c>
      <x:c r="F723" s="61" t="n">
        <x:v>32</x:v>
      </x:c>
      <x:c r="G723" s="61" t="n">
        <x:v>121.9</x:v>
      </x:c>
      <x:c r="H723" s="48" t="str">
        <x:v>1室1厅2</x:v>
      </x:c>
      <x:c r="I723" s="48" t="str">
        <x:v>北</x:v>
      </x:c>
      <x:c r="J723" s="48" t="str">
        <x:v>精装</x:v>
      </x:c>
      <x:c r="K723" s="48" t="str">
        <x:v>普通住宅</x:v>
      </x:c>
      <x:c r="L723" s="48" t="str">
        <x:v>是</x:v>
      </x:c>
      <x:c r="M723" s="48" t="str">
        <x:v>保留</x:v>
      </x:c>
      <x:c r="N723" s="48" t="str">
        <x:v>钻石时代|1室1厅2|32|3900|北</x:v>
      </x:c>
      <x:c r="O723" s="48"/>
      <x:c r="P723" s="48" t="str">
        <x:v>未知（未逐条补齐）</x:v>
      </x:c>
      <x:c r="Q723" s="48" t="str">
        <x:v>https://shenzhen.leyoujia.com/zf/detail/Vvqxo6tsqRPwB2ahxSvBJC.html</x:v>
      </x:c>
      <x:c r="R723" s="48" t="str">
        <x:v>2026-08-13</x:v>
      </x:c>
    </x:row>
    <x:row r="724">
      <x:c r="A724" s="48" t="str">
        <x:v>钻石时代</x:v>
      </x:c>
      <x:c r="B724" s="48" t="str">
        <x:v>钻石时代</x:v>
      </x:c>
      <x:c r="C724" s="48" t="str">
        <x:v>湖贝</x:v>
      </x:c>
      <x:c r="D724" s="56" t="n">
        <x:v>8.4</x:v>
      </x:c>
      <x:c r="E724" s="61" t="n">
        <x:v>4000</x:v>
      </x:c>
      <x:c r="F724" s="61" t="n">
        <x:v>35.93</x:v>
      </x:c>
      <x:c r="G724" s="61" t="n">
        <x:v>111.3</x:v>
      </x:c>
      <x:c r="H724" s="48" t="str">
        <x:v>1室1厅1</x:v>
      </x:c>
      <x:c r="I724" s="48" t="str">
        <x:v>南</x:v>
      </x:c>
      <x:c r="J724" s="48" t="str">
        <x:v>普装</x:v>
      </x:c>
      <x:c r="K724" s="48" t="str">
        <x:v>普通住宅</x:v>
      </x:c>
      <x:c r="L724" s="48" t="str">
        <x:v>是</x:v>
      </x:c>
      <x:c r="M724" s="48" t="str">
        <x:v>保留</x:v>
      </x:c>
      <x:c r="N724" s="48" t="str">
        <x:v>钻石时代|1室1厅1|36|4000|南</x:v>
      </x:c>
      <x:c r="O724" s="48"/>
      <x:c r="P724" s="48" t="str">
        <x:v>未知（未逐条补齐）</x:v>
      </x:c>
      <x:c r="Q724" s="48" t="str">
        <x:v>https://shenzhen.leyoujia.com/zf/detail/HBkPr1jtcWt9tZ3PrYea2V.html</x:v>
      </x:c>
      <x:c r="R724" s="48" t="str">
        <x:v>2026-08-13</x:v>
      </x:c>
    </x:row>
    <x:row r="725">
      <x:c r="A725" s="48" t="str">
        <x:v>钻石时代</x:v>
      </x:c>
      <x:c r="B725" s="48" t="str">
        <x:v>钻石时代</x:v>
      </x:c>
      <x:c r="C725" s="48" t="str">
        <x:v>湖贝</x:v>
      </x:c>
      <x:c r="D725" s="56" t="n">
        <x:v>8.4</x:v>
      </x:c>
      <x:c r="E725" s="61" t="n">
        <x:v>4000</x:v>
      </x:c>
      <x:c r="F725" s="61" t="n">
        <x:v>28</x:v>
      </x:c>
      <x:c r="G725" s="61" t="n">
        <x:v>142.9</x:v>
      </x:c>
      <x:c r="H725" s="48" t="str">
        <x:v>1室1厅2</x:v>
      </x:c>
      <x:c r="I725" s="48" t="str">
        <x:v>南</x:v>
      </x:c>
      <x:c r="J725" s="48" t="str">
        <x:v>普装</x:v>
      </x:c>
      <x:c r="K725" s="48" t="str">
        <x:v>公寓</x:v>
      </x:c>
      <x:c r="L725" s="48" t="str">
        <x:v>是</x:v>
      </x:c>
      <x:c r="M725" s="48" t="str">
        <x:v>保留</x:v>
      </x:c>
      <x:c r="N725" s="48" t="str">
        <x:v>钻石时代|1室1厅2|28|4000|南</x:v>
      </x:c>
      <x:c r="O725" s="48"/>
      <x:c r="P725" s="48" t="str">
        <x:v>未知（未逐条补齐）</x:v>
      </x:c>
      <x:c r="Q725" s="48" t="str">
        <x:v>https://shenzhen.leyoujia.com/zf/detail/VrXzuSocHfjSpSuRTPbQ22.html</x:v>
      </x:c>
      <x:c r="R725" s="48" t="str">
        <x:v>2026-08-13</x:v>
      </x:c>
    </x:row>
    <x:row r="726">
      <x:c r="A726" s="48" t="str">
        <x:v>钻石时代</x:v>
      </x:c>
      <x:c r="B726" s="48" t="str">
        <x:v>钻石时代</x:v>
      </x:c>
      <x:c r="C726" s="48" t="str">
        <x:v>湖贝</x:v>
      </x:c>
      <x:c r="D726" s="56" t="n">
        <x:v>8.4</x:v>
      </x:c>
      <x:c r="E726" s="61" t="n">
        <x:v>4000</x:v>
      </x:c>
      <x:c r="F726" s="61" t="n">
        <x:v>28</x:v>
      </x:c>
      <x:c r="G726" s="61" t="n">
        <x:v>142.9</x:v>
      </x:c>
      <x:c r="H726" s="48" t="str">
        <x:v>1室1厅2</x:v>
      </x:c>
      <x:c r="I726" s="48" t="str">
        <x:v>南</x:v>
      </x:c>
      <x:c r="J726" s="48" t="str">
        <x:v>精装</x:v>
      </x:c>
      <x:c r="K726" s="48" t="str">
        <x:v>普通住宅</x:v>
      </x:c>
      <x:c r="L726" s="48" t="str">
        <x:v>否</x:v>
      </x:c>
      <x:c r="M726" s="48" t="str">
        <x:v>疑似重复挂牌</x:v>
      </x:c>
      <x:c r="N726" s="48" t="str">
        <x:v>钻石时代|1室1厅2|28|4000|南</x:v>
      </x:c>
      <x:c r="O726" s="48"/>
      <x:c r="P726" s="48" t="str">
        <x:v>未知（未逐条补齐）</x:v>
      </x:c>
      <x:c r="Q726" s="48" t="str">
        <x:v>https://shenzhen.leyoujia.com/zf/detail/G85CGKyoHWUW5H8F845msQ.html</x:v>
      </x:c>
      <x:c r="R726" s="48" t="str">
        <x:v>2026-08-13</x:v>
      </x:c>
    </x:row>
    <x:row r="727">
      <x:c r="A727" s="48" t="str">
        <x:v>钻石时代</x:v>
      </x:c>
      <x:c r="B727" s="48" t="str">
        <x:v>钻石时代</x:v>
      </x:c>
      <x:c r="C727" s="48" t="str">
        <x:v>湖贝</x:v>
      </x:c>
      <x:c r="D727" s="56" t="n">
        <x:v>8.4</x:v>
      </x:c>
      <x:c r="E727" s="61" t="n">
        <x:v>4200</x:v>
      </x:c>
      <x:c r="F727" s="61" t="n">
        <x:v>30</x:v>
      </x:c>
      <x:c r="G727" s="61" t="n">
        <x:v>140</x:v>
      </x:c>
      <x:c r="H727" s="48" t="str">
        <x:v>1室1厅1</x:v>
      </x:c>
      <x:c r="I727" s="48" t="str">
        <x:v>西</x:v>
      </x:c>
      <x:c r="J727" s="48" t="str">
        <x:v>精装</x:v>
      </x:c>
      <x:c r="K727" s="48" t="str">
        <x:v>普通住宅</x:v>
      </x:c>
      <x:c r="L727" s="48" t="str">
        <x:v>是</x:v>
      </x:c>
      <x:c r="M727" s="48" t="str">
        <x:v>保留</x:v>
      </x:c>
      <x:c r="N727" s="48" t="str">
        <x:v>钻石时代|1室1厅1|30|4200|西</x:v>
      </x:c>
      <x:c r="O727" s="48"/>
      <x:c r="P727" s="48" t="str">
        <x:v>未知（未逐条补齐）</x:v>
      </x:c>
      <x:c r="Q727" s="48" t="str">
        <x:v>https://shenzhen.leyoujia.com/zf/detail/Ky66CvarYhTr928Cc14h9f.html</x:v>
      </x:c>
      <x:c r="R727" s="48" t="str">
        <x:v>2026-08-13</x:v>
      </x:c>
    </x:row>
    <x:row r="728">
      <x:c r="A728" s="48" t="str">
        <x:v>金色都汇</x:v>
      </x:c>
      <x:c r="B728" s="48" t="str">
        <x:v>金色都汇</x:v>
      </x:c>
      <x:c r="C728" s="48" t="str">
        <x:v>湖贝</x:v>
      </x:c>
      <x:c r="D728" s="56" t="n">
        <x:v>7</x:v>
      </x:c>
      <x:c r="E728" s="61" t="n">
        <x:v>3700</x:v>
      </x:c>
      <x:c r="F728" s="61" t="n">
        <x:v>34.6</x:v>
      </x:c>
      <x:c r="G728" s="61" t="n">
        <x:v>106.9</x:v>
      </x:c>
      <x:c r="H728" s="48" t="str">
        <x:v>1室0厅1</x:v>
      </x:c>
      <x:c r="I728" s="48" t="str">
        <x:v>东北</x:v>
      </x:c>
      <x:c r="J728" s="48" t="str">
        <x:v>普装</x:v>
      </x:c>
      <x:c r="K728" s="48" t="str">
        <x:v>普通住宅</x:v>
      </x:c>
      <x:c r="L728" s="48" t="str">
        <x:v>是</x:v>
      </x:c>
      <x:c r="M728" s="48" t="str">
        <x:v>保留</x:v>
      </x:c>
      <x:c r="N728" s="48" t="str">
        <x:v>金色都汇|1室0厅1|35|3700|东北</x:v>
      </x:c>
      <x:c r="O728" s="48"/>
      <x:c r="P728" s="48" t="str">
        <x:v>未知（未逐条补齐）</x:v>
      </x:c>
      <x:c r="Q728" s="48" t="str">
        <x:v>https://shenzhen.leyoujia.com/zf/detail/yWw25nMsV1KRUxgPtpXEw.html</x:v>
      </x:c>
      <x:c r="R728" s="48" t="str">
        <x:v>2026-08-13</x:v>
      </x:c>
    </x:row>
    <x:row r="729">
      <x:c r="A729" s="48" t="str">
        <x:v>金色都汇</x:v>
      </x:c>
      <x:c r="B729" s="48" t="str">
        <x:v>金色都汇</x:v>
      </x:c>
      <x:c r="C729" s="48" t="str">
        <x:v>湖贝</x:v>
      </x:c>
      <x:c r="D729" s="56" t="n">
        <x:v>7</x:v>
      </x:c>
      <x:c r="E729" s="61" t="n">
        <x:v>3700</x:v>
      </x:c>
      <x:c r="F729" s="61" t="n">
        <x:v>25</x:v>
      </x:c>
      <x:c r="G729" s="61" t="n">
        <x:v>148</x:v>
      </x:c>
      <x:c r="H729" s="48" t="str">
        <x:v>1室0厅1</x:v>
      </x:c>
      <x:c r="I729" s="48" t="str">
        <x:v>南</x:v>
      </x:c>
      <x:c r="J729" s="48" t="str">
        <x:v>精装</x:v>
      </x:c>
      <x:c r="K729" s="48" t="str">
        <x:v>普通住宅</x:v>
      </x:c>
      <x:c r="L729" s="48" t="str">
        <x:v>是</x:v>
      </x:c>
      <x:c r="M729" s="48" t="str">
        <x:v>保留</x:v>
      </x:c>
      <x:c r="N729" s="48" t="str">
        <x:v>金色都汇|1室0厅1|25|3700|南</x:v>
      </x:c>
      <x:c r="O729" s="48"/>
      <x:c r="P729" s="48" t="str">
        <x:v>未知（未逐条补齐）</x:v>
      </x:c>
      <x:c r="Q729" s="48" t="str">
        <x:v>https://shenzhen.leyoujia.com/zf/detail/WeiLRaDqNSqnKDkDJZ3ki7.html</x:v>
      </x:c>
      <x:c r="R729" s="48" t="str">
        <x:v>2026-08-13</x:v>
      </x:c>
    </x:row>
    <x:row r="730">
      <x:c r="A730" s="48" t="str">
        <x:v>金色都汇</x:v>
      </x:c>
      <x:c r="B730" s="48" t="str">
        <x:v>金色都汇</x:v>
      </x:c>
      <x:c r="C730" s="48" t="str">
        <x:v>湖贝</x:v>
      </x:c>
      <x:c r="D730" s="56" t="n">
        <x:v>7</x:v>
      </x:c>
      <x:c r="E730" s="61" t="n">
        <x:v>4300</x:v>
      </x:c>
      <x:c r="F730" s="61" t="n">
        <x:v>44.92</x:v>
      </x:c>
      <x:c r="G730" s="61" t="n">
        <x:v>95.7</x:v>
      </x:c>
      <x:c r="H730" s="48" t="str">
        <x:v>1室1厅1</x:v>
      </x:c>
      <x:c r="I730" s="48" t="str">
        <x:v>西北</x:v>
      </x:c>
      <x:c r="J730" s="48" t="str">
        <x:v>普装</x:v>
      </x:c>
      <x:c r="K730" s="48" t="str">
        <x:v>普通住宅</x:v>
      </x:c>
      <x:c r="L730" s="48" t="str">
        <x:v>是</x:v>
      </x:c>
      <x:c r="M730" s="48" t="str">
        <x:v>保留</x:v>
      </x:c>
      <x:c r="N730" s="48" t="str">
        <x:v>金色都汇|1室1厅1|45|4300|西北</x:v>
      </x:c>
      <x:c r="O730" s="48"/>
      <x:c r="P730" s="48" t="str">
        <x:v>未知（未逐条补齐）</x:v>
      </x:c>
      <x:c r="Q730" s="48" t="str">
        <x:v>https://shenzhen.leyoujia.com/zf/detail/KzKWGXNrwLsaHG9pqXtPn6.html</x:v>
      </x:c>
      <x:c r="R730" s="48" t="str">
        <x:v>2026-08-13</x:v>
      </x:c>
    </x:row>
    <x:row r="731">
      <x:c r="A731" s="48" t="str">
        <x:v>金色都汇</x:v>
      </x:c>
      <x:c r="B731" s="48" t="str">
        <x:v>金色都汇</x:v>
      </x:c>
      <x:c r="C731" s="48" t="str">
        <x:v>湖贝</x:v>
      </x:c>
      <x:c r="D731" s="56" t="n">
        <x:v>7</x:v>
      </x:c>
      <x:c r="E731" s="61" t="n">
        <x:v>4800</x:v>
      </x:c>
      <x:c r="F731" s="61" t="n">
        <x:v>40</x:v>
      </x:c>
      <x:c r="G731" s="61" t="n">
        <x:v>120</x:v>
      </x:c>
      <x:c r="H731" s="48" t="str">
        <x:v>1室1厅1</x:v>
      </x:c>
      <x:c r="I731" s="48" t="str">
        <x:v>南</x:v>
      </x:c>
      <x:c r="J731" s="48" t="str">
        <x:v>精装</x:v>
      </x:c>
      <x:c r="K731" s="48" t="str">
        <x:v>普通住宅</x:v>
      </x:c>
      <x:c r="L731" s="48" t="str">
        <x:v>是</x:v>
      </x:c>
      <x:c r="M731" s="48" t="str">
        <x:v>保留</x:v>
      </x:c>
      <x:c r="N731" s="48" t="str">
        <x:v>金色都汇|1室1厅1|40|4800|南</x:v>
      </x:c>
      <x:c r="O731" s="48"/>
      <x:c r="P731" s="48" t="str">
        <x:v>未知（未逐条补齐）</x:v>
      </x:c>
      <x:c r="Q731" s="48" t="str">
        <x:v>https://shenzhen.leyoujia.com/zf/detail/P7w85vpSQGrkgJzbZjvyHX.html</x:v>
      </x:c>
      <x:c r="R731" s="48" t="str">
        <x:v>2026-08-13</x:v>
      </x:c>
    </x:row>
    <x:row r="732">
      <x:c r="A732" s="48" t="str">
        <x:v>高嘉花园</x:v>
      </x:c>
      <x:c r="B732" s="48" t="str">
        <x:v>高嘉花园</x:v>
      </x:c>
      <x:c r="C732" s="48" t="str">
        <x:v>湖贝</x:v>
      </x:c>
      <x:c r="D732" s="56" t="n">
        <x:v>9.1</x:v>
      </x:c>
      <x:c r="E732" s="61" t="n">
        <x:v>4800</x:v>
      </x:c>
      <x:c r="F732" s="61" t="n">
        <x:v>58</x:v>
      </x:c>
      <x:c r="G732" s="61" t="n">
        <x:v>82.8</x:v>
      </x:c>
      <x:c r="H732" s="48" t="str">
        <x:v>1室1厅1</x:v>
      </x:c>
      <x:c r="I732" s="48" t="str">
        <x:v>西</x:v>
      </x:c>
      <x:c r="J732" s="48" t="str">
        <x:v>精装</x:v>
      </x:c>
      <x:c r="K732" s="48" t="str">
        <x:v>普通住宅</x:v>
      </x:c>
      <x:c r="L732" s="48" t="str">
        <x:v>是</x:v>
      </x:c>
      <x:c r="M732" s="48" t="str">
        <x:v>保留</x:v>
      </x:c>
      <x:c r="N732" s="48" t="str">
        <x:v>高嘉花园|1室1厅1|58|4800|西</x:v>
      </x:c>
      <x:c r="O732" s="48"/>
      <x:c r="P732" s="48" t="str">
        <x:v>未知（未逐条补齐）</x:v>
      </x:c>
      <x:c r="Q732" s="48" t="str">
        <x:v>https://shenzhen.leyoujia.com/zf/detail/7camWnQUsVegaw2a5oxa1p.html</x:v>
      </x:c>
      <x:c r="R732" s="48" t="str">
        <x:v>2026-08-13</x:v>
      </x:c>
    </x:row>
    <x:row r="733">
      <x:c r="A733" s="48" t="str">
        <x:v>文星花园</x:v>
      </x:c>
      <x:c r="B733" s="48" t="str">
        <x:v>文星花园</x:v>
      </x:c>
      <x:c r="C733" s="48" t="str">
        <x:v>湖贝</x:v>
      </x:c>
      <x:c r="D733" s="56" t="n">
        <x:v>10.2</x:v>
      </x:c>
      <x:c r="E733" s="61" t="n">
        <x:v>2880</x:v>
      </x:c>
      <x:c r="F733" s="61" t="n">
        <x:v>30</x:v>
      </x:c>
      <x:c r="G733" s="61" t="n">
        <x:v>96</x:v>
      </x:c>
      <x:c r="H733" s="48" t="str">
        <x:v>1室0厅1</x:v>
      </x:c>
      <x:c r="I733" s="48" t="str">
        <x:v>南</x:v>
      </x:c>
      <x:c r="J733" s="48" t="str">
        <x:v>普装</x:v>
      </x:c>
      <x:c r="K733" s="48" t="str">
        <x:v>普通住宅</x:v>
      </x:c>
      <x:c r="L733" s="48" t="str">
        <x:v>否</x:v>
      </x:c>
      <x:c r="M733" s="48" t="str">
        <x:v>异常低价待核</x:v>
      </x:c>
      <x:c r="N733" s="48" t="str">
        <x:v>文星花园|1室0厅1|30|2880|南</x:v>
      </x:c>
      <x:c r="O733" s="48"/>
      <x:c r="P733" s="48" t="str">
        <x:v>未知（未逐条补齐）</x:v>
      </x:c>
      <x:c r="Q733" s="48" t="str">
        <x:v>https://shenzhen.leyoujia.com/zf/detail/JaUV77f5vAdekfyLxXCwzv.html</x:v>
      </x:c>
      <x:c r="R733" s="48" t="str">
        <x:v>2026-08-13</x:v>
      </x:c>
    </x:row>
    <x:row r="734">
      <x:c r="A734" s="48" t="str">
        <x:v>文星花园</x:v>
      </x:c>
      <x:c r="B734" s="48" t="str">
        <x:v>文星花园</x:v>
      </x:c>
      <x:c r="C734" s="48" t="str">
        <x:v>湖贝</x:v>
      </x:c>
      <x:c r="D734" s="56" t="n">
        <x:v>10.2</x:v>
      </x:c>
      <x:c r="E734" s="61" t="n">
        <x:v>3800</x:v>
      </x:c>
      <x:c r="F734" s="61" t="n">
        <x:v>38</x:v>
      </x:c>
      <x:c r="G734" s="61" t="n">
        <x:v>100</x:v>
      </x:c>
      <x:c r="H734" s="48" t="str">
        <x:v>1室1厅1</x:v>
      </x:c>
      <x:c r="I734" s="48" t="str">
        <x:v>南</x:v>
      </x:c>
      <x:c r="J734" s="48" t="str">
        <x:v>普装</x:v>
      </x:c>
      <x:c r="K734" s="48" t="str">
        <x:v>普通住宅</x:v>
      </x:c>
      <x:c r="L734" s="48" t="str">
        <x:v>是</x:v>
      </x:c>
      <x:c r="M734" s="48" t="str">
        <x:v>保留</x:v>
      </x:c>
      <x:c r="N734" s="48" t="str">
        <x:v>文星花园|1室1厅1|38|3800|南</x:v>
      </x:c>
      <x:c r="O734" s="48"/>
      <x:c r="P734" s="48" t="str">
        <x:v>未知（未逐条补齐）</x:v>
      </x:c>
      <x:c r="Q734" s="48" t="str">
        <x:v>https://shenzhen.leyoujia.com/zf/detail/QffKvkbr1kqdxAmvsK5ZEe.html</x:v>
      </x:c>
      <x:c r="R734" s="48" t="str">
        <x:v>2026-08-13</x:v>
      </x:c>
    </x:row>
    <x:row r="735">
      <x:c r="A735" s="48" t="str">
        <x:v>文星花园</x:v>
      </x:c>
      <x:c r="B735" s="48" t="str">
        <x:v>文星花园</x:v>
      </x:c>
      <x:c r="C735" s="48" t="str">
        <x:v>湖贝</x:v>
      </x:c>
      <x:c r="D735" s="56" t="n">
        <x:v>10.2</x:v>
      </x:c>
      <x:c r="E735" s="61" t="n">
        <x:v>3800</x:v>
      </x:c>
      <x:c r="F735" s="61" t="n">
        <x:v>41.79</x:v>
      </x:c>
      <x:c r="G735" s="61" t="n">
        <x:v>90.9</x:v>
      </x:c>
      <x:c r="H735" s="48" t="str">
        <x:v>1室1厅1</x:v>
      </x:c>
      <x:c r="I735" s="48" t="str">
        <x:v>北</x:v>
      </x:c>
      <x:c r="J735" s="48" t="str">
        <x:v>普装</x:v>
      </x:c>
      <x:c r="K735" s="48" t="str">
        <x:v>普通住宅</x:v>
      </x:c>
      <x:c r="L735" s="48" t="str">
        <x:v>是</x:v>
      </x:c>
      <x:c r="M735" s="48" t="str">
        <x:v>保留</x:v>
      </x:c>
      <x:c r="N735" s="48" t="str">
        <x:v>文星花园|1室1厅1|42|3800|北</x:v>
      </x:c>
      <x:c r="O735" s="48"/>
      <x:c r="P735" s="48" t="str">
        <x:v>未知（未逐条补齐）</x:v>
      </x:c>
      <x:c r="Q735" s="48" t="str">
        <x:v>https://shenzhen.leyoujia.com/zf/detail/Ga4yRn8kZ88YcuGBqUwy7f.html</x:v>
      </x:c>
      <x:c r="R735" s="48" t="str">
        <x:v>2026-08-13</x:v>
      </x:c>
    </x:row>
    <x:row r="736">
      <x:c r="A736" s="48" t="str">
        <x:v>文星花园</x:v>
      </x:c>
      <x:c r="B736" s="48" t="str">
        <x:v>文星花园</x:v>
      </x:c>
      <x:c r="C736" s="48" t="str">
        <x:v>湖贝</x:v>
      </x:c>
      <x:c r="D736" s="56" t="n">
        <x:v>10.2</x:v>
      </x:c>
      <x:c r="E736" s="61" t="n">
        <x:v>4300</x:v>
      </x:c>
      <x:c r="F736" s="61" t="n">
        <x:v>45</x:v>
      </x:c>
      <x:c r="G736" s="61" t="n">
        <x:v>95.6</x:v>
      </x:c>
      <x:c r="H736" s="48" t="str">
        <x:v>1室1厅1</x:v>
      </x:c>
      <x:c r="I736" s="48" t="str">
        <x:v>南</x:v>
      </x:c>
      <x:c r="J736" s="48" t="str">
        <x:v>精装</x:v>
      </x:c>
      <x:c r="K736" s="48" t="str">
        <x:v>普通住宅</x:v>
      </x:c>
      <x:c r="L736" s="48" t="str">
        <x:v>是</x:v>
      </x:c>
      <x:c r="M736" s="48" t="str">
        <x:v>保留</x:v>
      </x:c>
      <x:c r="N736" s="48" t="str">
        <x:v>文星花园|1室1厅1|45|4300|南</x:v>
      </x:c>
      <x:c r="O736" s="48"/>
      <x:c r="P736" s="48" t="str">
        <x:v>未知（未逐条补齐）</x:v>
      </x:c>
      <x:c r="Q736" s="48" t="str">
        <x:v>https://shenzhen.leyoujia.com/zf/detail/6az4F7ENfVPPZWciuVFg4Z.html</x:v>
      </x:c>
      <x:c r="R736" s="48" t="str">
        <x:v>2026-08-13</x:v>
      </x:c>
    </x:row>
    <x:row r="737">
      <x:c r="A737" s="48" t="str">
        <x:v>云景豪园</x:v>
      </x:c>
      <x:c r="B737" s="48" t="str">
        <x:v>云景豪园</x:v>
      </x:c>
      <x:c r="C737" s="48" t="str">
        <x:v>湖贝</x:v>
      </x:c>
      <x:c r="D737" s="56" t="n">
        <x:v>7.9</x:v>
      </x:c>
      <x:c r="E737" s="61" t="n">
        <x:v>4300</x:v>
      </x:c>
      <x:c r="F737" s="61" t="n">
        <x:v>45</x:v>
      </x:c>
      <x:c r="G737" s="61" t="n">
        <x:v>95.6</x:v>
      </x:c>
      <x:c r="H737" s="48" t="str">
        <x:v>1室1厅1</x:v>
      </x:c>
      <x:c r="I737" s="48" t="str">
        <x:v>东南</x:v>
      </x:c>
      <x:c r="J737" s="48" t="str">
        <x:v>普装</x:v>
      </x:c>
      <x:c r="K737" s="48" t="str">
        <x:v>普通住宅</x:v>
      </x:c>
      <x:c r="L737" s="48" t="str">
        <x:v>是</x:v>
      </x:c>
      <x:c r="M737" s="48" t="str">
        <x:v>保留</x:v>
      </x:c>
      <x:c r="N737" s="48" t="str">
        <x:v>云景豪园|1室1厅1|45|4300|东南</x:v>
      </x:c>
      <x:c r="O737" s="48"/>
      <x:c r="P737" s="48" t="str">
        <x:v>未知（未逐条补齐）</x:v>
      </x:c>
      <x:c r="Q737" s="48" t="str">
        <x:v>https://shenzhen.leyoujia.com/zf/detail/VMajAi6dcAcWxjp7kZpycq.html</x:v>
      </x:c>
      <x:c r="R737" s="48" t="str">
        <x:v>2026-08-13</x:v>
      </x:c>
    </x:row>
    <x:row r="738">
      <x:c r="A738" s="48" t="str">
        <x:v>云景豪园</x:v>
      </x:c>
      <x:c r="B738" s="48" t="str">
        <x:v>云景豪园</x:v>
      </x:c>
      <x:c r="C738" s="48" t="str">
        <x:v>湖贝</x:v>
      </x:c>
      <x:c r="D738" s="56" t="n">
        <x:v>7.9</x:v>
      </x:c>
      <x:c r="E738" s="61" t="n">
        <x:v>5000</x:v>
      </x:c>
      <x:c r="F738" s="61" t="n">
        <x:v>47</x:v>
      </x:c>
      <x:c r="G738" s="61" t="n">
        <x:v>106.4</x:v>
      </x:c>
      <x:c r="H738" s="48" t="str">
        <x:v>1室1厅1</x:v>
      </x:c>
      <x:c r="I738" s="48" t="str">
        <x:v>南</x:v>
      </x:c>
      <x:c r="J738" s="48" t="str">
        <x:v>普装</x:v>
      </x:c>
      <x:c r="K738" s="48" t="str">
        <x:v>普通住宅</x:v>
      </x:c>
      <x:c r="L738" s="48" t="str">
        <x:v>是</x:v>
      </x:c>
      <x:c r="M738" s="48" t="str">
        <x:v>保留</x:v>
      </x:c>
      <x:c r="N738" s="48" t="str">
        <x:v>云景豪园|1室1厅1|47|5000|南</x:v>
      </x:c>
      <x:c r="O738" s="48"/>
      <x:c r="P738" s="48" t="str">
        <x:v>未知（未逐条补齐）</x:v>
      </x:c>
      <x:c r="Q738" s="48" t="str">
        <x:v>https://shenzhen.leyoujia.com/zf/detail/U4xxU9aAVGtmm3Xjv85nTA.html</x:v>
      </x:c>
      <x:c r="R738" s="48" t="str">
        <x:v>2026-08-13</x:v>
      </x:c>
    </x:row>
    <x:row r="739">
      <x:c r="A739" s="48" t="str">
        <x:v>凯悦华庭</x:v>
      </x:c>
      <x:c r="B739" s="48" t="str">
        <x:v>凯悦华庭</x:v>
      </x:c>
      <x:c r="C739" s="48" t="str">
        <x:v>湖贝</x:v>
      </x:c>
      <x:c r="D739" s="56" t="n">
        <x:v>7.5</x:v>
      </x:c>
      <x:c r="E739" s="61" t="n">
        <x:v>3600</x:v>
      </x:c>
      <x:c r="F739" s="61" t="n">
        <x:v>34.81</x:v>
      </x:c>
      <x:c r="G739" s="61" t="n">
        <x:v>103.4</x:v>
      </x:c>
      <x:c r="H739" s="48" t="str">
        <x:v>1室1厅1</x:v>
      </x:c>
      <x:c r="I739" s="48" t="str">
        <x:v>南</x:v>
      </x:c>
      <x:c r="J739" s="48" t="str">
        <x:v>精装</x:v>
      </x:c>
      <x:c r="K739" s="48" t="str">
        <x:v>普通住宅</x:v>
      </x:c>
      <x:c r="L739" s="48" t="str">
        <x:v>是</x:v>
      </x:c>
      <x:c r="M739" s="48" t="str">
        <x:v>保留</x:v>
      </x:c>
      <x:c r="N739" s="48" t="str">
        <x:v>凯悦华庭|1室1厅1|35|3600|南</x:v>
      </x:c>
      <x:c r="O739" s="48"/>
      <x:c r="P739" s="48" t="str">
        <x:v>未知（未逐条补齐）</x:v>
      </x:c>
      <x:c r="Q739" s="48" t="str">
        <x:v>https://shenzhen.leyoujia.com/zf/detail/6F38RaGWFZFnjygQoC2apr.html</x:v>
      </x:c>
      <x:c r="R739" s="48" t="str">
        <x:v>2026-08-13</x:v>
      </x:c>
    </x:row>
    <x:row r="740">
      <x:c r="A740" s="48" t="str">
        <x:v>凯悦华庭</x:v>
      </x:c>
      <x:c r="B740" s="48" t="str">
        <x:v>凯悦华庭</x:v>
      </x:c>
      <x:c r="C740" s="48" t="str">
        <x:v>湖贝</x:v>
      </x:c>
      <x:c r="D740" s="56" t="n">
        <x:v>7.5</x:v>
      </x:c>
      <x:c r="E740" s="61" t="n">
        <x:v>4300</x:v>
      </x:c>
      <x:c r="F740" s="61" t="n">
        <x:v>46.05</x:v>
      </x:c>
      <x:c r="G740" s="61" t="n">
        <x:v>93.4</x:v>
      </x:c>
      <x:c r="H740" s="48" t="str">
        <x:v>1室1厅1</x:v>
      </x:c>
      <x:c r="I740" s="48" t="str">
        <x:v>南</x:v>
      </x:c>
      <x:c r="J740" s="48" t="str">
        <x:v>精装</x:v>
      </x:c>
      <x:c r="K740" s="48" t="str">
        <x:v>普通住宅</x:v>
      </x:c>
      <x:c r="L740" s="48" t="str">
        <x:v>是</x:v>
      </x:c>
      <x:c r="M740" s="48" t="str">
        <x:v>保留</x:v>
      </x:c>
      <x:c r="N740" s="48" t="str">
        <x:v>凯悦华庭|1室1厅1|46|4300|南</x:v>
      </x:c>
      <x:c r="O740" s="48"/>
      <x:c r="P740" s="48" t="str">
        <x:v>未知（未逐条补齐）</x:v>
      </x:c>
      <x:c r="Q740" s="48" t="str">
        <x:v>https://shenzhen.leyoujia.com/zf/detail/UbeAttpeoAPkWMcbJyL199.html</x:v>
      </x:c>
      <x:c r="R740" s="48" t="str">
        <x:v>2026-08-13</x:v>
      </x:c>
    </x:row>
    <x:row r="741">
      <x:c r="A741" s="48" t="str">
        <x:v>凯悦华庭</x:v>
      </x:c>
      <x:c r="B741" s="48" t="str">
        <x:v>凯悦华庭</x:v>
      </x:c>
      <x:c r="C741" s="48" t="str">
        <x:v>湖贝</x:v>
      </x:c>
      <x:c r="D741" s="56" t="n">
        <x:v>7.5</x:v>
      </x:c>
      <x:c r="E741" s="61" t="n">
        <x:v>4700</x:v>
      </x:c>
      <x:c r="F741" s="61" t="n">
        <x:v>46.05</x:v>
      </x:c>
      <x:c r="G741" s="61" t="n">
        <x:v>102.1</x:v>
      </x:c>
      <x:c r="H741" s="48" t="str">
        <x:v>1室1厅1</x:v>
      </x:c>
      <x:c r="I741" s="48" t="str">
        <x:v>南</x:v>
      </x:c>
      <x:c r="J741" s="48" t="str">
        <x:v>精装</x:v>
      </x:c>
      <x:c r="K741" s="48" t="str">
        <x:v>普通住宅</x:v>
      </x:c>
      <x:c r="L741" s="48" t="str">
        <x:v>是</x:v>
      </x:c>
      <x:c r="M741" s="48" t="str">
        <x:v>保留</x:v>
      </x:c>
      <x:c r="N741" s="48" t="str">
        <x:v>凯悦华庭|1室1厅1|46|4700|南</x:v>
      </x:c>
      <x:c r="O741" s="48"/>
      <x:c r="P741" s="48" t="str">
        <x:v>未知（未逐条补齐）</x:v>
      </x:c>
      <x:c r="Q741" s="48" t="str">
        <x:v>https://shenzhen.leyoujia.com/zf/detail/QTWaiFprmbZ58qnMMqKwAR.html</x:v>
      </x:c>
      <x:c r="R741" s="48" t="str">
        <x:v>2026-08-13</x:v>
      </x:c>
    </x:row>
    <x:row r="742">
      <x:c r="A742" s="48" t="str">
        <x:v>凯悦华庭</x:v>
      </x:c>
      <x:c r="B742" s="48" t="str">
        <x:v>凯悦华庭</x:v>
      </x:c>
      <x:c r="C742" s="48" t="str">
        <x:v>湖贝</x:v>
      </x:c>
      <x:c r="D742" s="56" t="n">
        <x:v>7.5</x:v>
      </x:c>
      <x:c r="E742" s="61" t="n">
        <x:v>5000</x:v>
      </x:c>
      <x:c r="F742" s="61" t="n">
        <x:v>46.05</x:v>
      </x:c>
      <x:c r="G742" s="61" t="n">
        <x:v>108.6</x:v>
      </x:c>
      <x:c r="H742" s="48" t="str">
        <x:v>1室1厅1</x:v>
      </x:c>
      <x:c r="I742" s="48" t="str">
        <x:v>南</x:v>
      </x:c>
      <x:c r="J742" s="48" t="str">
        <x:v>精装</x:v>
      </x:c>
      <x:c r="K742" s="48" t="str">
        <x:v>普通住宅</x:v>
      </x:c>
      <x:c r="L742" s="48" t="str">
        <x:v>是</x:v>
      </x:c>
      <x:c r="M742" s="48" t="str">
        <x:v>保留</x:v>
      </x:c>
      <x:c r="N742" s="48" t="str">
        <x:v>凯悦华庭|1室1厅1|46|5000|南</x:v>
      </x:c>
      <x:c r="O742" s="48"/>
      <x:c r="P742" s="48" t="str">
        <x:v>未知（未逐条补齐）</x:v>
      </x:c>
      <x:c r="Q742" s="48" t="str">
        <x:v>https://shenzhen.leyoujia.com/zf/detail/odf1EoKFFqzZJ9naaEG8g.html</x:v>
      </x:c>
      <x:c r="R742" s="48" t="str">
        <x:v>2026-08-13</x:v>
      </x:c>
    </x:row>
    <x:row r="743">
      <x:c r="A743" s="48" t="str">
        <x:v>高嘉大厦</x:v>
      </x:c>
      <x:c r="B743" s="48" t="str">
        <x:v>高嘉大厦</x:v>
      </x:c>
      <x:c r="C743" s="48" t="str">
        <x:v>湖贝</x:v>
      </x:c>
      <x:c r="D743" s="56" t="n">
        <x:v>9.5</x:v>
      </x:c>
      <x:c r="E743" s="61" t="n">
        <x:v>2500</x:v>
      </x:c>
      <x:c r="F743" s="61" t="n">
        <x:v>20</x:v>
      </x:c>
      <x:c r="G743" s="61" t="n">
        <x:v>125</x:v>
      </x:c>
      <x:c r="H743" s="48" t="str">
        <x:v>1室0厅1</x:v>
      </x:c>
      <x:c r="I743" s="48" t="str">
        <x:v>南</x:v>
      </x:c>
      <x:c r="J743" s="48" t="str">
        <x:v>精装</x:v>
      </x:c>
      <x:c r="K743" s="48" t="str">
        <x:v>普通住宅</x:v>
      </x:c>
      <x:c r="L743" s="48" t="str">
        <x:v>是</x:v>
      </x:c>
      <x:c r="M743" s="48" t="str">
        <x:v>保留</x:v>
      </x:c>
      <x:c r="N743" s="48" t="str">
        <x:v>高嘉大厦|1室0厅1|20|2500|南</x:v>
      </x:c>
      <x:c r="O743" s="48"/>
      <x:c r="P743" s="48" t="str">
        <x:v>未知（未逐条补齐）</x:v>
      </x:c>
      <x:c r="Q743" s="48" t="str">
        <x:v>https://shenzhen.leyoujia.com/zf/detail/8wqNtYnrgGSv3Z5srSMJv7.html</x:v>
      </x:c>
      <x:c r="R743" s="48" t="str">
        <x:v>2026-08-13</x:v>
      </x:c>
    </x:row>
    <x:row r="744">
      <x:c r="A744" s="48" t="str">
        <x:v>高嘉大厦</x:v>
      </x:c>
      <x:c r="B744" s="48" t="str">
        <x:v>高嘉大厦</x:v>
      </x:c>
      <x:c r="C744" s="48" t="str">
        <x:v>湖贝</x:v>
      </x:c>
      <x:c r="D744" s="56" t="n">
        <x:v>9.5</x:v>
      </x:c>
      <x:c r="E744" s="61" t="n">
        <x:v>3200</x:v>
      </x:c>
      <x:c r="F744" s="61" t="n">
        <x:v>20</x:v>
      </x:c>
      <x:c r="G744" s="61" t="n">
        <x:v>160</x:v>
      </x:c>
      <x:c r="H744" s="48" t="str">
        <x:v>1室0厅1</x:v>
      </x:c>
      <x:c r="I744" s="48" t="str">
        <x:v>南</x:v>
      </x:c>
      <x:c r="J744" s="48" t="str">
        <x:v>精装</x:v>
      </x:c>
      <x:c r="K744" s="48" t="str">
        <x:v>普通住宅</x:v>
      </x:c>
      <x:c r="L744" s="48" t="str">
        <x:v>是</x:v>
      </x:c>
      <x:c r="M744" s="48" t="str">
        <x:v>保留</x:v>
      </x:c>
      <x:c r="N744" s="48" t="str">
        <x:v>高嘉大厦|1室0厅1|20|3200|南</x:v>
      </x:c>
      <x:c r="O744" s="48"/>
      <x:c r="P744" s="48" t="str">
        <x:v>未知（未逐条补齐）</x:v>
      </x:c>
      <x:c r="Q744" s="48" t="str">
        <x:v>https://shenzhen.leyoujia.com/zf/detail/5h4Co9wa7H2XWjyN314DgB.html</x:v>
      </x:c>
      <x:c r="R744" s="48" t="str">
        <x:v>2026-08-13</x:v>
      </x:c>
    </x:row>
    <x:row r="745">
      <x:c r="A745" s="48" t="str">
        <x:v>高嘉大厦</x:v>
      </x:c>
      <x:c r="B745" s="48" t="str">
        <x:v>高嘉大厦</x:v>
      </x:c>
      <x:c r="C745" s="48" t="str">
        <x:v>湖贝</x:v>
      </x:c>
      <x:c r="D745" s="56" t="n">
        <x:v>9.5</x:v>
      </x:c>
      <x:c r="E745" s="61" t="n">
        <x:v>3300</x:v>
      </x:c>
      <x:c r="F745" s="61" t="n">
        <x:v>35</x:v>
      </x:c>
      <x:c r="G745" s="61" t="n">
        <x:v>94.3</x:v>
      </x:c>
      <x:c r="H745" s="48" t="str">
        <x:v>1室0厅1</x:v>
      </x:c>
      <x:c r="I745" s="48" t="str">
        <x:v>西</x:v>
      </x:c>
      <x:c r="J745" s="48" t="str">
        <x:v>普装</x:v>
      </x:c>
      <x:c r="K745" s="48" t="str">
        <x:v>普通住宅</x:v>
      </x:c>
      <x:c r="L745" s="48" t="str">
        <x:v>是</x:v>
      </x:c>
      <x:c r="M745" s="48" t="str">
        <x:v>保留</x:v>
      </x:c>
      <x:c r="N745" s="48" t="str">
        <x:v>高嘉大厦|1室0厅1|35|3300|西</x:v>
      </x:c>
      <x:c r="O745" s="48"/>
      <x:c r="P745" s="48" t="str">
        <x:v>未知（未逐条补齐）</x:v>
      </x:c>
      <x:c r="Q745" s="48" t="str">
        <x:v>https://shenzhen.leyoujia.com/zf/detail/TdrBdxwWH72CnrcTwvoVwX.html</x:v>
      </x:c>
      <x:c r="R745" s="48" t="str">
        <x:v>2026-08-13</x:v>
      </x:c>
    </x:row>
    <x:row r="746">
      <x:c r="A746" s="48" t="str">
        <x:v>文锦中学教工楼</x:v>
      </x:c>
      <x:c r="B746" s="48" t="str">
        <x:v>文锦中学教工楼</x:v>
      </x:c>
      <x:c r="C746" s="48" t="str">
        <x:v>湖贝</x:v>
      </x:c>
      <x:c r="D746" s="56" t="n">
        <x:v>12.7</x:v>
      </x:c>
      <x:c r="E746" s="61" t="n">
        <x:v>2600</x:v>
      </x:c>
      <x:c r="F746" s="61" t="n">
        <x:v>28</x:v>
      </x:c>
      <x:c r="G746" s="61" t="n">
        <x:v>92.9</x:v>
      </x:c>
      <x:c r="H746" s="48" t="str">
        <x:v>1室0厅1</x:v>
      </x:c>
      <x:c r="I746" s="48" t="str">
        <x:v>南</x:v>
      </x:c>
      <x:c r="J746" s="48" t="str">
        <x:v>普装</x:v>
      </x:c>
      <x:c r="K746" s="48" t="str">
        <x:v>普通住宅</x:v>
      </x:c>
      <x:c r="L746" s="48" t="str">
        <x:v>是</x:v>
      </x:c>
      <x:c r="M746" s="48" t="str">
        <x:v>保留</x:v>
      </x:c>
      <x:c r="N746" s="48" t="str">
        <x:v>文锦中学教工楼|1室0厅1|28|2600|南</x:v>
      </x:c>
      <x:c r="O746" s="48"/>
      <x:c r="P746" s="48" t="str">
        <x:v>未知（未逐条补齐）</x:v>
      </x:c>
      <x:c r="Q746" s="48" t="str">
        <x:v>https://shenzhen.leyoujia.com/zf/detail/MFrUtbHuCWHyULhSEv8p4A.html</x:v>
      </x:c>
      <x:c r="R746" s="48" t="str">
        <x:v>2026-08-13</x:v>
      </x:c>
    </x:row>
    <x:row r="747">
      <x:c r="A747" s="48" t="str">
        <x:v>森威大厦</x:v>
      </x:c>
      <x:c r="B747" s="48" t="str">
        <x:v>森威大厦</x:v>
      </x:c>
      <x:c r="C747" s="48" t="str">
        <x:v>湖贝</x:v>
      </x:c>
      <x:c r="D747" s="56" t="n">
        <x:v>11.2</x:v>
      </x:c>
      <x:c r="E747" s="61" t="n">
        <x:v>2480</x:v>
      </x:c>
      <x:c r="F747" s="61" t="n">
        <x:v>30</x:v>
      </x:c>
      <x:c r="G747" s="61" t="n">
        <x:v>82.7</x:v>
      </x:c>
      <x:c r="H747" s="48" t="str">
        <x:v>1室0厅1</x:v>
      </x:c>
      <x:c r="I747" s="48" t="str">
        <x:v>西</x:v>
      </x:c>
      <x:c r="J747" s="48" t="str">
        <x:v>普装</x:v>
      </x:c>
      <x:c r="K747" s="48" t="str">
        <x:v>普通住宅</x:v>
      </x:c>
      <x:c r="L747" s="48" t="str">
        <x:v>否</x:v>
      </x:c>
      <x:c r="M747" s="48" t="str">
        <x:v>异常低价待核</x:v>
      </x:c>
      <x:c r="N747" s="48" t="str">
        <x:v>森威大厦|1室0厅1|30|2480|西</x:v>
      </x:c>
      <x:c r="O747" s="48"/>
      <x:c r="P747" s="48" t="str">
        <x:v>未知（未逐条补齐）</x:v>
      </x:c>
      <x:c r="Q747" s="48" t="str">
        <x:v>https://shenzhen.leyoujia.com/zf/detail/EXyNKy9wjZHPYUJRofCeF5.html</x:v>
      </x:c>
      <x:c r="R747" s="48" t="str">
        <x:v>2026-08-13</x:v>
      </x:c>
    </x:row>
    <x:row r="748">
      <x:c r="A748" s="48" t="str">
        <x:v>森威大厦</x:v>
      </x:c>
      <x:c r="B748" s="48" t="str">
        <x:v>森威大厦</x:v>
      </x:c>
      <x:c r="C748" s="48" t="str">
        <x:v>湖贝</x:v>
      </x:c>
      <x:c r="D748" s="56" t="n">
        <x:v>11.2</x:v>
      </x:c>
      <x:c r="E748" s="61" t="n">
        <x:v>2500</x:v>
      </x:c>
      <x:c r="F748" s="61" t="n">
        <x:v>40</x:v>
      </x:c>
      <x:c r="G748" s="61" t="n">
        <x:v>62.5</x:v>
      </x:c>
      <x:c r="H748" s="48" t="str">
        <x:v>1室1厅0</x:v>
      </x:c>
      <x:c r="I748" s="48" t="str">
        <x:v>南</x:v>
      </x:c>
      <x:c r="J748" s="48" t="str">
        <x:v>精装</x:v>
      </x:c>
      <x:c r="K748" s="48" t="str">
        <x:v>公寓</x:v>
      </x:c>
      <x:c r="L748" s="48" t="str">
        <x:v>否</x:v>
      </x:c>
      <x:c r="M748" s="48" t="str">
        <x:v>异常低价待核</x:v>
      </x:c>
      <x:c r="N748" s="48" t="str">
        <x:v>森威大厦|1室1厅0|40|2500|南</x:v>
      </x:c>
      <x:c r="O748" s="48"/>
      <x:c r="P748" s="48" t="str">
        <x:v>未知（未逐条补齐）</x:v>
      </x:c>
      <x:c r="Q748" s="48" t="str">
        <x:v>https://shenzhen.leyoujia.com/zf/detail/TegeD8KNkTpgt6QDN7barw.html</x:v>
      </x:c>
      <x:c r="R748" s="48" t="str">
        <x:v>2026-08-13</x:v>
      </x:c>
    </x:row>
    <x:row r="749">
      <x:c r="A749" s="48" t="str">
        <x:v>森威大厦</x:v>
      </x:c>
      <x:c r="B749" s="48" t="str">
        <x:v>森威大厦</x:v>
      </x:c>
      <x:c r="C749" s="48" t="str">
        <x:v>湖贝</x:v>
      </x:c>
      <x:c r="D749" s="56" t="n">
        <x:v>11.2</x:v>
      </x:c>
      <x:c r="E749" s="61" t="n">
        <x:v>2500</x:v>
      </x:c>
      <x:c r="F749" s="61" t="n">
        <x:v>41</x:v>
      </x:c>
      <x:c r="G749" s="61" t="n">
        <x:v>61</x:v>
      </x:c>
      <x:c r="H749" s="48" t="str">
        <x:v>1室1厅0</x:v>
      </x:c>
      <x:c r="I749" s="48" t="str">
        <x:v>南</x:v>
      </x:c>
      <x:c r="J749" s="48" t="str">
        <x:v>精装</x:v>
      </x:c>
      <x:c r="K749" s="48" t="str">
        <x:v>公寓</x:v>
      </x:c>
      <x:c r="L749" s="48" t="str">
        <x:v>否</x:v>
      </x:c>
      <x:c r="M749" s="48" t="str">
        <x:v>异常低价待核</x:v>
      </x:c>
      <x:c r="N749" s="48" t="str">
        <x:v>森威大厦|1室1厅0|41|2500|南</x:v>
      </x:c>
      <x:c r="O749" s="48"/>
      <x:c r="P749" s="48" t="str">
        <x:v>未知（未逐条补齐）</x:v>
      </x:c>
      <x:c r="Q749" s="48" t="str">
        <x:v>https://shenzhen.leyoujia.com/zf/detail/PLBM7PawzSJdrFVDHqJBtA.html</x:v>
      </x:c>
      <x:c r="R749" s="48" t="str">
        <x:v>2026-08-13</x:v>
      </x:c>
    </x:row>
    <x:row r="750">
      <x:c r="A750" s="48" t="str">
        <x:v>森威大厦</x:v>
      </x:c>
      <x:c r="B750" s="48" t="str">
        <x:v>森威大厦</x:v>
      </x:c>
      <x:c r="C750" s="48" t="str">
        <x:v>湖贝</x:v>
      </x:c>
      <x:c r="D750" s="56" t="n">
        <x:v>11.2</x:v>
      </x:c>
      <x:c r="E750" s="61" t="n">
        <x:v>3000</x:v>
      </x:c>
      <x:c r="F750" s="61" t="n">
        <x:v>40.71</x:v>
      </x:c>
      <x:c r="G750" s="61" t="n">
        <x:v>73.7</x:v>
      </x:c>
      <x:c r="H750" s="48" t="str">
        <x:v>1室0厅1</x:v>
      </x:c>
      <x:c r="I750" s="48" t="str">
        <x:v>西北</x:v>
      </x:c>
      <x:c r="J750" s="48" t="str">
        <x:v>精装</x:v>
      </x:c>
      <x:c r="K750" s="48" t="str">
        <x:v>公寓</x:v>
      </x:c>
      <x:c r="L750" s="48" t="str">
        <x:v>是</x:v>
      </x:c>
      <x:c r="M750" s="48" t="str">
        <x:v>保留</x:v>
      </x:c>
      <x:c r="N750" s="48" t="str">
        <x:v>森威大厦|1室0厅1|41|3000|西北</x:v>
      </x:c>
      <x:c r="O750" s="48"/>
      <x:c r="P750" s="48" t="str">
        <x:v>未知（未逐条补齐）</x:v>
      </x:c>
      <x:c r="Q750" s="48" t="str">
        <x:v>https://shenzhen.leyoujia.com/zf/detail/SoJDneVGZcAWfcccAosCKJ.html</x:v>
      </x:c>
      <x:c r="R750" s="48" t="str">
        <x:v>2026-08-13</x:v>
      </x:c>
    </x:row>
    <x:row r="751">
      <x:c r="A751" s="48" t="str">
        <x:v>森威大厦</x:v>
      </x:c>
      <x:c r="B751" s="48" t="str">
        <x:v>森威大厦</x:v>
      </x:c>
      <x:c r="C751" s="48" t="str">
        <x:v>湖贝</x:v>
      </x:c>
      <x:c r="D751" s="56" t="n">
        <x:v>11.2</x:v>
      </x:c>
      <x:c r="E751" s="61" t="n">
        <x:v>3000</x:v>
      </x:c>
      <x:c r="F751" s="61" t="n">
        <x:v>41</x:v>
      </x:c>
      <x:c r="G751" s="61" t="n">
        <x:v>73.2</x:v>
      </x:c>
      <x:c r="H751" s="48" t="str">
        <x:v>1室1厅0</x:v>
      </x:c>
      <x:c r="I751" s="48" t="str">
        <x:v>东</x:v>
      </x:c>
      <x:c r="J751" s="48" t="str">
        <x:v>精装</x:v>
      </x:c>
      <x:c r="K751" s="48" t="str">
        <x:v>公寓</x:v>
      </x:c>
      <x:c r="L751" s="48" t="str">
        <x:v>是</x:v>
      </x:c>
      <x:c r="M751" s="48" t="str">
        <x:v>保留</x:v>
      </x:c>
      <x:c r="N751" s="48" t="str">
        <x:v>森威大厦|1室1厅0|41|3000|东</x:v>
      </x:c>
      <x:c r="O751" s="48"/>
      <x:c r="P751" s="48" t="str">
        <x:v>未知（未逐条补齐）</x:v>
      </x:c>
      <x:c r="Q751" s="48" t="str">
        <x:v>https://shenzhen.leyoujia.com/zf/detail/2NWtwanMBKjD9AaoXTaWYs.html</x:v>
      </x:c>
      <x:c r="R751" s="48" t="str">
        <x:v>2026-08-13</x:v>
      </x:c>
    </x:row>
    <x:row r="752">
      <x:c r="A752" s="48" t="str">
        <x:v>森威大厦</x:v>
      </x:c>
      <x:c r="B752" s="48" t="str">
        <x:v>森威大厦</x:v>
      </x:c>
      <x:c r="C752" s="48" t="str">
        <x:v>湖贝</x:v>
      </x:c>
      <x:c r="D752" s="56" t="n">
        <x:v>11.2</x:v>
      </x:c>
      <x:c r="E752" s="61" t="n">
        <x:v>3500</x:v>
      </x:c>
      <x:c r="F752" s="61" t="n">
        <x:v>45</x:v>
      </x:c>
      <x:c r="G752" s="61" t="n">
        <x:v>77.8</x:v>
      </x:c>
      <x:c r="H752" s="48" t="str">
        <x:v>1室1厅1</x:v>
      </x:c>
      <x:c r="I752" s="48" t="str">
        <x:v>东北</x:v>
      </x:c>
      <x:c r="J752" s="48" t="str">
        <x:v>普装</x:v>
      </x:c>
      <x:c r="K752" s="48" t="str">
        <x:v>公寓</x:v>
      </x:c>
      <x:c r="L752" s="48" t="str">
        <x:v>是</x:v>
      </x:c>
      <x:c r="M752" s="48" t="str">
        <x:v>保留</x:v>
      </x:c>
      <x:c r="N752" s="48" t="str">
        <x:v>森威大厦|1室1厅1|45|3500|东北</x:v>
      </x:c>
      <x:c r="O752" s="48"/>
      <x:c r="P752" s="48" t="str">
        <x:v>未知（未逐条补齐）</x:v>
      </x:c>
      <x:c r="Q752" s="48" t="str">
        <x:v>https://shenzhen.leyoujia.com/zf/detail/5y2V8ttZc6pBBz2hx6hkEy.html</x:v>
      </x:c>
      <x:c r="R752" s="48" t="str">
        <x:v>2026-08-13</x:v>
      </x:c>
    </x:row>
    <x:row r="753">
      <x:c r="A753" s="48" t="str">
        <x:v>森威大厦</x:v>
      </x:c>
      <x:c r="B753" s="48" t="str">
        <x:v>森威大厦</x:v>
      </x:c>
      <x:c r="C753" s="48" t="str">
        <x:v>湖贝</x:v>
      </x:c>
      <x:c r="D753" s="56" t="n">
        <x:v>11.2</x:v>
      </x:c>
      <x:c r="E753" s="61" t="n">
        <x:v>3780</x:v>
      </x:c>
      <x:c r="F753" s="61" t="n">
        <x:v>40</x:v>
      </x:c>
      <x:c r="G753" s="61" t="n">
        <x:v>94.5</x:v>
      </x:c>
      <x:c r="H753" s="48" t="str">
        <x:v>1室0厅1</x:v>
      </x:c>
      <x:c r="I753" s="48" t="str">
        <x:v>西</x:v>
      </x:c>
      <x:c r="J753" s="48" t="str">
        <x:v>普装</x:v>
      </x:c>
      <x:c r="K753" s="48" t="str">
        <x:v>公寓</x:v>
      </x:c>
      <x:c r="L753" s="48" t="str">
        <x:v>是</x:v>
      </x:c>
      <x:c r="M753" s="48" t="str">
        <x:v>保留</x:v>
      </x:c>
      <x:c r="N753" s="48" t="str">
        <x:v>森威大厦|1室0厅1|40|3780|西</x:v>
      </x:c>
      <x:c r="O753" s="48"/>
      <x:c r="P753" s="48" t="str">
        <x:v>未知（未逐条补齐）</x:v>
      </x:c>
      <x:c r="Q753" s="48" t="str">
        <x:v>https://shenzhen.leyoujia.com/zf/detail/KHHuBsSTR15gjGyceuzuDV.html</x:v>
      </x:c>
      <x:c r="R753" s="48" t="str">
        <x:v>2026-08-13</x:v>
      </x:c>
    </x:row>
    <x:row r="754">
      <x:c r="A754" s="48" t="str">
        <x:v>森威大厦</x:v>
      </x:c>
      <x:c r="B754" s="48" t="str">
        <x:v>森威大厦</x:v>
      </x:c>
      <x:c r="C754" s="48" t="str">
        <x:v>湖贝</x:v>
      </x:c>
      <x:c r="D754" s="56" t="n">
        <x:v>11.2</x:v>
      </x:c>
      <x:c r="E754" s="61" t="n">
        <x:v>3880</x:v>
      </x:c>
      <x:c r="F754" s="61" t="n">
        <x:v>40</x:v>
      </x:c>
      <x:c r="G754" s="61" t="n">
        <x:v>97</x:v>
      </x:c>
      <x:c r="H754" s="48" t="str">
        <x:v>1室0厅1</x:v>
      </x:c>
      <x:c r="I754" s="48" t="str">
        <x:v>西</x:v>
      </x:c>
      <x:c r="J754" s="48" t="str">
        <x:v>普装</x:v>
      </x:c>
      <x:c r="K754" s="48" t="str">
        <x:v>公寓</x:v>
      </x:c>
      <x:c r="L754" s="48" t="str">
        <x:v>是</x:v>
      </x:c>
      <x:c r="M754" s="48" t="str">
        <x:v>保留</x:v>
      </x:c>
      <x:c r="N754" s="48" t="str">
        <x:v>森威大厦|1室0厅1|40|3880|西</x:v>
      </x:c>
      <x:c r="O754" s="48"/>
      <x:c r="P754" s="48" t="str">
        <x:v>未知（未逐条补齐）</x:v>
      </x:c>
      <x:c r="Q754" s="48" t="str">
        <x:v>https://shenzhen.leyoujia.com/zf/detail/K14ru2jtNEcDZTN5Quedir.html</x:v>
      </x:c>
      <x:c r="R754" s="48" t="str">
        <x:v>2026-08-13</x:v>
      </x:c>
    </x:row>
    <x:row r="755">
      <x:c r="A755" s="48" t="str">
        <x:v>森威大厦</x:v>
      </x:c>
      <x:c r="B755" s="48" t="str">
        <x:v>森威大厦</x:v>
      </x:c>
      <x:c r="C755" s="48" t="str">
        <x:v>湖贝</x:v>
      </x:c>
      <x:c r="D755" s="56" t="n">
        <x:v>11.2</x:v>
      </x:c>
      <x:c r="E755" s="61" t="n">
        <x:v>3900</x:v>
      </x:c>
      <x:c r="F755" s="61" t="n">
        <x:v>40</x:v>
      </x:c>
      <x:c r="G755" s="61" t="n">
        <x:v>97.5</x:v>
      </x:c>
      <x:c r="H755" s="48" t="str">
        <x:v>1室0厅1</x:v>
      </x:c>
      <x:c r="I755" s="48" t="str">
        <x:v>南</x:v>
      </x:c>
      <x:c r="J755" s="48" t="str">
        <x:v>普装</x:v>
      </x:c>
      <x:c r="K755" s="48" t="str">
        <x:v>普通住宅</x:v>
      </x:c>
      <x:c r="L755" s="48" t="str">
        <x:v>是</x:v>
      </x:c>
      <x:c r="M755" s="48" t="str">
        <x:v>保留</x:v>
      </x:c>
      <x:c r="N755" s="48" t="str">
        <x:v>森威大厦|1室0厅1|40|3900|南</x:v>
      </x:c>
      <x:c r="O755" s="48"/>
      <x:c r="P755" s="48" t="str">
        <x:v>未知（未逐条补齐）</x:v>
      </x:c>
      <x:c r="Q755" s="48" t="str">
        <x:v>https://shenzhen.leyoujia.com/zf/detail/VKxvKcLJ1R98XGn1Yp1ESf.html</x:v>
      </x:c>
      <x:c r="R755" s="48" t="str">
        <x:v>2026-08-13</x:v>
      </x:c>
    </x:row>
    <x:row r="756">
      <x:c r="A756" s="48" t="str">
        <x:v>森威大厦</x:v>
      </x:c>
      <x:c r="B756" s="48" t="str">
        <x:v>森威大厦</x:v>
      </x:c>
      <x:c r="C756" s="48" t="str">
        <x:v>湖贝</x:v>
      </x:c>
      <x:c r="D756" s="56" t="n">
        <x:v>11.2</x:v>
      </x:c>
      <x:c r="E756" s="61" t="n">
        <x:v>3980</x:v>
      </x:c>
      <x:c r="F756" s="61" t="n">
        <x:v>40</x:v>
      </x:c>
      <x:c r="G756" s="61" t="n">
        <x:v>99.5</x:v>
      </x:c>
      <x:c r="H756" s="48" t="str">
        <x:v>1室0厅1</x:v>
      </x:c>
      <x:c r="I756" s="48" t="str">
        <x:v>北</x:v>
      </x:c>
      <x:c r="J756" s="48" t="str">
        <x:v>精装</x:v>
      </x:c>
      <x:c r="K756" s="48" t="str">
        <x:v>公寓</x:v>
      </x:c>
      <x:c r="L756" s="48" t="str">
        <x:v>是</x:v>
      </x:c>
      <x:c r="M756" s="48" t="str">
        <x:v>保留</x:v>
      </x:c>
      <x:c r="N756" s="48" t="str">
        <x:v>森威大厦|1室0厅1|40|3980|北</x:v>
      </x:c>
      <x:c r="O756" s="48"/>
      <x:c r="P756" s="48" t="str">
        <x:v>未知（未逐条补齐）</x:v>
      </x:c>
      <x:c r="Q756" s="48" t="str">
        <x:v>https://shenzhen.leyoujia.com/zf/detail/AhaNNyMbZfvj4wZD9sWv8.html</x:v>
      </x:c>
      <x:c r="R756" s="48" t="str">
        <x:v>2026-08-13</x:v>
      </x:c>
    </x:row>
    <x:row r="757">
      <x:c r="A757" s="48" t="str">
        <x:v>森威大厦</x:v>
      </x:c>
      <x:c r="B757" s="48" t="str">
        <x:v>森威大厦</x:v>
      </x:c>
      <x:c r="C757" s="48" t="str">
        <x:v>湖贝</x:v>
      </x:c>
      <x:c r="D757" s="56" t="n">
        <x:v>11.2</x:v>
      </x:c>
      <x:c r="E757" s="61" t="n">
        <x:v>4000</x:v>
      </x:c>
      <x:c r="F757" s="61" t="n">
        <x:v>40</x:v>
      </x:c>
      <x:c r="G757" s="61" t="n">
        <x:v>100</x:v>
      </x:c>
      <x:c r="H757" s="48" t="str">
        <x:v>1室1厅1</x:v>
      </x:c>
      <x:c r="I757" s="48" t="str">
        <x:v>北</x:v>
      </x:c>
      <x:c r="J757" s="48" t="str">
        <x:v>精装</x:v>
      </x:c>
      <x:c r="K757" s="48" t="str">
        <x:v>公寓</x:v>
      </x:c>
      <x:c r="L757" s="48" t="str">
        <x:v>是</x:v>
      </x:c>
      <x:c r="M757" s="48" t="str">
        <x:v>保留</x:v>
      </x:c>
      <x:c r="N757" s="48" t="str">
        <x:v>森威大厦|1室1厅1|40|4000|北</x:v>
      </x:c>
      <x:c r="O757" s="48"/>
      <x:c r="P757" s="48" t="str">
        <x:v>未知（未逐条补齐）</x:v>
      </x:c>
      <x:c r="Q757" s="48" t="str">
        <x:v>https://shenzhen.leyoujia.com/zf/detail/HTQRmY55ZY7AFURpBppogg.html</x:v>
      </x:c>
      <x:c r="R757" s="48" t="str">
        <x:v>2026-08-13</x:v>
      </x:c>
    </x:row>
    <x:row r="758">
      <x:c r="A758" s="48" t="str">
        <x:v>森威大厦</x:v>
      </x:c>
      <x:c r="B758" s="48" t="str">
        <x:v>森威大厦</x:v>
      </x:c>
      <x:c r="C758" s="48" t="str">
        <x:v>湖贝</x:v>
      </x:c>
      <x:c r="D758" s="56" t="n">
        <x:v>11.2</x:v>
      </x:c>
      <x:c r="E758" s="61" t="n">
        <x:v>4180</x:v>
      </x:c>
      <x:c r="F758" s="61" t="n">
        <x:v>65</x:v>
      </x:c>
      <x:c r="G758" s="61" t="n">
        <x:v>64.3</x:v>
      </x:c>
      <x:c r="H758" s="48" t="str">
        <x:v>1室1厅1</x:v>
      </x:c>
      <x:c r="I758" s="48" t="str">
        <x:v>北</x:v>
      </x:c>
      <x:c r="J758" s="48" t="str">
        <x:v>普装</x:v>
      </x:c>
      <x:c r="K758" s="48" t="str">
        <x:v>公寓</x:v>
      </x:c>
      <x:c r="L758" s="48" t="str">
        <x:v>是</x:v>
      </x:c>
      <x:c r="M758" s="48" t="str">
        <x:v>保留</x:v>
      </x:c>
      <x:c r="N758" s="48" t="str">
        <x:v>森威大厦|1室1厅1|65|4180|北</x:v>
      </x:c>
      <x:c r="O758" s="48"/>
      <x:c r="P758" s="48" t="str">
        <x:v>未知（未逐条补齐）</x:v>
      </x:c>
      <x:c r="Q758" s="48" t="str">
        <x:v>https://shenzhen.leyoujia.com/zf/detail/NYGKTkaWNxANXAMs1LeVJt.html</x:v>
      </x:c>
      <x:c r="R758" s="48" t="str">
        <x:v>2026-08-13</x:v>
      </x:c>
    </x:row>
    <x:row r="759">
      <x:c r="A759" s="48" t="str">
        <x:v>森威大厦</x:v>
      </x:c>
      <x:c r="B759" s="48" t="str">
        <x:v>森威大厦</x:v>
      </x:c>
      <x:c r="C759" s="48" t="str">
        <x:v>湖贝</x:v>
      </x:c>
      <x:c r="D759" s="56" t="n">
        <x:v>11.2</x:v>
      </x:c>
      <x:c r="E759" s="61" t="n">
        <x:v>4200</x:v>
      </x:c>
      <x:c r="F759" s="61" t="n">
        <x:v>65</x:v>
      </x:c>
      <x:c r="G759" s="61" t="n">
        <x:v>64.6</x:v>
      </x:c>
      <x:c r="H759" s="48" t="str">
        <x:v>1室1厅1</x:v>
      </x:c>
      <x:c r="I759" s="48" t="str">
        <x:v>南</x:v>
      </x:c>
      <x:c r="J759" s="48" t="str">
        <x:v>待核</x:v>
      </x:c>
      <x:c r="K759" s="48" t="str">
        <x:v>普通住宅</x:v>
      </x:c>
      <x:c r="L759" s="48" t="str">
        <x:v>是</x:v>
      </x:c>
      <x:c r="M759" s="48" t="str">
        <x:v>保留</x:v>
      </x:c>
      <x:c r="N759" s="48" t="str">
        <x:v>森威大厦|1室1厅1|65|4200|南</x:v>
      </x:c>
      <x:c r="O759" s="48"/>
      <x:c r="P759" s="48" t="str">
        <x:v>未知（未逐条补齐）</x:v>
      </x:c>
      <x:c r="Q759" s="48" t="str">
        <x:v>https://shenzhen.leyoujia.com/zf/detail/5H7hjPjKULTfb1TkBWKnhy.html</x:v>
      </x:c>
      <x:c r="R759" s="48" t="str">
        <x:v>2026-08-13</x:v>
      </x:c>
    </x:row>
    <x:row r="760">
      <x:c r="A760" s="48" t="str">
        <x:v>森威大厦</x:v>
      </x:c>
      <x:c r="B760" s="48" t="str">
        <x:v>森威大厦</x:v>
      </x:c>
      <x:c r="C760" s="48" t="str">
        <x:v>湖贝</x:v>
      </x:c>
      <x:c r="D760" s="56" t="n">
        <x:v>11.2</x:v>
      </x:c>
      <x:c r="E760" s="61" t="n">
        <x:v>4680</x:v>
      </x:c>
      <x:c r="F760" s="61" t="n">
        <x:v>40</x:v>
      </x:c>
      <x:c r="G760" s="61" t="n">
        <x:v>117</x:v>
      </x:c>
      <x:c r="H760" s="48" t="str">
        <x:v>1室0厅1</x:v>
      </x:c>
      <x:c r="I760" s="48" t="str">
        <x:v>西</x:v>
      </x:c>
      <x:c r="J760" s="48" t="str">
        <x:v>精装</x:v>
      </x:c>
      <x:c r="K760" s="48" t="str">
        <x:v>公寓</x:v>
      </x:c>
      <x:c r="L760" s="48" t="str">
        <x:v>是</x:v>
      </x:c>
      <x:c r="M760" s="48" t="str">
        <x:v>保留</x:v>
      </x:c>
      <x:c r="N760" s="48" t="str">
        <x:v>森威大厦|1室0厅1|40|4680|西</x:v>
      </x:c>
      <x:c r="O760" s="48"/>
      <x:c r="P760" s="48" t="str">
        <x:v>未知（未逐条补齐）</x:v>
      </x:c>
      <x:c r="Q760" s="48" t="str">
        <x:v>https://shenzhen.leyoujia.com/zf/detail/Xr93x5iPnFpHLhsg6rHuZG.html</x:v>
      </x:c>
      <x:c r="R760" s="48" t="str">
        <x:v>2026-08-13</x:v>
      </x:c>
    </x:row>
    <x:row r="761">
      <x:c r="A761" s="48" t="str">
        <x:v>森威大厦</x:v>
      </x:c>
      <x:c r="B761" s="48" t="str">
        <x:v>森威大厦</x:v>
      </x:c>
      <x:c r="C761" s="48" t="str">
        <x:v>湖贝</x:v>
      </x:c>
      <x:c r="D761" s="56" t="n">
        <x:v>11.2</x:v>
      </x:c>
      <x:c r="E761" s="61" t="n">
        <x:v>4780</x:v>
      </x:c>
      <x:c r="F761" s="61" t="n">
        <x:v>40</x:v>
      </x:c>
      <x:c r="G761" s="61" t="n">
        <x:v>119.5</x:v>
      </x:c>
      <x:c r="H761" s="48" t="str">
        <x:v>1室0厅1</x:v>
      </x:c>
      <x:c r="I761" s="48" t="str">
        <x:v>西</x:v>
      </x:c>
      <x:c r="J761" s="48" t="str">
        <x:v>精装</x:v>
      </x:c>
      <x:c r="K761" s="48" t="str">
        <x:v>公寓</x:v>
      </x:c>
      <x:c r="L761" s="48" t="str">
        <x:v>是</x:v>
      </x:c>
      <x:c r="M761" s="48" t="str">
        <x:v>保留</x:v>
      </x:c>
      <x:c r="N761" s="48" t="str">
        <x:v>森威大厦|1室0厅1|40|4780|西</x:v>
      </x:c>
      <x:c r="O761" s="48"/>
      <x:c r="P761" s="48" t="str">
        <x:v>未知（未逐条补齐）</x:v>
      </x:c>
      <x:c r="Q761" s="48" t="str">
        <x:v>https://shenzhen.leyoujia.com/zf/detail/2WBkh9tS5KQZW9uzQ4wsAp.html</x:v>
      </x:c>
      <x:c r="R761" s="48" t="str">
        <x:v>2026-08-13</x:v>
      </x:c>
    </x:row>
    <x:row r="762">
      <x:c r="A762" s="48" t="str">
        <x:v>阳光新干线家园</x:v>
      </x:c>
      <x:c r="B762" s="48" t="str">
        <x:v>阳光新干线家园</x:v>
      </x:c>
      <x:c r="C762" s="48" t="str">
        <x:v>湖贝</x:v>
      </x:c>
      <x:c r="D762" s="56" t="n">
        <x:v>14.9</x:v>
      </x:c>
      <x:c r="E762" s="61" t="n">
        <x:v>3800</x:v>
      </x:c>
      <x:c r="F762" s="61" t="n">
        <x:v>39.05</x:v>
      </x:c>
      <x:c r="G762" s="61" t="n">
        <x:v>97.3</x:v>
      </x:c>
      <x:c r="H762" s="48" t="str">
        <x:v>1室1厅1</x:v>
      </x:c>
      <x:c r="I762" s="48" t="str">
        <x:v>西北</x:v>
      </x:c>
      <x:c r="J762" s="48" t="str">
        <x:v>精装</x:v>
      </x:c>
      <x:c r="K762" s="48" t="str">
        <x:v>普通住宅</x:v>
      </x:c>
      <x:c r="L762" s="48" t="str">
        <x:v>是</x:v>
      </x:c>
      <x:c r="M762" s="48" t="str">
        <x:v>保留</x:v>
      </x:c>
      <x:c r="N762" s="48" t="str">
        <x:v>阳光新干线家园|1室1厅1|39|3800|西北</x:v>
      </x:c>
      <x:c r="O762" s="48"/>
      <x:c r="P762" s="48" t="str">
        <x:v>未知（未逐条补齐）</x:v>
      </x:c>
      <x:c r="Q762" s="48" t="str">
        <x:v>https://shenzhen.leyoujia.com/zf/detail/YS7WNQxRa9SnZS2YTsbo6n.html</x:v>
      </x:c>
      <x:c r="R762" s="48" t="str">
        <x:v>2026-08-13</x:v>
      </x:c>
    </x:row>
    <x:row r="763">
      <x:c r="A763" s="48" t="str">
        <x:v>阳光新干线家园</x:v>
      </x:c>
      <x:c r="B763" s="48" t="str">
        <x:v>阳光新干线家园</x:v>
      </x:c>
      <x:c r="C763" s="48" t="str">
        <x:v>湖贝</x:v>
      </x:c>
      <x:c r="D763" s="56" t="n">
        <x:v>14.9</x:v>
      </x:c>
      <x:c r="E763" s="61" t="n">
        <x:v>4200</x:v>
      </x:c>
      <x:c r="F763" s="61" t="n">
        <x:v>39.19</x:v>
      </x:c>
      <x:c r="G763" s="61" t="n">
        <x:v>107.2</x:v>
      </x:c>
      <x:c r="H763" s="48" t="str">
        <x:v>1室1厅1</x:v>
      </x:c>
      <x:c r="I763" s="48" t="str">
        <x:v>西北</x:v>
      </x:c>
      <x:c r="J763" s="48" t="str">
        <x:v>精装</x:v>
      </x:c>
      <x:c r="K763" s="48" t="str">
        <x:v>普通住宅</x:v>
      </x:c>
      <x:c r="L763" s="48" t="str">
        <x:v>是</x:v>
      </x:c>
      <x:c r="M763" s="48" t="str">
        <x:v>保留</x:v>
      </x:c>
      <x:c r="N763" s="48" t="str">
        <x:v>阳光新干线家园|1室1厅1|39|4200|西北</x:v>
      </x:c>
      <x:c r="O763" s="48"/>
      <x:c r="P763" s="48" t="str">
        <x:v>未知（未逐条补齐）</x:v>
      </x:c>
      <x:c r="Q763" s="48" t="str">
        <x:v>https://shenzhen.leyoujia.com/zf/detail/G1XK6xH6fQiy7iD8M8LfNp.html</x:v>
      </x:c>
      <x:c r="R763" s="48" t="str">
        <x:v>2026-08-13</x:v>
      </x:c>
    </x:row>
    <x:row r="764">
      <x:c r="A764" s="48" t="str">
        <x:v>阳光新干线家园</x:v>
      </x:c>
      <x:c r="B764" s="48" t="str">
        <x:v>阳光新干线家园</x:v>
      </x:c>
      <x:c r="C764" s="48" t="str">
        <x:v>湖贝</x:v>
      </x:c>
      <x:c r="D764" s="56" t="n">
        <x:v>14.9</x:v>
      </x:c>
      <x:c r="E764" s="61" t="n">
        <x:v>4500</x:v>
      </x:c>
      <x:c r="F764" s="61" t="n">
        <x:v>39.05</x:v>
      </x:c>
      <x:c r="G764" s="61" t="n">
        <x:v>115.2</x:v>
      </x:c>
      <x:c r="H764" s="48" t="str">
        <x:v>1室1厅1</x:v>
      </x:c>
      <x:c r="I764" s="48" t="str">
        <x:v>西北</x:v>
      </x:c>
      <x:c r="J764" s="48" t="str">
        <x:v>精装</x:v>
      </x:c>
      <x:c r="K764" s="48" t="str">
        <x:v>普通住宅</x:v>
      </x:c>
      <x:c r="L764" s="48" t="str">
        <x:v>是</x:v>
      </x:c>
      <x:c r="M764" s="48" t="str">
        <x:v>保留</x:v>
      </x:c>
      <x:c r="N764" s="48" t="str">
        <x:v>阳光新干线家园|1室1厅1|39|4500|西北</x:v>
      </x:c>
      <x:c r="O764" s="48"/>
      <x:c r="P764" s="48" t="str">
        <x:v>未知（未逐条补齐）</x:v>
      </x:c>
      <x:c r="Q764" s="48" t="str">
        <x:v>https://shenzhen.leyoujia.com/zf/detail/J43H3xM1kwnUNRcVfQzcUA.html</x:v>
      </x:c>
      <x:c r="R764" s="48" t="str">
        <x:v>2026-08-13</x:v>
      </x:c>
    </x:row>
    <x:row r="765">
      <x:c r="A765" s="48" t="str">
        <x:v>阳光新干线家园</x:v>
      </x:c>
      <x:c r="B765" s="48" t="str">
        <x:v>阳光新干线家园</x:v>
      </x:c>
      <x:c r="C765" s="48" t="str">
        <x:v>湖贝</x:v>
      </x:c>
      <x:c r="D765" s="56" t="n">
        <x:v>14.9</x:v>
      </x:c>
      <x:c r="E765" s="61" t="n">
        <x:v>4600</x:v>
      </x:c>
      <x:c r="F765" s="61" t="n">
        <x:v>38.67</x:v>
      </x:c>
      <x:c r="G765" s="61" t="n">
        <x:v>119</x:v>
      </x:c>
      <x:c r="H765" s="48" t="str">
        <x:v>1室1厅1</x:v>
      </x:c>
      <x:c r="I765" s="48" t="str">
        <x:v>东</x:v>
      </x:c>
      <x:c r="J765" s="48" t="str">
        <x:v>精装</x:v>
      </x:c>
      <x:c r="K765" s="48" t="str">
        <x:v>普通住宅</x:v>
      </x:c>
      <x:c r="L765" s="48" t="str">
        <x:v>是</x:v>
      </x:c>
      <x:c r="M765" s="48" t="str">
        <x:v>保留</x:v>
      </x:c>
      <x:c r="N765" s="48" t="str">
        <x:v>阳光新干线家园|1室1厅1|39|4600|东</x:v>
      </x:c>
      <x:c r="O765" s="48"/>
      <x:c r="P765" s="48" t="str">
        <x:v>未知（未逐条补齐）</x:v>
      </x:c>
      <x:c r="Q765" s="48" t="str">
        <x:v>https://shenzhen.leyoujia.com/zf/detail/VuTJUz2szpRCt4s4NW8T3a.html</x:v>
      </x:c>
      <x:c r="R765" s="48" t="str">
        <x:v>2026-08-13</x:v>
      </x:c>
    </x:row>
    <x:row r="766">
      <x:c r="A766" s="48" t="str">
        <x:v>阳光新干线家园</x:v>
      </x:c>
      <x:c r="B766" s="48" t="str">
        <x:v>阳光新干线家园</x:v>
      </x:c>
      <x:c r="C766" s="48" t="str">
        <x:v>湖贝</x:v>
      </x:c>
      <x:c r="D766" s="56" t="n">
        <x:v>14.9</x:v>
      </x:c>
      <x:c r="E766" s="61" t="n">
        <x:v>4800</x:v>
      </x:c>
      <x:c r="F766" s="61" t="n">
        <x:v>39.27</x:v>
      </x:c>
      <x:c r="G766" s="61" t="n">
        <x:v>122.2</x:v>
      </x:c>
      <x:c r="H766" s="48" t="str">
        <x:v>1室1厅1</x:v>
      </x:c>
      <x:c r="I766" s="48" t="str">
        <x:v>西北</x:v>
      </x:c>
      <x:c r="J766" s="48" t="str">
        <x:v>普装</x:v>
      </x:c>
      <x:c r="K766" s="48" t="str">
        <x:v>普通住宅</x:v>
      </x:c>
      <x:c r="L766" s="48" t="str">
        <x:v>是</x:v>
      </x:c>
      <x:c r="M766" s="48" t="str">
        <x:v>保留</x:v>
      </x:c>
      <x:c r="N766" s="48" t="str">
        <x:v>阳光新干线家园|1室1厅1|39|4800|西北</x:v>
      </x:c>
      <x:c r="O766" s="48"/>
      <x:c r="P766" s="48" t="str">
        <x:v>未知（未逐条补齐）</x:v>
      </x:c>
      <x:c r="Q766" s="48" t="str">
        <x:v>https://shenzhen.leyoujia.com/zf/detail/82Ygd7i9kDuK6irxSezHkM.html</x:v>
      </x:c>
      <x:c r="R766" s="48" t="str">
        <x:v>2026-08-13</x:v>
      </x:c>
    </x:row>
    <x:row r="767">
      <x:c r="A767" s="48" t="str">
        <x:v>集浩大厦</x:v>
      </x:c>
      <x:c r="B767" s="48" t="str">
        <x:v>集浩大厦</x:v>
      </x:c>
      <x:c r="C767" s="48" t="str">
        <x:v>黄贝岭</x:v>
      </x:c>
      <x:c r="D767" s="56" t="n">
        <x:v>1.9</x:v>
      </x:c>
      <x:c r="E767" s="61" t="n">
        <x:v>3300</x:v>
      </x:c>
      <x:c r="F767" s="61" t="n">
        <x:v>44.78</x:v>
      </x:c>
      <x:c r="G767" s="61" t="n">
        <x:v>73.7</x:v>
      </x:c>
      <x:c r="H767" s="48" t="str">
        <x:v>1室0厅1</x:v>
      </x:c>
      <x:c r="I767" s="48" t="str">
        <x:v>南</x:v>
      </x:c>
      <x:c r="J767" s="48" t="str">
        <x:v>精装</x:v>
      </x:c>
      <x:c r="K767" s="48" t="str">
        <x:v>普通住宅</x:v>
      </x:c>
      <x:c r="L767" s="48" t="str">
        <x:v>否</x:v>
      </x:c>
      <x:c r="M767" s="48" t="str">
        <x:v>异常低价待核</x:v>
      </x:c>
      <x:c r="N767" s="48" t="str">
        <x:v>集浩大厦|1室0厅1|45|3300|南</x:v>
      </x:c>
      <x:c r="O767" s="48"/>
      <x:c r="P767" s="48" t="str">
        <x:v>未知（未逐条补齐）</x:v>
      </x:c>
      <x:c r="Q767" s="48" t="str">
        <x:v>https://shenzhen.leyoujia.com/zf/detail/MPUGHfychc7A3MqGkbqBa8.html</x:v>
      </x:c>
      <x:c r="R767" s="48" t="str">
        <x:v>2026-08-13</x:v>
      </x:c>
    </x:row>
    <x:row r="768">
      <x:c r="A768" s="48" t="str">
        <x:v>集浩大厦</x:v>
      </x:c>
      <x:c r="B768" s="48" t="str">
        <x:v>集浩大厦</x:v>
      </x:c>
      <x:c r="C768" s="48" t="str">
        <x:v>黄贝岭</x:v>
      </x:c>
      <x:c r="D768" s="56" t="n">
        <x:v>1.9</x:v>
      </x:c>
      <x:c r="E768" s="61" t="n">
        <x:v>3500</x:v>
      </x:c>
      <x:c r="F768" s="61" t="n">
        <x:v>46.84</x:v>
      </x:c>
      <x:c r="G768" s="61" t="n">
        <x:v>74.7</x:v>
      </x:c>
      <x:c r="H768" s="48" t="str">
        <x:v>1室0厅1</x:v>
      </x:c>
      <x:c r="I768" s="48" t="str">
        <x:v>南</x:v>
      </x:c>
      <x:c r="J768" s="48" t="str">
        <x:v>普装</x:v>
      </x:c>
      <x:c r="K768" s="48" t="str">
        <x:v>普通住宅</x:v>
      </x:c>
      <x:c r="L768" s="48" t="str">
        <x:v>是</x:v>
      </x:c>
      <x:c r="M768" s="48" t="str">
        <x:v>保留</x:v>
      </x:c>
      <x:c r="N768" s="48" t="str">
        <x:v>集浩大厦|1室0厅1|47|3500|南</x:v>
      </x:c>
      <x:c r="O768" s="48"/>
      <x:c r="P768" s="48" t="str">
        <x:v>未知（未逐条补齐）</x:v>
      </x:c>
      <x:c r="Q768" s="48" t="str">
        <x:v>https://shenzhen.leyoujia.com/zf/detail/M7eP55MheXX6nNy294qGYW.html</x:v>
      </x:c>
      <x:c r="R768" s="48" t="str">
        <x:v>2026-08-13</x:v>
      </x:c>
    </x:row>
    <x:row r="769">
      <x:c r="A769" s="48" t="str">
        <x:v>集浩大厦</x:v>
      </x:c>
      <x:c r="B769" s="48" t="str">
        <x:v>集浩大厦</x:v>
      </x:c>
      <x:c r="C769" s="48" t="str">
        <x:v>黄贝岭</x:v>
      </x:c>
      <x:c r="D769" s="56" t="n">
        <x:v>1.9</x:v>
      </x:c>
      <x:c r="E769" s="61" t="n">
        <x:v>3500</x:v>
      </x:c>
      <x:c r="F769" s="61" t="n">
        <x:v>43.77</x:v>
      </x:c>
      <x:c r="G769" s="61" t="n">
        <x:v>80</x:v>
      </x:c>
      <x:c r="H769" s="48" t="str">
        <x:v>1室0厅1</x:v>
      </x:c>
      <x:c r="I769" s="48" t="str">
        <x:v>北</x:v>
      </x:c>
      <x:c r="J769" s="48" t="str">
        <x:v>精装</x:v>
      </x:c>
      <x:c r="K769" s="48" t="str">
        <x:v>普通住宅</x:v>
      </x:c>
      <x:c r="L769" s="48" t="str">
        <x:v>是</x:v>
      </x:c>
      <x:c r="M769" s="48" t="str">
        <x:v>保留</x:v>
      </x:c>
      <x:c r="N769" s="48" t="str">
        <x:v>集浩大厦|1室0厅1|44|3500|北</x:v>
      </x:c>
      <x:c r="O769" s="48"/>
      <x:c r="P769" s="48" t="str">
        <x:v>未知（未逐条补齐）</x:v>
      </x:c>
      <x:c r="Q769" s="48" t="str">
        <x:v>https://shenzhen.leyoujia.com/zf/detail/TjEFB15ngcyuuTkVvQxXvv.html</x:v>
      </x:c>
      <x:c r="R769" s="48" t="str">
        <x:v>2026-08-13</x:v>
      </x:c>
    </x:row>
    <x:row r="770">
      <x:c r="A770" s="48" t="str">
        <x:v>集浩大厦</x:v>
      </x:c>
      <x:c r="B770" s="48" t="str">
        <x:v>集浩大厦</x:v>
      </x:c>
      <x:c r="C770" s="48" t="str">
        <x:v>黄贝岭</x:v>
      </x:c>
      <x:c r="D770" s="56" t="n">
        <x:v>1.9</x:v>
      </x:c>
      <x:c r="E770" s="61" t="n">
        <x:v>3600</x:v>
      </x:c>
      <x:c r="F770" s="61" t="n">
        <x:v>44</x:v>
      </x:c>
      <x:c r="G770" s="61" t="n">
        <x:v>81.8</x:v>
      </x:c>
      <x:c r="H770" s="48" t="str">
        <x:v>1室0厅1</x:v>
      </x:c>
      <x:c r="I770" s="48" t="str">
        <x:v>南</x:v>
      </x:c>
      <x:c r="J770" s="48" t="str">
        <x:v>普装</x:v>
      </x:c>
      <x:c r="K770" s="48" t="str">
        <x:v>普通住宅</x:v>
      </x:c>
      <x:c r="L770" s="48" t="str">
        <x:v>是</x:v>
      </x:c>
      <x:c r="M770" s="48" t="str">
        <x:v>保留</x:v>
      </x:c>
      <x:c r="N770" s="48" t="str">
        <x:v>集浩大厦|1室0厅1|44|3600|南</x:v>
      </x:c>
      <x:c r="O770" s="48"/>
      <x:c r="P770" s="48" t="str">
        <x:v>未知（未逐条补齐）</x:v>
      </x:c>
      <x:c r="Q770" s="48" t="str">
        <x:v>https://shenzhen.leyoujia.com/zf/detail/Vbf6qMnavXdHMJJn2cMFVQ.html</x:v>
      </x:c>
      <x:c r="R770" s="48" t="str">
        <x:v>2026-08-13</x:v>
      </x:c>
    </x:row>
    <x:row r="771">
      <x:c r="A771" s="48" t="str">
        <x:v>集浩大厦</x:v>
      </x:c>
      <x:c r="B771" s="48" t="str">
        <x:v>集浩大厦</x:v>
      </x:c>
      <x:c r="C771" s="48" t="str">
        <x:v>黄贝岭</x:v>
      </x:c>
      <x:c r="D771" s="56" t="n">
        <x:v>1.9</x:v>
      </x:c>
      <x:c r="E771" s="61" t="n">
        <x:v>3800</x:v>
      </x:c>
      <x:c r="F771" s="61" t="n">
        <x:v>43.77</x:v>
      </x:c>
      <x:c r="G771" s="61" t="n">
        <x:v>86.8</x:v>
      </x:c>
      <x:c r="H771" s="48" t="str">
        <x:v>1室0厅1</x:v>
      </x:c>
      <x:c r="I771" s="48" t="str">
        <x:v>北</x:v>
      </x:c>
      <x:c r="J771" s="48" t="str">
        <x:v>普装</x:v>
      </x:c>
      <x:c r="K771" s="48" t="str">
        <x:v>普通住宅</x:v>
      </x:c>
      <x:c r="L771" s="48" t="str">
        <x:v>否</x:v>
      </x:c>
      <x:c r="M771" s="48" t="str">
        <x:v>异常高价</x:v>
      </x:c>
      <x:c r="N771" s="48" t="str">
        <x:v>集浩大厦|1室0厅1|44|3800|北</x:v>
      </x:c>
      <x:c r="O771" s="48"/>
      <x:c r="P771" s="48" t="str">
        <x:v>未知（未逐条补齐）</x:v>
      </x:c>
      <x:c r="Q771" s="48" t="str">
        <x:v>https://shenzhen.leyoujia.com/zf/detail/939yrPL66mrMNtoYpXPyc5.html</x:v>
      </x:c>
      <x:c r="R771" s="48" t="str">
        <x:v>2026-08-13</x:v>
      </x:c>
    </x:row>
    <x:row r="772">
      <x:c r="A772" s="48" t="str">
        <x:v>文华大厦</x:v>
      </x:c>
      <x:c r="B772" s="48" t="str">
        <x:v>文华大厦</x:v>
      </x:c>
      <x:c r="C772" s="48" t="str">
        <x:v>黄贝岭</x:v>
      </x:c>
      <x:c r="D772" s="56" t="n">
        <x:v>3.9</x:v>
      </x:c>
      <x:c r="E772" s="61" t="n">
        <x:v>4000</x:v>
      </x:c>
      <x:c r="F772" s="61" t="n">
        <x:v>50</x:v>
      </x:c>
      <x:c r="G772" s="61" t="n">
        <x:v>80</x:v>
      </x:c>
      <x:c r="H772" s="48" t="str">
        <x:v>1室1厅0</x:v>
      </x:c>
      <x:c r="I772" s="48" t="str">
        <x:v>东</x:v>
      </x:c>
      <x:c r="J772" s="48" t="str">
        <x:v>待核</x:v>
      </x:c>
      <x:c r="K772" s="48" t="str">
        <x:v>公寓</x:v>
      </x:c>
      <x:c r="L772" s="48" t="str">
        <x:v>是</x:v>
      </x:c>
      <x:c r="M772" s="48" t="str">
        <x:v>保留</x:v>
      </x:c>
      <x:c r="N772" s="48" t="str">
        <x:v>文华大厦|1室1厅0|50|4000|东</x:v>
      </x:c>
      <x:c r="O772" s="48"/>
      <x:c r="P772" s="48" t="str">
        <x:v>未知（未逐条补齐）</x:v>
      </x:c>
      <x:c r="Q772" s="48" t="str">
        <x:v>https://shenzhen.leyoujia.com/zf/detail/4fPoyLjhqNbNFEWHtBaYJQ.html</x:v>
      </x:c>
      <x:c r="R772" s="48" t="str">
        <x:v>2026-08-13</x:v>
      </x:c>
    </x:row>
    <x:row r="773">
      <x:c r="A773" s="48" t="str">
        <x:v>文华大厦</x:v>
      </x:c>
      <x:c r="B773" s="48" t="str">
        <x:v>文华大厦</x:v>
      </x:c>
      <x:c r="C773" s="48" t="str">
        <x:v>黄贝岭</x:v>
      </x:c>
      <x:c r="D773" s="56" t="n">
        <x:v>3.9</x:v>
      </x:c>
      <x:c r="E773" s="61" t="n">
        <x:v>4000</x:v>
      </x:c>
      <x:c r="F773" s="61" t="n">
        <x:v>50</x:v>
      </x:c>
      <x:c r="G773" s="61" t="n">
        <x:v>80</x:v>
      </x:c>
      <x:c r="H773" s="48" t="str">
        <x:v>1室0厅0</x:v>
      </x:c>
      <x:c r="I773" s="48" t="str">
        <x:v>南</x:v>
      </x:c>
      <x:c r="J773" s="48" t="str">
        <x:v>待核</x:v>
      </x:c>
      <x:c r="K773" s="48" t="str">
        <x:v>普通住宅</x:v>
      </x:c>
      <x:c r="L773" s="48" t="str">
        <x:v>是</x:v>
      </x:c>
      <x:c r="M773" s="48" t="str">
        <x:v>保留</x:v>
      </x:c>
      <x:c r="N773" s="48" t="str">
        <x:v>文华大厦|1室0厅0|50|4000|南</x:v>
      </x:c>
      <x:c r="O773" s="48"/>
      <x:c r="P773" s="48" t="str">
        <x:v>未知（未逐条补齐）</x:v>
      </x:c>
      <x:c r="Q773" s="48" t="str">
        <x:v>https://shenzhen.leyoujia.com/zf/detail/2Vpp3HeozAWXicc33YREz2.html</x:v>
      </x:c>
      <x:c r="R773" s="48" t="str">
        <x:v>2026-08-13</x:v>
      </x:c>
    </x:row>
    <x:row r="774">
      <x:c r="A774" s="48" t="str">
        <x:v>新天地名居</x:v>
      </x:c>
      <x:c r="B774" s="48" t="str">
        <x:v>新天地名居</x:v>
      </x:c>
      <x:c r="C774" s="48" t="str">
        <x:v>黄贝岭</x:v>
      </x:c>
      <x:c r="D774" s="56" t="n">
        <x:v>6.1</x:v>
      </x:c>
      <x:c r="E774" s="61" t="n">
        <x:v>3700</x:v>
      </x:c>
      <x:c r="F774" s="61" t="n">
        <x:v>39.76</x:v>
      </x:c>
      <x:c r="G774" s="61" t="n">
        <x:v>93.1</x:v>
      </x:c>
      <x:c r="H774" s="48" t="str">
        <x:v>1室1厅1</x:v>
      </x:c>
      <x:c r="I774" s="48" t="str">
        <x:v>西北</x:v>
      </x:c>
      <x:c r="J774" s="48" t="str">
        <x:v>普装</x:v>
      </x:c>
      <x:c r="K774" s="48" t="str">
        <x:v>普通住宅</x:v>
      </x:c>
      <x:c r="L774" s="48" t="str">
        <x:v>是</x:v>
      </x:c>
      <x:c r="M774" s="48" t="str">
        <x:v>保留</x:v>
      </x:c>
      <x:c r="N774" s="48" t="str">
        <x:v>新天地名居|1室1厅1|40|3700|西北</x:v>
      </x:c>
      <x:c r="O774" s="48"/>
      <x:c r="P774" s="48" t="str">
        <x:v>未知（未逐条补齐）</x:v>
      </x:c>
      <x:c r="Q774" s="48" t="str">
        <x:v>https://shenzhen.leyoujia.com/zf/detail/ATznm7u8PA52UGZ8CaSZZv.html</x:v>
      </x:c>
      <x:c r="R774" s="48" t="str">
        <x:v>2026-08-13</x:v>
      </x:c>
    </x:row>
    <x:row r="775">
      <x:c r="A775" s="48" t="str">
        <x:v>新天地名居</x:v>
      </x:c>
      <x:c r="B775" s="48" t="str">
        <x:v>新天地名居</x:v>
      </x:c>
      <x:c r="C775" s="48" t="str">
        <x:v>黄贝岭</x:v>
      </x:c>
      <x:c r="D775" s="56" t="n">
        <x:v>6.1</x:v>
      </x:c>
      <x:c r="E775" s="61" t="n">
        <x:v>3800</x:v>
      </x:c>
      <x:c r="F775" s="61" t="n">
        <x:v>38.54</x:v>
      </x:c>
      <x:c r="G775" s="61" t="n">
        <x:v>98.6</x:v>
      </x:c>
      <x:c r="H775" s="48" t="str">
        <x:v>1室0厅1</x:v>
      </x:c>
      <x:c r="I775" s="48" t="str">
        <x:v>东南</x:v>
      </x:c>
      <x:c r="J775" s="48" t="str">
        <x:v>普装</x:v>
      </x:c>
      <x:c r="K775" s="48" t="str">
        <x:v>普通住宅</x:v>
      </x:c>
      <x:c r="L775" s="48" t="str">
        <x:v>是</x:v>
      </x:c>
      <x:c r="M775" s="48" t="str">
        <x:v>保留</x:v>
      </x:c>
      <x:c r="N775" s="48" t="str">
        <x:v>新天地名居|1室0厅1|39|3800|东南</x:v>
      </x:c>
      <x:c r="O775" s="48"/>
      <x:c r="P775" s="48" t="str">
        <x:v>未知（未逐条补齐）</x:v>
      </x:c>
      <x:c r="Q775" s="48" t="str">
        <x:v>https://shenzhen.leyoujia.com/zf/detail/7aGUUteu6eq7ESC7VAZ8Rm.html</x:v>
      </x:c>
      <x:c r="R775" s="48" t="str">
        <x:v>2026-08-13</x:v>
      </x:c>
    </x:row>
    <x:row r="776">
      <x:c r="A776" s="48" t="str">
        <x:v>新天地名居</x:v>
      </x:c>
      <x:c r="B776" s="48" t="str">
        <x:v>新天地名居</x:v>
      </x:c>
      <x:c r="C776" s="48" t="str">
        <x:v>黄贝岭</x:v>
      </x:c>
      <x:c r="D776" s="56" t="n">
        <x:v>6.1</x:v>
      </x:c>
      <x:c r="E776" s="61" t="n">
        <x:v>4000</x:v>
      </x:c>
      <x:c r="F776" s="61" t="n">
        <x:v>38.54</x:v>
      </x:c>
      <x:c r="G776" s="61" t="n">
        <x:v>103.8</x:v>
      </x:c>
      <x:c r="H776" s="48" t="str">
        <x:v>1室1厅1</x:v>
      </x:c>
      <x:c r="I776" s="48" t="str">
        <x:v>东南</x:v>
      </x:c>
      <x:c r="J776" s="48" t="str">
        <x:v>精装</x:v>
      </x:c>
      <x:c r="K776" s="48" t="str">
        <x:v>普通住宅</x:v>
      </x:c>
      <x:c r="L776" s="48" t="str">
        <x:v>是</x:v>
      </x:c>
      <x:c r="M776" s="48" t="str">
        <x:v>保留</x:v>
      </x:c>
      <x:c r="N776" s="48" t="str">
        <x:v>新天地名居|1室1厅1|39|4000|东南</x:v>
      </x:c>
      <x:c r="O776" s="48"/>
      <x:c r="P776" s="48" t="str">
        <x:v>未知（未逐条补齐）</x:v>
      </x:c>
      <x:c r="Q776" s="48" t="str">
        <x:v>https://shenzhen.leyoujia.com/zf/detail/9PuDACzcYpUkqjZWuisgNp.html</x:v>
      </x:c>
      <x:c r="R776" s="48" t="str">
        <x:v>2026-08-13</x:v>
      </x:c>
    </x:row>
    <x:row r="777">
      <x:c r="A777" s="48" t="str">
        <x:v>新天地名居</x:v>
      </x:c>
      <x:c r="B777" s="48" t="str">
        <x:v>新天地名居</x:v>
      </x:c>
      <x:c r="C777" s="48" t="str">
        <x:v>黄贝岭</x:v>
      </x:c>
      <x:c r="D777" s="56" t="n">
        <x:v>6.1</x:v>
      </x:c>
      <x:c r="E777" s="61" t="n">
        <x:v>4300</x:v>
      </x:c>
      <x:c r="F777" s="61" t="n">
        <x:v>38.35</x:v>
      </x:c>
      <x:c r="G777" s="61" t="n">
        <x:v>112.1</x:v>
      </x:c>
      <x:c r="H777" s="48" t="str">
        <x:v>1室1厅1</x:v>
      </x:c>
      <x:c r="I777" s="48" t="str">
        <x:v>东北</x:v>
      </x:c>
      <x:c r="J777" s="48" t="str">
        <x:v>普装</x:v>
      </x:c>
      <x:c r="K777" s="48" t="str">
        <x:v>普通住宅</x:v>
      </x:c>
      <x:c r="L777" s="48" t="str">
        <x:v>是</x:v>
      </x:c>
      <x:c r="M777" s="48" t="str">
        <x:v>保留</x:v>
      </x:c>
      <x:c r="N777" s="48" t="str">
        <x:v>新天地名居|1室1厅1|38|4300|东北</x:v>
      </x:c>
      <x:c r="O777" s="48"/>
      <x:c r="P777" s="48" t="str">
        <x:v>未知（未逐条补齐）</x:v>
      </x:c>
      <x:c r="Q777" s="48" t="str">
        <x:v>https://shenzhen.leyoujia.com/zf/detail/HyUPP5MCxMmHwuM7Rn6New.html</x:v>
      </x:c>
      <x:c r="R777" s="48" t="str">
        <x:v>2026-08-13</x:v>
      </x:c>
    </x:row>
    <x:row r="778">
      <x:c r="A778" s="48" t="str">
        <x:v>新天地名居</x:v>
      </x:c>
      <x:c r="B778" s="48" t="str">
        <x:v>新天地名居</x:v>
      </x:c>
      <x:c r="C778" s="48" t="str">
        <x:v>黄贝岭</x:v>
      </x:c>
      <x:c r="D778" s="56" t="n">
        <x:v>6.1</x:v>
      </x:c>
      <x:c r="E778" s="61" t="n">
        <x:v>4400</x:v>
      </x:c>
      <x:c r="F778" s="61" t="n">
        <x:v>38.96</x:v>
      </x:c>
      <x:c r="G778" s="61" t="n">
        <x:v>112.9</x:v>
      </x:c>
      <x:c r="H778" s="48" t="str">
        <x:v>1室0厅1</x:v>
      </x:c>
      <x:c r="I778" s="48" t="str">
        <x:v>西北</x:v>
      </x:c>
      <x:c r="J778" s="48" t="str">
        <x:v>精装</x:v>
      </x:c>
      <x:c r="K778" s="48" t="str">
        <x:v>普通住宅</x:v>
      </x:c>
      <x:c r="L778" s="48" t="str">
        <x:v>是</x:v>
      </x:c>
      <x:c r="M778" s="48" t="str">
        <x:v>保留</x:v>
      </x:c>
      <x:c r="N778" s="48" t="str">
        <x:v>新天地名居|1室0厅1|39|4400|西北</x:v>
      </x:c>
      <x:c r="O778" s="48"/>
      <x:c r="P778" s="48" t="str">
        <x:v>未知（未逐条补齐）</x:v>
      </x:c>
      <x:c r="Q778" s="48" t="str">
        <x:v>https://shenzhen.leyoujia.com/zf/detail/4SvGiB1xQ9ZMjEgNaebsh7.html</x:v>
      </x:c>
      <x:c r="R778" s="48" t="str">
        <x:v>2026-08-13</x:v>
      </x:c>
    </x:row>
    <x:row r="779">
      <x:c r="A779" s="48" t="str">
        <x:v>新天地名居</x:v>
      </x:c>
      <x:c r="B779" s="48" t="str">
        <x:v>新天地名居</x:v>
      </x:c>
      <x:c r="C779" s="48" t="str">
        <x:v>黄贝岭</x:v>
      </x:c>
      <x:c r="D779" s="56" t="n">
        <x:v>6.1</x:v>
      </x:c>
      <x:c r="E779" s="61" t="n">
        <x:v>4500</x:v>
      </x:c>
      <x:c r="F779" s="61" t="n">
        <x:v>39.27</x:v>
      </x:c>
      <x:c r="G779" s="61" t="n">
        <x:v>114.6</x:v>
      </x:c>
      <x:c r="H779" s="48" t="str">
        <x:v>1室1厅1</x:v>
      </x:c>
      <x:c r="I779" s="48" t="str">
        <x:v>西北</x:v>
      </x:c>
      <x:c r="J779" s="48" t="str">
        <x:v>普装</x:v>
      </x:c>
      <x:c r="K779" s="48" t="str">
        <x:v>普通住宅</x:v>
      </x:c>
      <x:c r="L779" s="48" t="str">
        <x:v>是</x:v>
      </x:c>
      <x:c r="M779" s="48" t="str">
        <x:v>保留</x:v>
      </x:c>
      <x:c r="N779" s="48" t="str">
        <x:v>新天地名居|1室1厅1|39|4500|西北</x:v>
      </x:c>
      <x:c r="O779" s="48"/>
      <x:c r="P779" s="48" t="str">
        <x:v>未知（未逐条补齐）</x:v>
      </x:c>
      <x:c r="Q779" s="48" t="str">
        <x:v>https://shenzhen.leyoujia.com/zf/detail/XExANjMYq2gLNaRdwLxeXd.html</x:v>
      </x:c>
      <x:c r="R779" s="48" t="str">
        <x:v>2026-08-13</x:v>
      </x:c>
    </x:row>
    <x:row r="780">
      <x:c r="A780" s="48" t="str">
        <x:v>新天地名居</x:v>
      </x:c>
      <x:c r="B780" s="48" t="str">
        <x:v>新天地名居</x:v>
      </x:c>
      <x:c r="C780" s="48" t="str">
        <x:v>黄贝岭</x:v>
      </x:c>
      <x:c r="D780" s="56" t="n">
        <x:v>6.1</x:v>
      </x:c>
      <x:c r="E780" s="61" t="n">
        <x:v>4500</x:v>
      </x:c>
      <x:c r="F780" s="61" t="n">
        <x:v>38.71</x:v>
      </x:c>
      <x:c r="G780" s="61" t="n">
        <x:v>116.2</x:v>
      </x:c>
      <x:c r="H780" s="48" t="str">
        <x:v>1室1厅1</x:v>
      </x:c>
      <x:c r="I780" s="48" t="str">
        <x:v>东南</x:v>
      </x:c>
      <x:c r="J780" s="48" t="str">
        <x:v>普装</x:v>
      </x:c>
      <x:c r="K780" s="48" t="str">
        <x:v>普通住宅</x:v>
      </x:c>
      <x:c r="L780" s="48" t="str">
        <x:v>是</x:v>
      </x:c>
      <x:c r="M780" s="48" t="str">
        <x:v>保留</x:v>
      </x:c>
      <x:c r="N780" s="48" t="str">
        <x:v>新天地名居|1室1厅1|39|4500|东南</x:v>
      </x:c>
      <x:c r="O780" s="48"/>
      <x:c r="P780" s="48" t="str">
        <x:v>未知（未逐条补齐）</x:v>
      </x:c>
      <x:c r="Q780" s="48" t="str">
        <x:v>https://shenzhen.leyoujia.com/zf/detail/CcwqQ47dt1c4P6SiSWwrpf.html</x:v>
      </x:c>
      <x:c r="R780" s="48" t="str">
        <x:v>2026-08-13</x:v>
      </x:c>
    </x:row>
    <x:row r="781">
      <x:c r="A781" s="48" t="str">
        <x:v>新天地名居</x:v>
      </x:c>
      <x:c r="B781" s="48" t="str">
        <x:v>新天地名居</x:v>
      </x:c>
      <x:c r="C781" s="48" t="str">
        <x:v>黄贝岭</x:v>
      </x:c>
      <x:c r="D781" s="56" t="n">
        <x:v>6.1</x:v>
      </x:c>
      <x:c r="E781" s="61" t="n">
        <x:v>4500</x:v>
      </x:c>
      <x:c r="F781" s="61" t="n">
        <x:v>38.69</x:v>
      </x:c>
      <x:c r="G781" s="61" t="n">
        <x:v>116.3</x:v>
      </x:c>
      <x:c r="H781" s="48" t="str">
        <x:v>1室1厅1</x:v>
      </x:c>
      <x:c r="I781" s="48" t="str">
        <x:v>东北</x:v>
      </x:c>
      <x:c r="J781" s="48" t="str">
        <x:v>普装</x:v>
      </x:c>
      <x:c r="K781" s="48" t="str">
        <x:v>普通住宅</x:v>
      </x:c>
      <x:c r="L781" s="48" t="str">
        <x:v>是</x:v>
      </x:c>
      <x:c r="M781" s="48" t="str">
        <x:v>保留</x:v>
      </x:c>
      <x:c r="N781" s="48" t="str">
        <x:v>新天地名居|1室1厅1|39|4500|东北</x:v>
      </x:c>
      <x:c r="O781" s="48"/>
      <x:c r="P781" s="48" t="str">
        <x:v>未知（未逐条补齐）</x:v>
      </x:c>
      <x:c r="Q781" s="48" t="str">
        <x:v>https://shenzhen.leyoujia.com/zf/detail/SNyeTMQ1KwrhFhKT5uLnLL.html</x:v>
      </x:c>
      <x:c r="R781" s="48" t="str">
        <x:v>2026-08-13</x:v>
      </x:c>
    </x:row>
    <x:row r="782">
      <x:c r="A782" s="48" t="str">
        <x:v>福德花园</x:v>
      </x:c>
      <x:c r="B782" s="48" t="str">
        <x:v>福德花园</x:v>
      </x:c>
      <x:c r="C782" s="48" t="str">
        <x:v>黄贝岭</x:v>
      </x:c>
      <x:c r="D782" s="56" t="n">
        <x:v>4.7</x:v>
      </x:c>
      <x:c r="E782" s="61" t="n">
        <x:v>3500</x:v>
      </x:c>
      <x:c r="F782" s="61" t="n">
        <x:v>37.61</x:v>
      </x:c>
      <x:c r="G782" s="61" t="n">
        <x:v>93.1</x:v>
      </x:c>
      <x:c r="H782" s="48" t="str">
        <x:v>1室1厅1</x:v>
      </x:c>
      <x:c r="I782" s="48" t="str">
        <x:v>西南</x:v>
      </x:c>
      <x:c r="J782" s="48" t="str">
        <x:v>普装</x:v>
      </x:c>
      <x:c r="K782" s="48" t="str">
        <x:v>普通住宅</x:v>
      </x:c>
      <x:c r="L782" s="48" t="str">
        <x:v>是</x:v>
      </x:c>
      <x:c r="M782" s="48" t="str">
        <x:v>保留</x:v>
      </x:c>
      <x:c r="N782" s="48" t="str">
        <x:v>福德花园|1室1厅1|38|3500|西南</x:v>
      </x:c>
      <x:c r="O782" s="48"/>
      <x:c r="P782" s="48" t="str">
        <x:v>未知（未逐条补齐）</x:v>
      </x:c>
      <x:c r="Q782" s="48" t="str">
        <x:v>https://shenzhen.leyoujia.com/zf/detail/F8aDu3gE46wQVGCQHHFnom.html</x:v>
      </x:c>
      <x:c r="R782" s="48" t="str">
        <x:v>2026-08-13</x:v>
      </x:c>
    </x:row>
    <x:row r="783">
      <x:c r="A783" s="48" t="str">
        <x:v>广东基础楼</x:v>
      </x:c>
      <x:c r="B783" s="48" t="str">
        <x:v>广东基础楼</x:v>
      </x:c>
      <x:c r="C783" s="48" t="str">
        <x:v>黄贝岭</x:v>
      </x:c>
      <x:c r="D783" s="56" t="n">
        <x:v>10.3</x:v>
      </x:c>
      <x:c r="E783" s="61" t="n">
        <x:v>2500</x:v>
      </x:c>
      <x:c r="F783" s="61" t="n">
        <x:v>22</x:v>
      </x:c>
      <x:c r="G783" s="61" t="n">
        <x:v>113.6</x:v>
      </x:c>
      <x:c r="H783" s="48" t="str">
        <x:v>1室0厅1</x:v>
      </x:c>
      <x:c r="I783" s="48" t="str">
        <x:v>北</x:v>
      </x:c>
      <x:c r="J783" s="48" t="str">
        <x:v>精装</x:v>
      </x:c>
      <x:c r="K783" s="48" t="str">
        <x:v>普通住宅</x:v>
      </x:c>
      <x:c r="L783" s="48" t="str">
        <x:v>是</x:v>
      </x:c>
      <x:c r="M783" s="48" t="str">
        <x:v>保留</x:v>
      </x:c>
      <x:c r="N783" s="48" t="str">
        <x:v>广东基础楼|1室0厅1|22|2500|北</x:v>
      </x:c>
      <x:c r="O783" s="48"/>
      <x:c r="P783" s="48" t="str">
        <x:v>未知（未逐条补齐）</x:v>
      </x:c>
      <x:c r="Q783" s="48" t="str">
        <x:v>https://shenzhen.leyoujia.com/zf/detail/MVxioeB2nHZfZPX3d8QQrn.html</x:v>
      </x:c>
      <x:c r="R783" s="48" t="str">
        <x:v>2026-08-13</x:v>
      </x:c>
    </x:row>
    <x:row r="784">
      <x:c r="A784" s="48" t="str">
        <x:v>京基·凤凰印象A座</x:v>
      </x:c>
      <x:c r="B784" s="48" t="str">
        <x:v>京基凤凰印象</x:v>
      </x:c>
      <x:c r="C784" s="48" t="str">
        <x:v>黄贝岭</x:v>
      </x:c>
      <x:c r="D784" s="56" t="n">
        <x:v>6.9</x:v>
      </x:c>
      <x:c r="E784" s="61" t="n">
        <x:v>4400</x:v>
      </x:c>
      <x:c r="F784" s="61" t="n">
        <x:v>45</x:v>
      </x:c>
      <x:c r="G784" s="61" t="n">
        <x:v>97.8</x:v>
      </x:c>
      <x:c r="H784" s="48" t="str">
        <x:v>1室1厅1</x:v>
      </x:c>
      <x:c r="I784" s="48" t="str">
        <x:v>南</x:v>
      </x:c>
      <x:c r="J784" s="48" t="str">
        <x:v>普装</x:v>
      </x:c>
      <x:c r="K784" s="48" t="str">
        <x:v>普通住宅</x:v>
      </x:c>
      <x:c r="L784" s="48" t="str">
        <x:v>是</x:v>
      </x:c>
      <x:c r="M784" s="48" t="str">
        <x:v>保留</x:v>
      </x:c>
      <x:c r="N784" s="48" t="str">
        <x:v>京基凤凰印象|1室1厅1|45|4400|南</x:v>
      </x:c>
      <x:c r="O784" s="48"/>
      <x:c r="P784" s="48" t="str">
        <x:v>未知（未逐条补齐）</x:v>
      </x:c>
      <x:c r="Q784" s="48" t="str">
        <x:v>https://shenzhen.leyoujia.com/zf/detail/Tsrq6r9BzKSgZVoZaJgNUy.html</x:v>
      </x:c>
      <x:c r="R784" s="48" t="str">
        <x:v>2026-08-13</x:v>
      </x:c>
    </x:row>
    <x:row r="785">
      <x:c r="A785" s="48" t="str">
        <x:v>京基·凤凰印象A座</x:v>
      </x:c>
      <x:c r="B785" s="48" t="str">
        <x:v>京基凤凰印象</x:v>
      </x:c>
      <x:c r="C785" s="48" t="str">
        <x:v>黄贝岭</x:v>
      </x:c>
      <x:c r="D785" s="56" t="n">
        <x:v>6.9</x:v>
      </x:c>
      <x:c r="E785" s="61" t="n">
        <x:v>4700</x:v>
      </x:c>
      <x:c r="F785" s="61" t="n">
        <x:v>45</x:v>
      </x:c>
      <x:c r="G785" s="61" t="n">
        <x:v>104.4</x:v>
      </x:c>
      <x:c r="H785" s="48" t="str">
        <x:v>1室1厅1</x:v>
      </x:c>
      <x:c r="I785" s="48" t="str">
        <x:v>南</x:v>
      </x:c>
      <x:c r="J785" s="48" t="str">
        <x:v>精装</x:v>
      </x:c>
      <x:c r="K785" s="48" t="str">
        <x:v>普通住宅</x:v>
      </x:c>
      <x:c r="L785" s="48" t="str">
        <x:v>是</x:v>
      </x:c>
      <x:c r="M785" s="48" t="str">
        <x:v>保留</x:v>
      </x:c>
      <x:c r="N785" s="48" t="str">
        <x:v>京基凤凰印象|1室1厅1|45|4700|南</x:v>
      </x:c>
      <x:c r="O785" s="48"/>
      <x:c r="P785" s="48" t="str">
        <x:v>未知（未逐条补齐）</x:v>
      </x:c>
      <x:c r="Q785" s="48" t="str">
        <x:v>https://shenzhen.leyoujia.com/zf/detail/WDp4bmBuEMv39VE7pedhex.html</x:v>
      </x:c>
      <x:c r="R785" s="48" t="str">
        <x:v>2026-08-13</x:v>
      </x:c>
    </x:row>
    <x:row r="786">
      <x:c r="A786" s="48" t="str">
        <x:v>京基·凤凰印象A座</x:v>
      </x:c>
      <x:c r="B786" s="48" t="str">
        <x:v>京基凤凰印象</x:v>
      </x:c>
      <x:c r="C786" s="48" t="str">
        <x:v>黄贝岭</x:v>
      </x:c>
      <x:c r="D786" s="56" t="n">
        <x:v>6.9</x:v>
      </x:c>
      <x:c r="E786" s="61" t="n">
        <x:v>4800</x:v>
      </x:c>
      <x:c r="F786" s="61" t="n">
        <x:v>41.17</x:v>
      </x:c>
      <x:c r="G786" s="61" t="n">
        <x:v>116.6</x:v>
      </x:c>
      <x:c r="H786" s="48" t="str">
        <x:v>1室1厅1</x:v>
      </x:c>
      <x:c r="I786" s="48" t="str">
        <x:v>东北</x:v>
      </x:c>
      <x:c r="J786" s="48" t="str">
        <x:v>普装</x:v>
      </x:c>
      <x:c r="K786" s="48" t="str">
        <x:v>普通住宅</x:v>
      </x:c>
      <x:c r="L786" s="48" t="str">
        <x:v>是</x:v>
      </x:c>
      <x:c r="M786" s="48" t="str">
        <x:v>保留</x:v>
      </x:c>
      <x:c r="N786" s="48" t="str">
        <x:v>京基凤凰印象|1室1厅1|41|4800|东北</x:v>
      </x:c>
      <x:c r="O786" s="48"/>
      <x:c r="P786" s="48" t="str">
        <x:v>未知（未逐条补齐）</x:v>
      </x:c>
      <x:c r="Q786" s="48" t="str">
        <x:v>https://shenzhen.leyoujia.com/zf/detail/RPVYE8vwTx6sCvJAbZAMv4.html</x:v>
      </x:c>
      <x:c r="R786" s="48" t="str">
        <x:v>2026-08-13</x:v>
      </x:c>
    </x:row>
    <x:row r="787">
      <x:c r="A787" s="48" t="str">
        <x:v>京基·凤凰印象A座</x:v>
      </x:c>
      <x:c r="B787" s="48" t="str">
        <x:v>京基凤凰印象</x:v>
      </x:c>
      <x:c r="C787" s="48" t="str">
        <x:v>黄贝岭</x:v>
      </x:c>
      <x:c r="D787" s="56" t="n">
        <x:v>6.9</x:v>
      </x:c>
      <x:c r="E787" s="61" t="n">
        <x:v>4800</x:v>
      </x:c>
      <x:c r="F787" s="61" t="n">
        <x:v>41.17</x:v>
      </x:c>
      <x:c r="G787" s="61" t="n">
        <x:v>116.6</x:v>
      </x:c>
      <x:c r="H787" s="48" t="str">
        <x:v>1室1厅1</x:v>
      </x:c>
      <x:c r="I787" s="48" t="str">
        <x:v>南</x:v>
      </x:c>
      <x:c r="J787" s="48" t="str">
        <x:v>普装</x:v>
      </x:c>
      <x:c r="K787" s="48" t="str">
        <x:v>普通住宅</x:v>
      </x:c>
      <x:c r="L787" s="48" t="str">
        <x:v>是</x:v>
      </x:c>
      <x:c r="M787" s="48" t="str">
        <x:v>保留</x:v>
      </x:c>
      <x:c r="N787" s="48" t="str">
        <x:v>京基凤凰印象|1室1厅1|41|4800|南</x:v>
      </x:c>
      <x:c r="O787" s="48"/>
      <x:c r="P787" s="48" t="str">
        <x:v>未知（未逐条补齐）</x:v>
      </x:c>
      <x:c r="Q787" s="48" t="str">
        <x:v>https://shenzhen.leyoujia.com/zf/detail/U1eZPTRYPKT1naERD5iuNJ.html</x:v>
      </x:c>
      <x:c r="R787" s="48" t="str">
        <x:v>2026-08-13</x:v>
      </x:c>
    </x:row>
    <x:row r="788">
      <x:c r="A788" s="48" t="str">
        <x:v>京基·凤凰印象A座</x:v>
      </x:c>
      <x:c r="B788" s="48" t="str">
        <x:v>京基凤凰印象</x:v>
      </x:c>
      <x:c r="C788" s="48" t="str">
        <x:v>黄贝岭</x:v>
      </x:c>
      <x:c r="D788" s="56" t="n">
        <x:v>6.9</x:v>
      </x:c>
      <x:c r="E788" s="61" t="n">
        <x:v>5000</x:v>
      </x:c>
      <x:c r="F788" s="61" t="n">
        <x:v>41.17</x:v>
      </x:c>
      <x:c r="G788" s="61" t="n">
        <x:v>121.4</x:v>
      </x:c>
      <x:c r="H788" s="48" t="str">
        <x:v>1室1厅1</x:v>
      </x:c>
      <x:c r="I788" s="48" t="str">
        <x:v>东北</x:v>
      </x:c>
      <x:c r="J788" s="48" t="str">
        <x:v>豪装</x:v>
      </x:c>
      <x:c r="K788" s="48" t="str">
        <x:v>普通住宅</x:v>
      </x:c>
      <x:c r="L788" s="48" t="str">
        <x:v>是</x:v>
      </x:c>
      <x:c r="M788" s="48" t="str">
        <x:v>保留</x:v>
      </x:c>
      <x:c r="N788" s="48" t="str">
        <x:v>京基凤凰印象|1室1厅1|41|5000|东北</x:v>
      </x:c>
      <x:c r="O788" s="48"/>
      <x:c r="P788" s="48" t="str">
        <x:v>未知（未逐条补齐）</x:v>
      </x:c>
      <x:c r="Q788" s="48" t="str">
        <x:v>https://shenzhen.leyoujia.com/zf/detail/5Zrwon8SFLr9d4gFLQosX6.html</x:v>
      </x:c>
      <x:c r="R788" s="48" t="str">
        <x:v>2026-08-13</x:v>
      </x:c>
    </x:row>
    <x:row r="789">
      <x:c r="A789" s="48" t="str">
        <x:v>京基·凤凰印象A座</x:v>
      </x:c>
      <x:c r="B789" s="48" t="str">
        <x:v>京基凤凰印象</x:v>
      </x:c>
      <x:c r="C789" s="48" t="str">
        <x:v>黄贝岭</x:v>
      </x:c>
      <x:c r="D789" s="56" t="n">
        <x:v>6.9</x:v>
      </x:c>
      <x:c r="E789" s="61" t="n">
        <x:v>5000</x:v>
      </x:c>
      <x:c r="F789" s="61" t="n">
        <x:v>43.42</x:v>
      </x:c>
      <x:c r="G789" s="61" t="n">
        <x:v>115.2</x:v>
      </x:c>
      <x:c r="H789" s="48" t="str">
        <x:v>1室1厅1</x:v>
      </x:c>
      <x:c r="I789" s="48" t="str">
        <x:v>东北</x:v>
      </x:c>
      <x:c r="J789" s="48" t="str">
        <x:v>普装</x:v>
      </x:c>
      <x:c r="K789" s="48" t="str">
        <x:v>普通住宅</x:v>
      </x:c>
      <x:c r="L789" s="48" t="str">
        <x:v>是</x:v>
      </x:c>
      <x:c r="M789" s="48" t="str">
        <x:v>保留</x:v>
      </x:c>
      <x:c r="N789" s="48" t="str">
        <x:v>京基凤凰印象|1室1厅1|43|5000|东北</x:v>
      </x:c>
      <x:c r="O789" s="48"/>
      <x:c r="P789" s="48" t="str">
        <x:v>未知（未逐条补齐）</x:v>
      </x:c>
      <x:c r="Q789" s="48" t="str">
        <x:v>https://shenzhen.leyoujia.com/zf/detail/XVGuU9cYnhFJkdU9rZdV8w.html</x:v>
      </x:c>
      <x:c r="R789" s="48" t="str">
        <x:v>2026-08-13</x:v>
      </x:c>
    </x:row>
    <x:row r="790">
      <x:c r="A790" s="48" t="str">
        <x:v>京基·凤凰印象A座</x:v>
      </x:c>
      <x:c r="B790" s="48" t="str">
        <x:v>京基凤凰印象</x:v>
      </x:c>
      <x:c r="C790" s="48" t="str">
        <x:v>黄贝岭</x:v>
      </x:c>
      <x:c r="D790" s="56" t="n">
        <x:v>6.9</x:v>
      </x:c>
      <x:c r="E790" s="61" t="n">
        <x:v>5000</x:v>
      </x:c>
      <x:c r="F790" s="61" t="n">
        <x:v>41.56</x:v>
      </x:c>
      <x:c r="G790" s="61" t="n">
        <x:v>120.3</x:v>
      </x:c>
      <x:c r="H790" s="48" t="str">
        <x:v>1室1厅1</x:v>
      </x:c>
      <x:c r="I790" s="48" t="str">
        <x:v>东北</x:v>
      </x:c>
      <x:c r="J790" s="48" t="str">
        <x:v>精装</x:v>
      </x:c>
      <x:c r="K790" s="48" t="str">
        <x:v>普通住宅</x:v>
      </x:c>
      <x:c r="L790" s="48" t="str">
        <x:v>是</x:v>
      </x:c>
      <x:c r="M790" s="48" t="str">
        <x:v>保留</x:v>
      </x:c>
      <x:c r="N790" s="48" t="str">
        <x:v>京基凤凰印象|1室1厅1|42|5000|东北</x:v>
      </x:c>
      <x:c r="O790" s="48"/>
      <x:c r="P790" s="48" t="str">
        <x:v>未知（未逐条补齐）</x:v>
      </x:c>
      <x:c r="Q790" s="48" t="str">
        <x:v>https://shenzhen.leyoujia.com/zf/detail/BcBVUE3HGmpFVMBhwmFfrn.html</x:v>
      </x:c>
      <x:c r="R790" s="48" t="str">
        <x:v>2026-08-13</x:v>
      </x:c>
    </x:row>
    <x:row r="791">
      <x:c r="A791" s="48" t="str">
        <x:v>海珑华苑</x:v>
      </x:c>
      <x:c r="B791" s="48" t="str">
        <x:v>海珑华苑</x:v>
      </x:c>
      <x:c r="C791" s="48" t="str">
        <x:v>黄贝岭</x:v>
      </x:c>
      <x:c r="D791" s="56" t="n">
        <x:v>6.3</x:v>
      </x:c>
      <x:c r="E791" s="61" t="n">
        <x:v>2800</x:v>
      </x:c>
      <x:c r="F791" s="61" t="n">
        <x:v>51.97</x:v>
      </x:c>
      <x:c r="G791" s="61" t="n">
        <x:v>53.9</x:v>
      </x:c>
      <x:c r="H791" s="48" t="str">
        <x:v>1室1厅1</x:v>
      </x:c>
      <x:c r="I791" s="48" t="str">
        <x:v>东</x:v>
      </x:c>
      <x:c r="J791" s="48" t="str">
        <x:v>普装</x:v>
      </x:c>
      <x:c r="K791" s="48" t="str">
        <x:v>普通住宅</x:v>
      </x:c>
      <x:c r="L791" s="48" t="str">
        <x:v>是</x:v>
      </x:c>
      <x:c r="M791" s="48" t="str">
        <x:v>保留</x:v>
      </x:c>
      <x:c r="N791" s="48" t="str">
        <x:v>海珑华苑|1室1厅1|52|2800|东</x:v>
      </x:c>
      <x:c r="O791" s="48"/>
      <x:c r="P791" s="48" t="str">
        <x:v>未知（未逐条补齐）</x:v>
      </x:c>
      <x:c r="Q791" s="48" t="str">
        <x:v>https://shenzhen.leyoujia.com/zf/detail/3qFDrrs38G2YGPVGSu75oW.html</x:v>
      </x:c>
      <x:c r="R791" s="48" t="str">
        <x:v>2026-08-13</x:v>
      </x:c>
    </x:row>
    <x:row r="792">
      <x:c r="A792" s="48" t="str">
        <x:v>海珑华苑</x:v>
      </x:c>
      <x:c r="B792" s="48" t="str">
        <x:v>海珑华苑</x:v>
      </x:c>
      <x:c r="C792" s="48" t="str">
        <x:v>黄贝岭</x:v>
      </x:c>
      <x:c r="D792" s="56" t="n">
        <x:v>6.3</x:v>
      </x:c>
      <x:c r="E792" s="61" t="n">
        <x:v>3000</x:v>
      </x:c>
      <x:c r="F792" s="61" t="n">
        <x:v>45</x:v>
      </x:c>
      <x:c r="G792" s="61" t="n">
        <x:v>66.7</x:v>
      </x:c>
      <x:c r="H792" s="48" t="str">
        <x:v>1室1厅1</x:v>
      </x:c>
      <x:c r="I792" s="48" t="str">
        <x:v>南</x:v>
      </x:c>
      <x:c r="J792" s="48" t="str">
        <x:v>豪装</x:v>
      </x:c>
      <x:c r="K792" s="48" t="str">
        <x:v>普通住宅</x:v>
      </x:c>
      <x:c r="L792" s="48" t="str">
        <x:v>是</x:v>
      </x:c>
      <x:c r="M792" s="48" t="str">
        <x:v>保留</x:v>
      </x:c>
      <x:c r="N792" s="48" t="str">
        <x:v>海珑华苑|1室1厅1|45|3000|南</x:v>
      </x:c>
      <x:c r="O792" s="48"/>
      <x:c r="P792" s="48" t="str">
        <x:v>未知（未逐条补齐）</x:v>
      </x:c>
      <x:c r="Q792" s="48" t="str">
        <x:v>https://shenzhen.leyoujia.com/zf/detail/TXDPfU6LRWi42WZFtv6EZ3.html</x:v>
      </x:c>
      <x:c r="R792" s="48" t="str">
        <x:v>2026-08-13</x:v>
      </x:c>
    </x:row>
    <x:row r="793">
      <x:c r="A793" s="48" t="str">
        <x:v>海珑华苑</x:v>
      </x:c>
      <x:c r="B793" s="48" t="str">
        <x:v>海珑华苑</x:v>
      </x:c>
      <x:c r="C793" s="48" t="str">
        <x:v>黄贝岭</x:v>
      </x:c>
      <x:c r="D793" s="56" t="n">
        <x:v>6.3</x:v>
      </x:c>
      <x:c r="E793" s="61" t="n">
        <x:v>3200</x:v>
      </x:c>
      <x:c r="F793" s="61" t="n">
        <x:v>45</x:v>
      </x:c>
      <x:c r="G793" s="61" t="n">
        <x:v>71.1</x:v>
      </x:c>
      <x:c r="H793" s="48" t="str">
        <x:v>1室0厅1</x:v>
      </x:c>
      <x:c r="I793" s="48" t="str">
        <x:v>南</x:v>
      </x:c>
      <x:c r="J793" s="48" t="str">
        <x:v>精装</x:v>
      </x:c>
      <x:c r="K793" s="48" t="str">
        <x:v>普通住宅</x:v>
      </x:c>
      <x:c r="L793" s="48" t="str">
        <x:v>是</x:v>
      </x:c>
      <x:c r="M793" s="48" t="str">
        <x:v>保留</x:v>
      </x:c>
      <x:c r="N793" s="48" t="str">
        <x:v>海珑华苑|1室0厅1|45|3200|南</x:v>
      </x:c>
      <x:c r="O793" s="48"/>
      <x:c r="P793" s="48" t="str">
        <x:v>未知（未逐条补齐）</x:v>
      </x:c>
      <x:c r="Q793" s="48" t="str">
        <x:v>https://shenzhen.leyoujia.com/zf/detail/QUbB2QEH9pFbwoMTc7epV8.html</x:v>
      </x:c>
      <x:c r="R793" s="48" t="str">
        <x:v>2026-08-13</x:v>
      </x:c>
    </x:row>
    <x:row r="794">
      <x:c r="A794" s="48" t="str">
        <x:v>海珑华苑</x:v>
      </x:c>
      <x:c r="B794" s="48" t="str">
        <x:v>海珑华苑</x:v>
      </x:c>
      <x:c r="C794" s="48" t="str">
        <x:v>黄贝岭</x:v>
      </x:c>
      <x:c r="D794" s="56" t="n">
        <x:v>6.3</x:v>
      </x:c>
      <x:c r="E794" s="61" t="n">
        <x:v>3200</x:v>
      </x:c>
      <x:c r="F794" s="61" t="n">
        <x:v>40.42</x:v>
      </x:c>
      <x:c r="G794" s="61" t="n">
        <x:v>79.2</x:v>
      </x:c>
      <x:c r="H794" s="48" t="str">
        <x:v>1室1厅1</x:v>
      </x:c>
      <x:c r="I794" s="48" t="str">
        <x:v>南</x:v>
      </x:c>
      <x:c r="J794" s="48" t="str">
        <x:v>普装</x:v>
      </x:c>
      <x:c r="K794" s="48" t="str">
        <x:v>普通住宅</x:v>
      </x:c>
      <x:c r="L794" s="48" t="str">
        <x:v>是</x:v>
      </x:c>
      <x:c r="M794" s="48" t="str">
        <x:v>保留</x:v>
      </x:c>
      <x:c r="N794" s="48" t="str">
        <x:v>海珑华苑|1室1厅1|40|3200|南</x:v>
      </x:c>
      <x:c r="O794" s="48"/>
      <x:c r="P794" s="48" t="str">
        <x:v>未知（未逐条补齐）</x:v>
      </x:c>
      <x:c r="Q794" s="48" t="str">
        <x:v>https://shenzhen.leyoujia.com/zf/detail/MxA3qBEqcLgxn3aWHCPCUc.html</x:v>
      </x:c>
      <x:c r="R794" s="48" t="str">
        <x:v>2026-08-13</x:v>
      </x:c>
    </x:row>
    <x:row r="795">
      <x:c r="A795" s="48" t="str">
        <x:v>海珑华苑</x:v>
      </x:c>
      <x:c r="B795" s="48" t="str">
        <x:v>海珑华苑</x:v>
      </x:c>
      <x:c r="C795" s="48" t="str">
        <x:v>黄贝岭</x:v>
      </x:c>
      <x:c r="D795" s="56" t="n">
        <x:v>6.3</x:v>
      </x:c>
      <x:c r="E795" s="61" t="n">
        <x:v>3300</x:v>
      </x:c>
      <x:c r="F795" s="61" t="n">
        <x:v>54</x:v>
      </x:c>
      <x:c r="G795" s="61" t="n">
        <x:v>61.1</x:v>
      </x:c>
      <x:c r="H795" s="48" t="str">
        <x:v>1室1厅1</x:v>
      </x:c>
      <x:c r="I795" s="48" t="str">
        <x:v>南</x:v>
      </x:c>
      <x:c r="J795" s="48" t="str">
        <x:v>精装</x:v>
      </x:c>
      <x:c r="K795" s="48" t="str">
        <x:v>普通住宅</x:v>
      </x:c>
      <x:c r="L795" s="48" t="str">
        <x:v>是</x:v>
      </x:c>
      <x:c r="M795" s="48" t="str">
        <x:v>保留</x:v>
      </x:c>
      <x:c r="N795" s="48" t="str">
        <x:v>海珑华苑|1室1厅1|54|3300|南</x:v>
      </x:c>
      <x:c r="O795" s="48"/>
      <x:c r="P795" s="48" t="str">
        <x:v>未知（未逐条补齐）</x:v>
      </x:c>
      <x:c r="Q795" s="48" t="str">
        <x:v>https://shenzhen.leyoujia.com/zf/detail/L3hydY67Uhmb78L4a5TZEi.html</x:v>
      </x:c>
      <x:c r="R795" s="48" t="str">
        <x:v>2026-08-13</x:v>
      </x:c>
    </x:row>
    <x:row r="796">
      <x:c r="A796" s="48" t="str">
        <x:v>海珑华苑</x:v>
      </x:c>
      <x:c r="B796" s="48" t="str">
        <x:v>海珑华苑</x:v>
      </x:c>
      <x:c r="C796" s="48" t="str">
        <x:v>黄贝岭</x:v>
      </x:c>
      <x:c r="D796" s="56" t="n">
        <x:v>6.3</x:v>
      </x:c>
      <x:c r="E796" s="61" t="n">
        <x:v>3500</x:v>
      </x:c>
      <x:c r="F796" s="61" t="n">
        <x:v>44.8</x:v>
      </x:c>
      <x:c r="G796" s="61" t="n">
        <x:v>78.1</x:v>
      </x:c>
      <x:c r="H796" s="48" t="str">
        <x:v>1室0厅1</x:v>
      </x:c>
      <x:c r="I796" s="48" t="str">
        <x:v>北</x:v>
      </x:c>
      <x:c r="J796" s="48" t="str">
        <x:v>精装</x:v>
      </x:c>
      <x:c r="K796" s="48" t="str">
        <x:v>普通住宅</x:v>
      </x:c>
      <x:c r="L796" s="48" t="str">
        <x:v>是</x:v>
      </x:c>
      <x:c r="M796" s="48" t="str">
        <x:v>保留</x:v>
      </x:c>
      <x:c r="N796" s="48" t="str">
        <x:v>海珑华苑|1室0厅1|45|3500|北</x:v>
      </x:c>
      <x:c r="O796" s="48"/>
      <x:c r="P796" s="48" t="str">
        <x:v>未知（未逐条补齐）</x:v>
      </x:c>
      <x:c r="Q796" s="48" t="str">
        <x:v>https://shenzhen.leyoujia.com/zf/detail/XwJcG266GDFY8mHqkKWXL1.html</x:v>
      </x:c>
      <x:c r="R796" s="48" t="str">
        <x:v>2026-08-13</x:v>
      </x:c>
    </x:row>
    <x:row r="797">
      <x:c r="A797" s="48" t="str">
        <x:v>海珑华苑</x:v>
      </x:c>
      <x:c r="B797" s="48" t="str">
        <x:v>海珑华苑</x:v>
      </x:c>
      <x:c r="C797" s="48" t="str">
        <x:v>黄贝岭</x:v>
      </x:c>
      <x:c r="D797" s="56" t="n">
        <x:v>6.3</x:v>
      </x:c>
      <x:c r="E797" s="61" t="n">
        <x:v>4000</x:v>
      </x:c>
      <x:c r="F797" s="61" t="n">
        <x:v>47</x:v>
      </x:c>
      <x:c r="G797" s="61" t="n">
        <x:v>85.1</x:v>
      </x:c>
      <x:c r="H797" s="48" t="str">
        <x:v>1室0厅1</x:v>
      </x:c>
      <x:c r="I797" s="48" t="str">
        <x:v>东</x:v>
      </x:c>
      <x:c r="J797" s="48" t="str">
        <x:v>普装</x:v>
      </x:c>
      <x:c r="K797" s="48" t="str">
        <x:v>普通住宅</x:v>
      </x:c>
      <x:c r="L797" s="48" t="str">
        <x:v>否</x:v>
      </x:c>
      <x:c r="M797" s="48" t="str">
        <x:v>异常高价</x:v>
      </x:c>
      <x:c r="N797" s="48" t="str">
        <x:v>海珑华苑|1室0厅1|47|4000|东</x:v>
      </x:c>
      <x:c r="O797" s="48"/>
      <x:c r="P797" s="48" t="str">
        <x:v>未知（未逐条补齐）</x:v>
      </x:c>
      <x:c r="Q797" s="48" t="str">
        <x:v>https://shenzhen.leyoujia.com/zf/detail/AC2FkPgcnhvWraXDawmVG4.html</x:v>
      </x:c>
      <x:c r="R797" s="48" t="str">
        <x:v>2026-08-13</x:v>
      </x:c>
    </x:row>
    <x:row r="798">
      <x:c r="A798" s="48" t="str">
        <x:v>金城华庭</x:v>
      </x:c>
      <x:c r="B798" s="48" t="str">
        <x:v>金城华庭</x:v>
      </x:c>
      <x:c r="C798" s="48" t="str">
        <x:v>黄贝岭</x:v>
      </x:c>
      <x:c r="D798" s="56" t="n">
        <x:v>10.7</x:v>
      </x:c>
      <x:c r="E798" s="61" t="n">
        <x:v>3500</x:v>
      </x:c>
      <x:c r="F798" s="61" t="n">
        <x:v>38.54</x:v>
      </x:c>
      <x:c r="G798" s="61" t="n">
        <x:v>90.8</x:v>
      </x:c>
      <x:c r="H798" s="48" t="str">
        <x:v>1室1厅1</x:v>
      </x:c>
      <x:c r="I798" s="48" t="str">
        <x:v>北</x:v>
      </x:c>
      <x:c r="J798" s="48" t="str">
        <x:v>精装</x:v>
      </x:c>
      <x:c r="K798" s="48" t="str">
        <x:v>普通住宅</x:v>
      </x:c>
      <x:c r="L798" s="48" t="str">
        <x:v>是</x:v>
      </x:c>
      <x:c r="M798" s="48" t="str">
        <x:v>保留</x:v>
      </x:c>
      <x:c r="N798" s="48" t="str">
        <x:v>金城华庭|1室1厅1|39|3500|北</x:v>
      </x:c>
      <x:c r="O798" s="48"/>
      <x:c r="P798" s="48" t="str">
        <x:v>未知（未逐条补齐）</x:v>
      </x:c>
      <x:c r="Q798" s="48" t="str">
        <x:v>https://shenzhen.leyoujia.com/zf/detail/6wGnFh8Uo8F6G26bmYjvjP.html</x:v>
      </x:c>
      <x:c r="R798" s="48" t="str">
        <x:v>2026-08-13</x:v>
      </x:c>
    </x:row>
    <x:row r="799">
      <x:c r="A799" s="48" t="str">
        <x:v>金城华庭</x:v>
      </x:c>
      <x:c r="B799" s="48" t="str">
        <x:v>金城华庭</x:v>
      </x:c>
      <x:c r="C799" s="48" t="str">
        <x:v>黄贝岭</x:v>
      </x:c>
      <x:c r="D799" s="56" t="n">
        <x:v>10.7</x:v>
      </x:c>
      <x:c r="E799" s="61" t="n">
        <x:v>3600</x:v>
      </x:c>
      <x:c r="F799" s="61" t="n">
        <x:v>39.02</x:v>
      </x:c>
      <x:c r="G799" s="61" t="n">
        <x:v>92.3</x:v>
      </x:c>
      <x:c r="H799" s="48" t="str">
        <x:v>1室1厅1</x:v>
      </x:c>
      <x:c r="I799" s="48" t="str">
        <x:v>北</x:v>
      </x:c>
      <x:c r="J799" s="48" t="str">
        <x:v>精装</x:v>
      </x:c>
      <x:c r="K799" s="48" t="str">
        <x:v>普通住宅</x:v>
      </x:c>
      <x:c r="L799" s="48" t="str">
        <x:v>是</x:v>
      </x:c>
      <x:c r="M799" s="48" t="str">
        <x:v>保留</x:v>
      </x:c>
      <x:c r="N799" s="48" t="str">
        <x:v>金城华庭|1室1厅1|39|3600|北</x:v>
      </x:c>
      <x:c r="O799" s="48"/>
      <x:c r="P799" s="48" t="str">
        <x:v>未知（未逐条补齐）</x:v>
      </x:c>
      <x:c r="Q799" s="48" t="str">
        <x:v>https://shenzhen.leyoujia.com/zf/detail/F3PQnfkHrxQmV7LtS3YmQu.html</x:v>
      </x:c>
      <x:c r="R799" s="48" t="str">
        <x:v>2026-08-13</x:v>
      </x:c>
    </x:row>
    <x:row r="800">
      <x:c r="A800" s="48" t="str">
        <x:v>金城华庭</x:v>
      </x:c>
      <x:c r="B800" s="48" t="str">
        <x:v>金城华庭</x:v>
      </x:c>
      <x:c r="C800" s="48" t="str">
        <x:v>黄贝岭</x:v>
      </x:c>
      <x:c r="D800" s="56" t="n">
        <x:v>10.7</x:v>
      </x:c>
      <x:c r="E800" s="61" t="n">
        <x:v>3800</x:v>
      </x:c>
      <x:c r="F800" s="61" t="n">
        <x:v>38.69</x:v>
      </x:c>
      <x:c r="G800" s="61" t="n">
        <x:v>98.2</x:v>
      </x:c>
      <x:c r="H800" s="48" t="str">
        <x:v>1室1厅1</x:v>
      </x:c>
      <x:c r="I800" s="48" t="str">
        <x:v>西北</x:v>
      </x:c>
      <x:c r="J800" s="48" t="str">
        <x:v>精装</x:v>
      </x:c>
      <x:c r="K800" s="48" t="str">
        <x:v>普通住宅</x:v>
      </x:c>
      <x:c r="L800" s="48" t="str">
        <x:v>是</x:v>
      </x:c>
      <x:c r="M800" s="48" t="str">
        <x:v>保留</x:v>
      </x:c>
      <x:c r="N800" s="48" t="str">
        <x:v>金城华庭|1室1厅1|39|3800|西北</x:v>
      </x:c>
      <x:c r="O800" s="48"/>
      <x:c r="P800" s="48" t="str">
        <x:v>未知（未逐条补齐）</x:v>
      </x:c>
      <x:c r="Q800" s="48" t="str">
        <x:v>https://shenzhen.leyoujia.com/zf/detail/T7gsTrz93hi7FT8ed5Q8t2.html</x:v>
      </x:c>
      <x:c r="R800" s="48" t="str">
        <x:v>2026-08-13</x:v>
      </x:c>
    </x:row>
    <x:row r="801">
      <x:c r="A801" s="48" t="str">
        <x:v>金城华庭</x:v>
      </x:c>
      <x:c r="B801" s="48" t="str">
        <x:v>金城华庭</x:v>
      </x:c>
      <x:c r="C801" s="48" t="str">
        <x:v>黄贝岭</x:v>
      </x:c>
      <x:c r="D801" s="56" t="n">
        <x:v>10.7</x:v>
      </x:c>
      <x:c r="E801" s="61" t="n">
        <x:v>3800</x:v>
      </x:c>
      <x:c r="F801" s="61" t="n">
        <x:v>35.58</x:v>
      </x:c>
      <x:c r="G801" s="61" t="n">
        <x:v>106.8</x:v>
      </x:c>
      <x:c r="H801" s="48" t="str">
        <x:v>1室1厅1</x:v>
      </x:c>
      <x:c r="I801" s="48" t="str">
        <x:v>北</x:v>
      </x:c>
      <x:c r="J801" s="48" t="str">
        <x:v>普装</x:v>
      </x:c>
      <x:c r="K801" s="48" t="str">
        <x:v>普通住宅</x:v>
      </x:c>
      <x:c r="L801" s="48" t="str">
        <x:v>是</x:v>
      </x:c>
      <x:c r="M801" s="48" t="str">
        <x:v>保留</x:v>
      </x:c>
      <x:c r="N801" s="48" t="str">
        <x:v>金城华庭|1室1厅1|36|3800|北</x:v>
      </x:c>
      <x:c r="O801" s="48"/>
      <x:c r="P801" s="48" t="str">
        <x:v>未知（未逐条补齐）</x:v>
      </x:c>
      <x:c r="Q801" s="48" t="str">
        <x:v>https://shenzhen.leyoujia.com/zf/detail/3NqJHYf2LXk8th41hFu953.html</x:v>
      </x:c>
      <x:c r="R801" s="48" t="str">
        <x:v>2026-08-13</x:v>
      </x:c>
    </x:row>
    <x:row r="802">
      <x:c r="A802" s="48" t="str">
        <x:v>金城华庭</x:v>
      </x:c>
      <x:c r="B802" s="48" t="str">
        <x:v>金城华庭</x:v>
      </x:c>
      <x:c r="C802" s="48" t="str">
        <x:v>黄贝岭</x:v>
      </x:c>
      <x:c r="D802" s="56" t="n">
        <x:v>10.7</x:v>
      </x:c>
      <x:c r="E802" s="61" t="n">
        <x:v>3800</x:v>
      </x:c>
      <x:c r="F802" s="61" t="n">
        <x:v>35.47</x:v>
      </x:c>
      <x:c r="G802" s="61" t="n">
        <x:v>107.1</x:v>
      </x:c>
      <x:c r="H802" s="48" t="str">
        <x:v>1室1厅1</x:v>
      </x:c>
      <x:c r="I802" s="48" t="str">
        <x:v>东</x:v>
      </x:c>
      <x:c r="J802" s="48" t="str">
        <x:v>精装</x:v>
      </x:c>
      <x:c r="K802" s="48" t="str">
        <x:v>普通住宅</x:v>
      </x:c>
      <x:c r="L802" s="48" t="str">
        <x:v>是</x:v>
      </x:c>
      <x:c r="M802" s="48" t="str">
        <x:v>保留</x:v>
      </x:c>
      <x:c r="N802" s="48" t="str">
        <x:v>金城华庭|1室1厅1|35|3800|东</x:v>
      </x:c>
      <x:c r="O802" s="48"/>
      <x:c r="P802" s="48" t="str">
        <x:v>未知（未逐条补齐）</x:v>
      </x:c>
      <x:c r="Q802" s="48" t="str">
        <x:v>https://shenzhen.leyoujia.com/zf/detail/KVZS5t6KpFpTjVDxEzDd2V.html</x:v>
      </x:c>
      <x:c r="R802" s="48" t="str">
        <x:v>2026-08-13</x:v>
      </x:c>
    </x:row>
    <x:row r="803">
      <x:c r="A803" s="48" t="str">
        <x:v>金城华庭</x:v>
      </x:c>
      <x:c r="B803" s="48" t="str">
        <x:v>金城华庭</x:v>
      </x:c>
      <x:c r="C803" s="48" t="str">
        <x:v>黄贝岭</x:v>
      </x:c>
      <x:c r="D803" s="56" t="n">
        <x:v>10.7</x:v>
      </x:c>
      <x:c r="E803" s="61" t="n">
        <x:v>4000</x:v>
      </x:c>
      <x:c r="F803" s="61" t="n">
        <x:v>35.58</x:v>
      </x:c>
      <x:c r="G803" s="61" t="n">
        <x:v>112.4</x:v>
      </x:c>
      <x:c r="H803" s="48" t="str">
        <x:v>1室1厅1</x:v>
      </x:c>
      <x:c r="I803" s="48" t="str">
        <x:v>北</x:v>
      </x:c>
      <x:c r="J803" s="48" t="str">
        <x:v>精装</x:v>
      </x:c>
      <x:c r="K803" s="48" t="str">
        <x:v>普通住宅</x:v>
      </x:c>
      <x:c r="L803" s="48" t="str">
        <x:v>是</x:v>
      </x:c>
      <x:c r="M803" s="48" t="str">
        <x:v>保留</x:v>
      </x:c>
      <x:c r="N803" s="48" t="str">
        <x:v>金城华庭|1室1厅1|36|4000|北</x:v>
      </x:c>
      <x:c r="O803" s="48"/>
      <x:c r="P803" s="48" t="str">
        <x:v>未知（未逐条补齐）</x:v>
      </x:c>
      <x:c r="Q803" s="48" t="str">
        <x:v>https://shenzhen.leyoujia.com/zf/detail/EQRDJKfwb4vjzjB5BoivWZ.html</x:v>
      </x:c>
      <x:c r="R803" s="48" t="str">
        <x:v>2026-08-13</x:v>
      </x:c>
    </x:row>
    <x:row r="804">
      <x:c r="A804" s="48" t="str">
        <x:v>金城华庭</x:v>
      </x:c>
      <x:c r="B804" s="48" t="str">
        <x:v>金城华庭</x:v>
      </x:c>
      <x:c r="C804" s="48" t="str">
        <x:v>黄贝岭</x:v>
      </x:c>
      <x:c r="D804" s="56" t="n">
        <x:v>10.7</x:v>
      </x:c>
      <x:c r="E804" s="61" t="n">
        <x:v>4000</x:v>
      </x:c>
      <x:c r="F804" s="61" t="n">
        <x:v>38.66</x:v>
      </x:c>
      <x:c r="G804" s="61" t="n">
        <x:v>103.5</x:v>
      </x:c>
      <x:c r="H804" s="48" t="str">
        <x:v>1室1厅1</x:v>
      </x:c>
      <x:c r="I804" s="48" t="str">
        <x:v>西北</x:v>
      </x:c>
      <x:c r="J804" s="48" t="str">
        <x:v>精装</x:v>
      </x:c>
      <x:c r="K804" s="48" t="str">
        <x:v>普通住宅</x:v>
      </x:c>
      <x:c r="L804" s="48" t="str">
        <x:v>是</x:v>
      </x:c>
      <x:c r="M804" s="48" t="str">
        <x:v>保留</x:v>
      </x:c>
      <x:c r="N804" s="48" t="str">
        <x:v>金城华庭|1室1厅1|39|4000|西北</x:v>
      </x:c>
      <x:c r="O804" s="48"/>
      <x:c r="P804" s="48" t="str">
        <x:v>未知（未逐条补齐）</x:v>
      </x:c>
      <x:c r="Q804" s="48" t="str">
        <x:v>https://shenzhen.leyoujia.com/zf/detail/TyjG52tMRNQutAWmHhkSpp.html</x:v>
      </x:c>
      <x:c r="R804" s="48" t="str">
        <x:v>2026-08-13</x:v>
      </x:c>
    </x:row>
    <x:row r="805">
      <x:c r="A805" s="48" t="str">
        <x:v>金城华庭</x:v>
      </x:c>
      <x:c r="B805" s="48" t="str">
        <x:v>金城华庭</x:v>
      </x:c>
      <x:c r="C805" s="48" t="str">
        <x:v>黄贝岭</x:v>
      </x:c>
      <x:c r="D805" s="56" t="n">
        <x:v>10.7</x:v>
      </x:c>
      <x:c r="E805" s="61" t="n">
        <x:v>4000</x:v>
      </x:c>
      <x:c r="F805" s="61" t="n">
        <x:v>38.96</x:v>
      </x:c>
      <x:c r="G805" s="61" t="n">
        <x:v>102.7</x:v>
      </x:c>
      <x:c r="H805" s="48" t="str">
        <x:v>1室1厅1</x:v>
      </x:c>
      <x:c r="I805" s="48" t="str">
        <x:v>北</x:v>
      </x:c>
      <x:c r="J805" s="48" t="str">
        <x:v>普装</x:v>
      </x:c>
      <x:c r="K805" s="48" t="str">
        <x:v>普通住宅</x:v>
      </x:c>
      <x:c r="L805" s="48" t="str">
        <x:v>是</x:v>
      </x:c>
      <x:c r="M805" s="48" t="str">
        <x:v>保留</x:v>
      </x:c>
      <x:c r="N805" s="48" t="str">
        <x:v>金城华庭|1室1厅1|39|4000|北</x:v>
      </x:c>
      <x:c r="O805" s="48"/>
      <x:c r="P805" s="48" t="str">
        <x:v>未知（未逐条补齐）</x:v>
      </x:c>
      <x:c r="Q805" s="48" t="str">
        <x:v>https://shenzhen.leyoujia.com/zf/detail/JGBin4yLi6i6thBo5Bs2Sa.html</x:v>
      </x:c>
      <x:c r="R805" s="48" t="str">
        <x:v>2026-08-13</x:v>
      </x:c>
    </x:row>
    <x:row r="806">
      <x:c r="A806" s="48" t="str">
        <x:v>金城华庭</x:v>
      </x:c>
      <x:c r="B806" s="48" t="str">
        <x:v>金城华庭</x:v>
      </x:c>
      <x:c r="C806" s="48" t="str">
        <x:v>黄贝岭</x:v>
      </x:c>
      <x:c r="D806" s="56" t="n">
        <x:v>10.7</x:v>
      </x:c>
      <x:c r="E806" s="61" t="n">
        <x:v>4100</x:v>
      </x:c>
      <x:c r="F806" s="61" t="n">
        <x:v>38.66</x:v>
      </x:c>
      <x:c r="G806" s="61" t="n">
        <x:v>106.1</x:v>
      </x:c>
      <x:c r="H806" s="48" t="str">
        <x:v>1室1厅1</x:v>
      </x:c>
      <x:c r="I806" s="48" t="str">
        <x:v>北</x:v>
      </x:c>
      <x:c r="J806" s="48" t="str">
        <x:v>精装</x:v>
      </x:c>
      <x:c r="K806" s="48" t="str">
        <x:v>普通住宅</x:v>
      </x:c>
      <x:c r="L806" s="48" t="str">
        <x:v>是</x:v>
      </x:c>
      <x:c r="M806" s="48" t="str">
        <x:v>保留</x:v>
      </x:c>
      <x:c r="N806" s="48" t="str">
        <x:v>金城华庭|1室1厅1|39|4100|北</x:v>
      </x:c>
      <x:c r="O806" s="48"/>
      <x:c r="P806" s="48" t="str">
        <x:v>未知（未逐条补齐）</x:v>
      </x:c>
      <x:c r="Q806" s="48" t="str">
        <x:v>https://shenzhen.leyoujia.com/zf/detail/JqnTBpijvX71eQSgJZ2LZ9.html</x:v>
      </x:c>
      <x:c r="R806" s="48" t="str">
        <x:v>2026-08-13</x:v>
      </x:c>
    </x:row>
    <x:row r="807">
      <x:c r="A807" s="48" t="str">
        <x:v>金城华庭</x:v>
      </x:c>
      <x:c r="B807" s="48" t="str">
        <x:v>金城华庭</x:v>
      </x:c>
      <x:c r="C807" s="48" t="str">
        <x:v>黄贝岭</x:v>
      </x:c>
      <x:c r="D807" s="56" t="n">
        <x:v>10.7</x:v>
      </x:c>
      <x:c r="E807" s="61" t="n">
        <x:v>4200</x:v>
      </x:c>
      <x:c r="F807" s="61" t="n">
        <x:v>36.43</x:v>
      </x:c>
      <x:c r="G807" s="61" t="n">
        <x:v>115.3</x:v>
      </x:c>
      <x:c r="H807" s="48" t="str">
        <x:v>1室1厅1</x:v>
      </x:c>
      <x:c r="I807" s="48" t="str">
        <x:v>东南</x:v>
      </x:c>
      <x:c r="J807" s="48" t="str">
        <x:v>精装</x:v>
      </x:c>
      <x:c r="K807" s="48" t="str">
        <x:v>普通住宅</x:v>
      </x:c>
      <x:c r="L807" s="48" t="str">
        <x:v>是</x:v>
      </x:c>
      <x:c r="M807" s="48" t="str">
        <x:v>保留</x:v>
      </x:c>
      <x:c r="N807" s="48" t="str">
        <x:v>金城华庭|1室1厅1|36|4200|东南</x:v>
      </x:c>
      <x:c r="O807" s="48"/>
      <x:c r="P807" s="48" t="str">
        <x:v>未知（未逐条补齐）</x:v>
      </x:c>
      <x:c r="Q807" s="48" t="str">
        <x:v>https://shenzhen.leyoujia.com/zf/detail/Uh2GM7TafduAba7W6mRfJV.html</x:v>
      </x:c>
      <x:c r="R807" s="48" t="str">
        <x:v>2026-08-13</x:v>
      </x:c>
    </x:row>
    <x:row r="808">
      <x:c r="A808" s="48" t="str">
        <x:v>金城华庭</x:v>
      </x:c>
      <x:c r="B808" s="48" t="str">
        <x:v>金城华庭</x:v>
      </x:c>
      <x:c r="C808" s="48" t="str">
        <x:v>黄贝岭</x:v>
      </x:c>
      <x:c r="D808" s="56" t="n">
        <x:v>10.7</x:v>
      </x:c>
      <x:c r="E808" s="61" t="n">
        <x:v>4500</x:v>
      </x:c>
      <x:c r="F808" s="61" t="n">
        <x:v>39.08</x:v>
      </x:c>
      <x:c r="G808" s="61" t="n">
        <x:v>115.1</x:v>
      </x:c>
      <x:c r="H808" s="48" t="str">
        <x:v>1室1厅1</x:v>
      </x:c>
      <x:c r="I808" s="48" t="str">
        <x:v>北</x:v>
      </x:c>
      <x:c r="J808" s="48" t="str">
        <x:v>精装</x:v>
      </x:c>
      <x:c r="K808" s="48" t="str">
        <x:v>普通住宅</x:v>
      </x:c>
      <x:c r="L808" s="48" t="str">
        <x:v>否</x:v>
      </x:c>
      <x:c r="M808" s="48" t="str">
        <x:v>异常高价</x:v>
      </x:c>
      <x:c r="N808" s="48" t="str">
        <x:v>金城华庭|1室1厅1|39|4500|北</x:v>
      </x:c>
      <x:c r="O808" s="48"/>
      <x:c r="P808" s="48" t="str">
        <x:v>未知（未逐条补齐）</x:v>
      </x:c>
      <x:c r="Q808" s="48" t="str">
        <x:v>https://shenzhen.leyoujia.com/zf/detail/2WMMzxoKxUWQmbHPb2GKKk.html</x:v>
      </x:c>
      <x:c r="R808" s="48" t="str">
        <x:v>2026-08-13</x:v>
      </x:c>
    </x:row>
    <x:row r="809">
      <x:c r="A809" s="48" t="str">
        <x:v>文锦花园(春风路)</x:v>
      </x:c>
      <x:c r="B809" s="48" t="str">
        <x:v>文锦花园</x:v>
      </x:c>
      <x:c r="C809" s="48" t="str">
        <x:v>黄贝岭</x:v>
      </x:c>
      <x:c r="D809" s="56" t="n">
        <x:v>12.2</x:v>
      </x:c>
      <x:c r="E809" s="61" t="n">
        <x:v>2480</x:v>
      </x:c>
      <x:c r="F809" s="61" t="n">
        <x:v>26</x:v>
      </x:c>
      <x:c r="G809" s="61" t="n">
        <x:v>95.4</x:v>
      </x:c>
      <x:c r="H809" s="48" t="str">
        <x:v>1室0厅1</x:v>
      </x:c>
      <x:c r="I809" s="48" t="str">
        <x:v>南</x:v>
      </x:c>
      <x:c r="J809" s="48" t="str">
        <x:v>普装</x:v>
      </x:c>
      <x:c r="K809" s="48" t="str">
        <x:v>普通住宅</x:v>
      </x:c>
      <x:c r="L809" s="48" t="str">
        <x:v>是</x:v>
      </x:c>
      <x:c r="M809" s="48" t="str">
        <x:v>保留</x:v>
      </x:c>
      <x:c r="N809" s="48" t="str">
        <x:v>文锦花园|1室0厅1|26|2480|南</x:v>
      </x:c>
      <x:c r="O809" s="48"/>
      <x:c r="P809" s="48" t="str">
        <x:v>未知（未逐条补齐）</x:v>
      </x:c>
      <x:c r="Q809" s="48" t="str">
        <x:v>https://shenzhen.leyoujia.com/zf/detail/KJ1dkymn17eNtDERrT4T1v.html</x:v>
      </x:c>
      <x:c r="R809" s="48" t="str">
        <x:v>2026-08-13</x:v>
      </x:c>
    </x:row>
    <x:row r="810">
      <x:c r="A810" s="48" t="str">
        <x:v>文锦花园(春风路)</x:v>
      </x:c>
      <x:c r="B810" s="48" t="str">
        <x:v>文锦花园</x:v>
      </x:c>
      <x:c r="C810" s="48" t="str">
        <x:v>黄贝岭</x:v>
      </x:c>
      <x:c r="D810" s="56" t="n">
        <x:v>12.2</x:v>
      </x:c>
      <x:c r="E810" s="61" t="n">
        <x:v>2980</x:v>
      </x:c>
      <x:c r="F810" s="61" t="n">
        <x:v>30</x:v>
      </x:c>
      <x:c r="G810" s="61" t="n">
        <x:v>99.3</x:v>
      </x:c>
      <x:c r="H810" s="48" t="str">
        <x:v>1室1厅1</x:v>
      </x:c>
      <x:c r="I810" s="48" t="str">
        <x:v>北</x:v>
      </x:c>
      <x:c r="J810" s="48" t="str">
        <x:v>普装</x:v>
      </x:c>
      <x:c r="K810" s="48" t="str">
        <x:v>普通住宅</x:v>
      </x:c>
      <x:c r="L810" s="48" t="str">
        <x:v>是</x:v>
      </x:c>
      <x:c r="M810" s="48" t="str">
        <x:v>保留</x:v>
      </x:c>
      <x:c r="N810" s="48" t="str">
        <x:v>文锦花园|1室1厅1|30|2980|北</x:v>
      </x:c>
      <x:c r="O810" s="48"/>
      <x:c r="P810" s="48" t="str">
        <x:v>未知（未逐条补齐）</x:v>
      </x:c>
      <x:c r="Q810" s="48" t="str">
        <x:v>https://shenzhen.leyoujia.com/zf/detail/8rLCYDycEbPY5vbLNKZRum.html</x:v>
      </x:c>
      <x:c r="R810" s="48" t="str">
        <x:v>2026-08-13</x:v>
      </x:c>
    </x:row>
    <x:row r="811">
      <x:c r="A811" s="48" t="str">
        <x:v>文锦花园(春风路)</x:v>
      </x:c>
      <x:c r="B811" s="48" t="str">
        <x:v>文锦花园</x:v>
      </x:c>
      <x:c r="C811" s="48" t="str">
        <x:v>黄贝岭</x:v>
      </x:c>
      <x:c r="D811" s="56" t="n">
        <x:v>12.2</x:v>
      </x:c>
      <x:c r="E811" s="61" t="n">
        <x:v>2980</x:v>
      </x:c>
      <x:c r="F811" s="61" t="n">
        <x:v>30</x:v>
      </x:c>
      <x:c r="G811" s="61" t="n">
        <x:v>99.3</x:v>
      </x:c>
      <x:c r="H811" s="48" t="str">
        <x:v>1室1厅1</x:v>
      </x:c>
      <x:c r="I811" s="48" t="str">
        <x:v>东</x:v>
      </x:c>
      <x:c r="J811" s="48" t="str">
        <x:v>普装</x:v>
      </x:c>
      <x:c r="K811" s="48" t="str">
        <x:v>普通住宅</x:v>
      </x:c>
      <x:c r="L811" s="48" t="str">
        <x:v>是</x:v>
      </x:c>
      <x:c r="M811" s="48" t="str">
        <x:v>保留</x:v>
      </x:c>
      <x:c r="N811" s="48" t="str">
        <x:v>文锦花园|1室1厅1|30|2980|东</x:v>
      </x:c>
      <x:c r="O811" s="48"/>
      <x:c r="P811" s="48" t="str">
        <x:v>未知（未逐条补齐）</x:v>
      </x:c>
      <x:c r="Q811" s="48" t="str">
        <x:v>https://shenzhen.leyoujia.com/zf/detail/HfmbLuGeZEJPfHv6LWRM9a.html</x:v>
      </x:c>
      <x:c r="R811" s="48" t="str">
        <x:v>2026-08-13</x:v>
      </x:c>
    </x:row>
    <x:row r="812">
      <x:c r="A812" s="48" t="str">
        <x:v>深业东岭</x:v>
      </x:c>
      <x:c r="B812" s="48" t="str">
        <x:v>深业东岭</x:v>
      </x:c>
      <x:c r="C812" s="48" t="str">
        <x:v>黄贝岭</x:v>
      </x:c>
      <x:c r="D812" s="56" t="n">
        <x:v>7.8</x:v>
      </x:c>
      <x:c r="E812" s="61" t="n">
        <x:v>3600</x:v>
      </x:c>
      <x:c r="F812" s="61" t="n">
        <x:v>33.11</x:v>
      </x:c>
      <x:c r="G812" s="61" t="n">
        <x:v>108.7</x:v>
      </x:c>
      <x:c r="H812" s="48" t="str">
        <x:v>1室0厅1</x:v>
      </x:c>
      <x:c r="I812" s="48" t="str">
        <x:v>南</x:v>
      </x:c>
      <x:c r="J812" s="48" t="str">
        <x:v>精装</x:v>
      </x:c>
      <x:c r="K812" s="48" t="str">
        <x:v>普通住宅</x:v>
      </x:c>
      <x:c r="L812" s="48" t="str">
        <x:v>是</x:v>
      </x:c>
      <x:c r="M812" s="48" t="str">
        <x:v>保留</x:v>
      </x:c>
      <x:c r="N812" s="48" t="str">
        <x:v>深业东岭|1室0厅1|33|3600|南</x:v>
      </x:c>
      <x:c r="O812" s="48"/>
      <x:c r="P812" s="48" t="str">
        <x:v>未知（未逐条补齐）</x:v>
      </x:c>
      <x:c r="Q812" s="48" t="str">
        <x:v>https://shenzhen.leyoujia.com/zf/detail/Cfz3zuTbLQhduqKucybdPm.html</x:v>
      </x:c>
      <x:c r="R812" s="48" t="str">
        <x:v>2026-08-13</x:v>
      </x:c>
    </x:row>
    <x:row r="813">
      <x:c r="A813" s="48" t="str">
        <x:v>深业东岭</x:v>
      </x:c>
      <x:c r="B813" s="48" t="str">
        <x:v>深业东岭</x:v>
      </x:c>
      <x:c r="C813" s="48" t="str">
        <x:v>黄贝岭</x:v>
      </x:c>
      <x:c r="D813" s="56" t="n">
        <x:v>7.8</x:v>
      </x:c>
      <x:c r="E813" s="61" t="n">
        <x:v>4000</x:v>
      </x:c>
      <x:c r="F813" s="61" t="n">
        <x:v>37</x:v>
      </x:c>
      <x:c r="G813" s="61" t="n">
        <x:v>108.1</x:v>
      </x:c>
      <x:c r="H813" s="48" t="str">
        <x:v>1室0厅1</x:v>
      </x:c>
      <x:c r="I813" s="48" t="str">
        <x:v>东</x:v>
      </x:c>
      <x:c r="J813" s="48" t="str">
        <x:v>豪装</x:v>
      </x:c>
      <x:c r="K813" s="48" t="str">
        <x:v>普通住宅</x:v>
      </x:c>
      <x:c r="L813" s="48" t="str">
        <x:v>是</x:v>
      </x:c>
      <x:c r="M813" s="48" t="str">
        <x:v>保留</x:v>
      </x:c>
      <x:c r="N813" s="48" t="str">
        <x:v>深业东岭|1室0厅1|37|4000|东</x:v>
      </x:c>
      <x:c r="O813" s="48"/>
      <x:c r="P813" s="48" t="str">
        <x:v>未知（未逐条补齐）</x:v>
      </x:c>
      <x:c r="Q813" s="48" t="str">
        <x:v>https://shenzhen.leyoujia.com/zf/detail/Ns2jR8UzhzZZGSiAop5UFc.html</x:v>
      </x:c>
      <x:c r="R813" s="48" t="str">
        <x:v>2026-08-13</x:v>
      </x:c>
    </x:row>
    <x:row r="814">
      <x:c r="A814" s="48" t="str">
        <x:v>深业东岭</x:v>
      </x:c>
      <x:c r="B814" s="48" t="str">
        <x:v>深业东岭</x:v>
      </x:c>
      <x:c r="C814" s="48" t="str">
        <x:v>黄贝岭</x:v>
      </x:c>
      <x:c r="D814" s="56" t="n">
        <x:v>7.8</x:v>
      </x:c>
      <x:c r="E814" s="61" t="n">
        <x:v>4200</x:v>
      </x:c>
      <x:c r="F814" s="61" t="n">
        <x:v>39</x:v>
      </x:c>
      <x:c r="G814" s="61" t="n">
        <x:v>107.7</x:v>
      </x:c>
      <x:c r="H814" s="48" t="str">
        <x:v>1室0厅1</x:v>
      </x:c>
      <x:c r="I814" s="48" t="str">
        <x:v>南</x:v>
      </x:c>
      <x:c r="J814" s="48" t="str">
        <x:v>普装</x:v>
      </x:c>
      <x:c r="K814" s="48" t="str">
        <x:v>普通住宅</x:v>
      </x:c>
      <x:c r="L814" s="48" t="str">
        <x:v>是</x:v>
      </x:c>
      <x:c r="M814" s="48" t="str">
        <x:v>保留</x:v>
      </x:c>
      <x:c r="N814" s="48" t="str">
        <x:v>深业东岭|1室0厅1|39|4200|南</x:v>
      </x:c>
      <x:c r="O814" s="48"/>
      <x:c r="P814" s="48" t="str">
        <x:v>未知（未逐条补齐）</x:v>
      </x:c>
      <x:c r="Q814" s="48" t="str">
        <x:v>https://shenzhen.leyoujia.com/zf/detail/4gJdpBwEXvEY78poDHcphg.html</x:v>
      </x:c>
      <x:c r="R814" s="48" t="str">
        <x:v>2026-08-13</x:v>
      </x:c>
    </x:row>
    <x:row r="815">
      <x:c r="A815" s="48" t="str">
        <x:v>深业东岭</x:v>
      </x:c>
      <x:c r="B815" s="48" t="str">
        <x:v>深业东岭二期</x:v>
      </x:c>
      <x:c r="C815" s="48" t="str">
        <x:v>黄贝岭</x:v>
      </x:c>
      <x:c r="D815" s="56" t="n">
        <x:v>7.8</x:v>
      </x:c>
      <x:c r="E815" s="61" t="n">
        <x:v>4300</x:v>
      </x:c>
      <x:c r="F815" s="61" t="n">
        <x:v>37.81</x:v>
      </x:c>
      <x:c r="G815" s="61" t="n">
        <x:v>113.7</x:v>
      </x:c>
      <x:c r="H815" s="48" t="str">
        <x:v>1室0厅1</x:v>
      </x:c>
      <x:c r="I815" s="48" t="str">
        <x:v>东北</x:v>
      </x:c>
      <x:c r="J815" s="48" t="str">
        <x:v>普装</x:v>
      </x:c>
      <x:c r="K815" s="48" t="str">
        <x:v>普通住宅</x:v>
      </x:c>
      <x:c r="L815" s="48" t="str">
        <x:v>是</x:v>
      </x:c>
      <x:c r="M815" s="48" t="str">
        <x:v>保留</x:v>
      </x:c>
      <x:c r="N815" s="48" t="str">
        <x:v>深业东岭二期|1室0厅1|38|4300|东北</x:v>
      </x:c>
      <x:c r="O815" s="48"/>
      <x:c r="P815" s="48" t="str">
        <x:v>未知（未逐条补齐）</x:v>
      </x:c>
      <x:c r="Q815" s="48" t="str">
        <x:v>https://shenzhen.leyoujia.com/zf/detail/15qQASQ3aPxcnLW4M6Zdhr.html</x:v>
      </x:c>
      <x:c r="R815" s="48" t="str">
        <x:v>2026-08-13</x:v>
      </x:c>
    </x:row>
    <x:row r="816">
      <x:c r="A816" s="48" t="str">
        <x:v>深业东岭</x:v>
      </x:c>
      <x:c r="B816" s="48" t="str">
        <x:v>深业东岭二期</x:v>
      </x:c>
      <x:c r="C816" s="48" t="str">
        <x:v>黄贝岭</x:v>
      </x:c>
      <x:c r="D816" s="56" t="n">
        <x:v>7.8</x:v>
      </x:c>
      <x:c r="E816" s="61" t="n">
        <x:v>4500</x:v>
      </x:c>
      <x:c r="F816" s="61" t="n">
        <x:v>36.49</x:v>
      </x:c>
      <x:c r="G816" s="61" t="n">
        <x:v>123.3</x:v>
      </x:c>
      <x:c r="H816" s="48" t="str">
        <x:v>1室0厅1</x:v>
      </x:c>
      <x:c r="I816" s="48" t="str">
        <x:v>南</x:v>
      </x:c>
      <x:c r="J816" s="48" t="str">
        <x:v>精装</x:v>
      </x:c>
      <x:c r="K816" s="48" t="str">
        <x:v>普通住宅</x:v>
      </x:c>
      <x:c r="L816" s="48" t="str">
        <x:v>是</x:v>
      </x:c>
      <x:c r="M816" s="48" t="str">
        <x:v>保留</x:v>
      </x:c>
      <x:c r="N816" s="48" t="str">
        <x:v>深业东岭二期|1室0厅1|36|4500|南</x:v>
      </x:c>
      <x:c r="O816" s="48"/>
      <x:c r="P816" s="48" t="str">
        <x:v>未知（未逐条补齐）</x:v>
      </x:c>
      <x:c r="Q816" s="48" t="str">
        <x:v>https://shenzhen.leyoujia.com/zf/detail/Tc2FGy1Liq48C5JMTzk6pS.html</x:v>
      </x:c>
      <x:c r="R816" s="48" t="str">
        <x:v>2026-08-13</x:v>
      </x:c>
    </x:row>
    <x:row r="817">
      <x:c r="A817" s="48" t="str">
        <x:v>深业东岭</x:v>
      </x:c>
      <x:c r="B817" s="48" t="str">
        <x:v>深业东岭</x:v>
      </x:c>
      <x:c r="C817" s="48" t="str">
        <x:v>黄贝岭</x:v>
      </x:c>
      <x:c r="D817" s="56" t="n">
        <x:v>7.8</x:v>
      </x:c>
      <x:c r="E817" s="61" t="n">
        <x:v>4700</x:v>
      </x:c>
      <x:c r="F817" s="61" t="n">
        <x:v>39</x:v>
      </x:c>
      <x:c r="G817" s="61" t="n">
        <x:v>120.5</x:v>
      </x:c>
      <x:c r="H817" s="48" t="str">
        <x:v>1室1厅1</x:v>
      </x:c>
      <x:c r="I817" s="48" t="str">
        <x:v>南</x:v>
      </x:c>
      <x:c r="J817" s="48" t="str">
        <x:v>精装</x:v>
      </x:c>
      <x:c r="K817" s="48" t="str">
        <x:v>普通住宅</x:v>
      </x:c>
      <x:c r="L817" s="48" t="str">
        <x:v>是</x:v>
      </x:c>
      <x:c r="M817" s="48" t="str">
        <x:v>保留</x:v>
      </x:c>
      <x:c r="N817" s="48" t="str">
        <x:v>深业东岭|1室1厅1|39|4700|南</x:v>
      </x:c>
      <x:c r="O817" s="48"/>
      <x:c r="P817" s="48" t="str">
        <x:v>未知（未逐条补齐）</x:v>
      </x:c>
      <x:c r="Q817" s="48" t="str">
        <x:v>https://shenzhen.leyoujia.com/zf/detail/JiEazNYEf5eWfUSo2DtM6V.html</x:v>
      </x:c>
      <x:c r="R817" s="48" t="str">
        <x:v>2026-08-13</x:v>
      </x:c>
    </x:row>
    <x:row r="818">
      <x:c r="A818" s="48" t="str">
        <x:v>深业东岭</x:v>
      </x:c>
      <x:c r="B818" s="48" t="str">
        <x:v>深业东岭</x:v>
      </x:c>
      <x:c r="C818" s="48" t="str">
        <x:v>黄贝岭</x:v>
      </x:c>
      <x:c r="D818" s="56" t="n">
        <x:v>7.8</x:v>
      </x:c>
      <x:c r="E818" s="61" t="n">
        <x:v>4700</x:v>
      </x:c>
      <x:c r="F818" s="61" t="n">
        <x:v>37</x:v>
      </x:c>
      <x:c r="G818" s="61" t="n">
        <x:v>127</x:v>
      </x:c>
      <x:c r="H818" s="48" t="str">
        <x:v>1室0厅1</x:v>
      </x:c>
      <x:c r="I818" s="48" t="str">
        <x:v>东</x:v>
      </x:c>
      <x:c r="J818" s="48" t="str">
        <x:v>精装</x:v>
      </x:c>
      <x:c r="K818" s="48" t="str">
        <x:v>普通住宅</x:v>
      </x:c>
      <x:c r="L818" s="48" t="str">
        <x:v>是</x:v>
      </x:c>
      <x:c r="M818" s="48" t="str">
        <x:v>保留</x:v>
      </x:c>
      <x:c r="N818" s="48" t="str">
        <x:v>深业东岭|1室0厅1|37|4700|东</x:v>
      </x:c>
      <x:c r="O818" s="48"/>
      <x:c r="P818" s="48" t="str">
        <x:v>未知（未逐条补齐）</x:v>
      </x:c>
      <x:c r="Q818" s="48" t="str">
        <x:v>https://shenzhen.leyoujia.com/zf/detail/NJBkacuuykru4wFXh2TFFt.html</x:v>
      </x:c>
      <x:c r="R818" s="48" t="str">
        <x:v>2026-08-13</x:v>
      </x:c>
    </x:row>
    <x:row r="819">
      <x:c r="A819" s="48" t="str">
        <x:v>深业东岭</x:v>
      </x:c>
      <x:c r="B819" s="48" t="str">
        <x:v>深业东岭二期</x:v>
      </x:c>
      <x:c r="C819" s="48" t="str">
        <x:v>黄贝岭</x:v>
      </x:c>
      <x:c r="D819" s="56" t="n">
        <x:v>7.8</x:v>
      </x:c>
      <x:c r="E819" s="61" t="n">
        <x:v>4800</x:v>
      </x:c>
      <x:c r="F819" s="61" t="n">
        <x:v>36.49</x:v>
      </x:c>
      <x:c r="G819" s="61" t="n">
        <x:v>131.5</x:v>
      </x:c>
      <x:c r="H819" s="48" t="str">
        <x:v>1室0厅1</x:v>
      </x:c>
      <x:c r="I819" s="48" t="str">
        <x:v>南</x:v>
      </x:c>
      <x:c r="J819" s="48" t="str">
        <x:v>精装</x:v>
      </x:c>
      <x:c r="K819" s="48" t="str">
        <x:v>普通住宅</x:v>
      </x:c>
      <x:c r="L819" s="48" t="str">
        <x:v>是</x:v>
      </x:c>
      <x:c r="M819" s="48" t="str">
        <x:v>保留</x:v>
      </x:c>
      <x:c r="N819" s="48" t="str">
        <x:v>深业东岭二期|1室0厅1|36|4800|南</x:v>
      </x:c>
      <x:c r="O819" s="48"/>
      <x:c r="P819" s="48" t="str">
        <x:v>未知（未逐条补齐）</x:v>
      </x:c>
      <x:c r="Q819" s="48" t="str">
        <x:v>https://shenzhen.leyoujia.com/zf/detail/4Tc12FqqjMZS7WCu7gbtNf.html</x:v>
      </x:c>
      <x:c r="R819" s="48" t="str">
        <x:v>2026-08-13</x:v>
      </x:c>
    </x:row>
    <x:row r="820">
      <x:c r="A820" s="48" t="str">
        <x:v>深业东岭</x:v>
      </x:c>
      <x:c r="B820" s="48" t="str">
        <x:v>深业东岭二期</x:v>
      </x:c>
      <x:c r="C820" s="48" t="str">
        <x:v>黄贝岭</x:v>
      </x:c>
      <x:c r="D820" s="56" t="n">
        <x:v>7.8</x:v>
      </x:c>
      <x:c r="E820" s="61" t="n">
        <x:v>4800</x:v>
      </x:c>
      <x:c r="F820" s="61" t="n">
        <x:v>36.49</x:v>
      </x:c>
      <x:c r="G820" s="61" t="n">
        <x:v>131.5</x:v>
      </x:c>
      <x:c r="H820" s="48" t="str">
        <x:v>1室0厅1</x:v>
      </x:c>
      <x:c r="I820" s="48" t="str">
        <x:v>东南</x:v>
      </x:c>
      <x:c r="J820" s="48" t="str">
        <x:v>豪装</x:v>
      </x:c>
      <x:c r="K820" s="48" t="str">
        <x:v>普通住宅</x:v>
      </x:c>
      <x:c r="L820" s="48" t="str">
        <x:v>是</x:v>
      </x:c>
      <x:c r="M820" s="48" t="str">
        <x:v>保留</x:v>
      </x:c>
      <x:c r="N820" s="48" t="str">
        <x:v>深业东岭二期|1室0厅1|36|4800|东南</x:v>
      </x:c>
      <x:c r="O820" s="48"/>
      <x:c r="P820" s="48" t="str">
        <x:v>未知（未逐条补齐）</x:v>
      </x:c>
      <x:c r="Q820" s="48" t="str">
        <x:v>https://shenzhen.leyoujia.com/zf/detail/MZhNjUfSZRfQgedjVsiBqd.html</x:v>
      </x:c>
      <x:c r="R820" s="48" t="str">
        <x:v>2026-08-13</x:v>
      </x:c>
    </x:row>
    <x:row r="821">
      <x:c r="A821" s="48" t="str">
        <x:v>深业东岭</x:v>
      </x:c>
      <x:c r="B821" s="48" t="str">
        <x:v>深业东岭</x:v>
      </x:c>
      <x:c r="C821" s="48" t="str">
        <x:v>黄贝岭</x:v>
      </x:c>
      <x:c r="D821" s="56" t="n">
        <x:v>7.8</x:v>
      </x:c>
      <x:c r="E821" s="61" t="n">
        <x:v>5000</x:v>
      </x:c>
      <x:c r="F821" s="61" t="n">
        <x:v>41.85</x:v>
      </x:c>
      <x:c r="G821" s="61" t="n">
        <x:v>119.5</x:v>
      </x:c>
      <x:c r="H821" s="48" t="str">
        <x:v>1室1厅1</x:v>
      </x:c>
      <x:c r="I821" s="48" t="str">
        <x:v>东南</x:v>
      </x:c>
      <x:c r="J821" s="48" t="str">
        <x:v>精装</x:v>
      </x:c>
      <x:c r="K821" s="48" t="str">
        <x:v>普通住宅</x:v>
      </x:c>
      <x:c r="L821" s="48" t="str">
        <x:v>是</x:v>
      </x:c>
      <x:c r="M821" s="48" t="str">
        <x:v>保留</x:v>
      </x:c>
      <x:c r="N821" s="48" t="str">
        <x:v>深业东岭|1室1厅1|42|5000|东南</x:v>
      </x:c>
      <x:c r="O821" s="48"/>
      <x:c r="P821" s="48" t="str">
        <x:v>未知（未逐条补齐）</x:v>
      </x:c>
      <x:c r="Q821" s="48" t="str">
        <x:v>https://shenzhen.leyoujia.com/zf/detail/DoFD7wAhG1ATDFY891znQv.html</x:v>
      </x:c>
      <x:c r="R821" s="48" t="str">
        <x:v>2026-08-13</x:v>
      </x:c>
    </x:row>
    <x:row r="822">
      <x:c r="A822" s="48" t="str">
        <x:v>深业东岭</x:v>
      </x:c>
      <x:c r="B822" s="48" t="str">
        <x:v>深业东岭</x:v>
      </x:c>
      <x:c r="C822" s="48" t="str">
        <x:v>黄贝岭</x:v>
      </x:c>
      <x:c r="D822" s="56" t="n">
        <x:v>7.8</x:v>
      </x:c>
      <x:c r="E822" s="61" t="n">
        <x:v>5000</x:v>
      </x:c>
      <x:c r="F822" s="61" t="n">
        <x:v>41.78</x:v>
      </x:c>
      <x:c r="G822" s="61" t="n">
        <x:v>119.7</x:v>
      </x:c>
      <x:c r="H822" s="48" t="str">
        <x:v>1室1厅1</x:v>
      </x:c>
      <x:c r="I822" s="48" t="str">
        <x:v>西</x:v>
      </x:c>
      <x:c r="J822" s="48" t="str">
        <x:v>普装</x:v>
      </x:c>
      <x:c r="K822" s="48" t="str">
        <x:v>普通住宅</x:v>
      </x:c>
      <x:c r="L822" s="48" t="str">
        <x:v>是</x:v>
      </x:c>
      <x:c r="M822" s="48" t="str">
        <x:v>保留</x:v>
      </x:c>
      <x:c r="N822" s="48" t="str">
        <x:v>深业东岭|1室1厅1|42|5000|西</x:v>
      </x:c>
      <x:c r="O822" s="48"/>
      <x:c r="P822" s="48" t="str">
        <x:v>未知（未逐条补齐）</x:v>
      </x:c>
      <x:c r="Q822" s="48" t="str">
        <x:v>https://shenzhen.leyoujia.com/zf/detail/3cyAZwfskcCDfQRFV2ALiN.html</x:v>
      </x:c>
      <x:c r="R822" s="48" t="str">
        <x:v>2026-08-13</x:v>
      </x:c>
    </x:row>
    <x:row r="823">
      <x:c r="A823" s="48" t="str">
        <x:v>深业东岭</x:v>
      </x:c>
      <x:c r="B823" s="48" t="str">
        <x:v>深业东岭</x:v>
      </x:c>
      <x:c r="C823" s="48" t="str">
        <x:v>黄贝岭</x:v>
      </x:c>
      <x:c r="D823" s="56" t="n">
        <x:v>7.8</x:v>
      </x:c>
      <x:c r="E823" s="61" t="n">
        <x:v>5000</x:v>
      </x:c>
      <x:c r="F823" s="61" t="n">
        <x:v>42</x:v>
      </x:c>
      <x:c r="G823" s="61" t="n">
        <x:v>119</x:v>
      </x:c>
      <x:c r="H823" s="48" t="str">
        <x:v>1室1厅1</x:v>
      </x:c>
      <x:c r="I823" s="48" t="str">
        <x:v>东南</x:v>
      </x:c>
      <x:c r="J823" s="48" t="str">
        <x:v>普装</x:v>
      </x:c>
      <x:c r="K823" s="48" t="str">
        <x:v>普通住宅</x:v>
      </x:c>
      <x:c r="L823" s="48" t="str">
        <x:v>否</x:v>
      </x:c>
      <x:c r="M823" s="48" t="str">
        <x:v>疑似重复挂牌</x:v>
      </x:c>
      <x:c r="N823" s="48" t="str">
        <x:v>深业东岭|1室1厅1|42|5000|东南</x:v>
      </x:c>
      <x:c r="O823" s="48"/>
      <x:c r="P823" s="48" t="str">
        <x:v>未知（未逐条补齐）</x:v>
      </x:c>
      <x:c r="Q823" s="48" t="str">
        <x:v>https://shenzhen.leyoujia.com/zf/detail/FhTKjK8MrbzYerhowg2G9r.html</x:v>
      </x:c>
      <x:c r="R823" s="48" t="str">
        <x:v>2026-08-13</x:v>
      </x:c>
    </x:row>
    <x:row r="824">
      <x:c r="A824" s="48" t="str">
        <x:v>深业东岭</x:v>
      </x:c>
      <x:c r="B824" s="48" t="str">
        <x:v>深业东岭</x:v>
      </x:c>
      <x:c r="C824" s="48" t="str">
        <x:v>黄贝岭</x:v>
      </x:c>
      <x:c r="D824" s="56" t="n">
        <x:v>7.8</x:v>
      </x:c>
      <x:c r="E824" s="61" t="n">
        <x:v>5000</x:v>
      </x:c>
      <x:c r="F824" s="61" t="n">
        <x:v>42</x:v>
      </x:c>
      <x:c r="G824" s="61" t="n">
        <x:v>119</x:v>
      </x:c>
      <x:c r="H824" s="48" t="str">
        <x:v>1室1厅1</x:v>
      </x:c>
      <x:c r="I824" s="48" t="str">
        <x:v>南</x:v>
      </x:c>
      <x:c r="J824" s="48" t="str">
        <x:v>精装</x:v>
      </x:c>
      <x:c r="K824" s="48" t="str">
        <x:v>普通住宅</x:v>
      </x:c>
      <x:c r="L824" s="48" t="str">
        <x:v>是</x:v>
      </x:c>
      <x:c r="M824" s="48" t="str">
        <x:v>保留</x:v>
      </x:c>
      <x:c r="N824" s="48" t="str">
        <x:v>深业东岭|1室1厅1|42|5000|南</x:v>
      </x:c>
      <x:c r="O824" s="48"/>
      <x:c r="P824" s="48" t="str">
        <x:v>未知（未逐条补齐）</x:v>
      </x:c>
      <x:c r="Q824" s="48" t="str">
        <x:v>https://shenzhen.leyoujia.com/zf/detail/2H46qHzxqtAKpChpxhGGJL.html</x:v>
      </x:c>
      <x:c r="R824" s="48" t="str">
        <x:v>2026-08-13</x:v>
      </x:c>
    </x:row>
    <x:row r="825">
      <x:c r="A825" s="48" t="str">
        <x:v>锦星花园</x:v>
      </x:c>
      <x:c r="B825" s="48" t="str">
        <x:v>锦星花园</x:v>
      </x:c>
      <x:c r="C825" s="48" t="str">
        <x:v>黄贝岭</x:v>
      </x:c>
      <x:c r="D825" s="56" t="n">
        <x:v>9.7</x:v>
      </x:c>
      <x:c r="E825" s="61" t="n">
        <x:v>2800</x:v>
      </x:c>
      <x:c r="F825" s="61" t="n">
        <x:v>20</x:v>
      </x:c>
      <x:c r="G825" s="61" t="n">
        <x:v>140</x:v>
      </x:c>
      <x:c r="H825" s="48" t="str">
        <x:v>1室0厅1</x:v>
      </x:c>
      <x:c r="I825" s="48" t="str">
        <x:v>南北</x:v>
      </x:c>
      <x:c r="J825" s="48" t="str">
        <x:v>普装</x:v>
      </x:c>
      <x:c r="K825" s="48" t="str">
        <x:v>普通住宅</x:v>
      </x:c>
      <x:c r="L825" s="48" t="str">
        <x:v>是</x:v>
      </x:c>
      <x:c r="M825" s="48" t="str">
        <x:v>保留</x:v>
      </x:c>
      <x:c r="N825" s="48" t="str">
        <x:v>锦星花园|1室0厅1|20|2800|南北</x:v>
      </x:c>
      <x:c r="O825" s="48"/>
      <x:c r="P825" s="48" t="str">
        <x:v>未知（未逐条补齐）</x:v>
      </x:c>
      <x:c r="Q825" s="48" t="str">
        <x:v>https://shenzhen.leyoujia.com/zf/detail/U6nLMvAvk2B5iuU9FZSWAv.html</x:v>
      </x:c>
      <x:c r="R825" s="48" t="str">
        <x:v>2026-08-13</x:v>
      </x:c>
    </x:row>
    <x:row r="826">
      <x:c r="A826" s="48" t="str">
        <x:v>锦星花园</x:v>
      </x:c>
      <x:c r="B826" s="48" t="str">
        <x:v>锦星花园</x:v>
      </x:c>
      <x:c r="C826" s="48" t="str">
        <x:v>黄贝岭</x:v>
      </x:c>
      <x:c r="D826" s="56" t="n">
        <x:v>9.7</x:v>
      </x:c>
      <x:c r="E826" s="61" t="n">
        <x:v>3000</x:v>
      </x:c>
      <x:c r="F826" s="61" t="n">
        <x:v>20</x:v>
      </x:c>
      <x:c r="G826" s="61" t="n">
        <x:v>150</x:v>
      </x:c>
      <x:c r="H826" s="48" t="str">
        <x:v>1室0厅1</x:v>
      </x:c>
      <x:c r="I826" s="48" t="str">
        <x:v>南北</x:v>
      </x:c>
      <x:c r="J826" s="48" t="str">
        <x:v>精装</x:v>
      </x:c>
      <x:c r="K826" s="48" t="str">
        <x:v>普通住宅</x:v>
      </x:c>
      <x:c r="L826" s="48" t="str">
        <x:v>是</x:v>
      </x:c>
      <x:c r="M826" s="48" t="str">
        <x:v>保留</x:v>
      </x:c>
      <x:c r="N826" s="48" t="str">
        <x:v>锦星花园|1室0厅1|20|3000|南北</x:v>
      </x:c>
      <x:c r="O826" s="48"/>
      <x:c r="P826" s="48" t="str">
        <x:v>未知（未逐条补齐）</x:v>
      </x:c>
      <x:c r="Q826" s="48" t="str">
        <x:v>https://shenzhen.leyoujia.com/zf/detail/AJ5aTE33ccSvzp691LpvDC.html</x:v>
      </x:c>
      <x:c r="R826" s="48" t="str">
        <x:v>2026-08-13</x:v>
      </x:c>
    </x:row>
    <x:row r="827">
      <x:c r="A827" s="48" t="str">
        <x:v>华丽东村</x:v>
      </x:c>
      <x:c r="B827" s="48" t="str">
        <x:v>华丽东村</x:v>
      </x:c>
      <x:c r="C827" s="48" t="str">
        <x:v>黄贝岭</x:v>
      </x:c>
      <x:c r="D827" s="56" t="n">
        <x:v>14.2</x:v>
      </x:c>
      <x:c r="E827" s="61" t="n">
        <x:v>2400</x:v>
      </x:c>
      <x:c r="F827" s="61" t="n">
        <x:v>20</x:v>
      </x:c>
      <x:c r="G827" s="61" t="n">
        <x:v>120</x:v>
      </x:c>
      <x:c r="H827" s="48" t="str">
        <x:v>1室0厅1</x:v>
      </x:c>
      <x:c r="I827" s="48" t="str">
        <x:v>东</x:v>
      </x:c>
      <x:c r="J827" s="48" t="str">
        <x:v>待核</x:v>
      </x:c>
      <x:c r="K827" s="48" t="str">
        <x:v>住宅</x:v>
      </x:c>
      <x:c r="L827" s="48" t="str">
        <x:v>是</x:v>
      </x:c>
      <x:c r="M827" s="48" t="str">
        <x:v>保留</x:v>
      </x:c>
      <x:c r="N827" s="48" t="str">
        <x:v>华丽东村|1室0厅1|20|2400|东</x:v>
      </x:c>
      <x:c r="O827" s="48"/>
      <x:c r="P827" s="48" t="str">
        <x:v>未知（未逐条补齐）</x:v>
      </x:c>
      <x:c r="Q827" s="48" t="str">
        <x:v>https://shenzhen.leyoujia.com/zf/detail/A3ZHKHAc7wgekZBLcL2Xwk.html</x:v>
      </x:c>
      <x:c r="R827" s="48" t="str">
        <x:v>2026-08-13</x:v>
      </x:c>
    </x:row>
    <x:row r="828">
      <x:c r="A828" s="48" t="str">
        <x:v>华丽东村</x:v>
      </x:c>
      <x:c r="B828" s="48" t="str">
        <x:v>华丽东村</x:v>
      </x:c>
      <x:c r="C828" s="48" t="str">
        <x:v>黄贝岭</x:v>
      </x:c>
      <x:c r="D828" s="56" t="n">
        <x:v>14.2</x:v>
      </x:c>
      <x:c r="E828" s="61" t="n">
        <x:v>2480</x:v>
      </x:c>
      <x:c r="F828" s="61" t="n">
        <x:v>25</x:v>
      </x:c>
      <x:c r="G828" s="61" t="n">
        <x:v>99.2</x:v>
      </x:c>
      <x:c r="H828" s="48" t="str">
        <x:v>1室0厅1</x:v>
      </x:c>
      <x:c r="I828" s="48" t="str">
        <x:v>南</x:v>
      </x:c>
      <x:c r="J828" s="48" t="str">
        <x:v>普装</x:v>
      </x:c>
      <x:c r="K828" s="48" t="str">
        <x:v>普通住宅</x:v>
      </x:c>
      <x:c r="L828" s="48" t="str">
        <x:v>是</x:v>
      </x:c>
      <x:c r="M828" s="48" t="str">
        <x:v>保留</x:v>
      </x:c>
      <x:c r="N828" s="48" t="str">
        <x:v>华丽东村|1室0厅1|25|2480|南</x:v>
      </x:c>
      <x:c r="O828" s="48"/>
      <x:c r="P828" s="48" t="str">
        <x:v>未知（未逐条补齐）</x:v>
      </x:c>
      <x:c r="Q828" s="48" t="str">
        <x:v>https://shenzhen.leyoujia.com/zf/detail/Eb5apR1mS5Sm9KCfbFp8dh.html</x:v>
      </x:c>
      <x:c r="R828" s="48" t="str">
        <x:v>2026-08-13</x:v>
      </x:c>
    </x:row>
    <x:row r="829">
      <x:c r="A829" s="48" t="str">
        <x:v>华丽东村</x:v>
      </x:c>
      <x:c r="B829" s="48" t="str">
        <x:v>华丽东村</x:v>
      </x:c>
      <x:c r="C829" s="48" t="str">
        <x:v>黄贝岭</x:v>
      </x:c>
      <x:c r="D829" s="56" t="n">
        <x:v>14.2</x:v>
      </x:c>
      <x:c r="E829" s="61" t="n">
        <x:v>2580</x:v>
      </x:c>
      <x:c r="F829" s="61" t="n">
        <x:v>20</x:v>
      </x:c>
      <x:c r="G829" s="61" t="n">
        <x:v>129</x:v>
      </x:c>
      <x:c r="H829" s="48" t="str">
        <x:v>1室0厅1</x:v>
      </x:c>
      <x:c r="I829" s="48" t="str">
        <x:v>西北</x:v>
      </x:c>
      <x:c r="J829" s="48" t="str">
        <x:v>普装</x:v>
      </x:c>
      <x:c r="K829" s="48" t="str">
        <x:v>普通住宅</x:v>
      </x:c>
      <x:c r="L829" s="48" t="str">
        <x:v>是</x:v>
      </x:c>
      <x:c r="M829" s="48" t="str">
        <x:v>保留</x:v>
      </x:c>
      <x:c r="N829" s="48" t="str">
        <x:v>华丽东村|1室0厅1|20|2580|西北</x:v>
      </x:c>
      <x:c r="O829" s="48"/>
      <x:c r="P829" s="48" t="str">
        <x:v>未知（未逐条补齐）</x:v>
      </x:c>
      <x:c r="Q829" s="48" t="str">
        <x:v>https://shenzhen.leyoujia.com/zf/detail/5KXkaasgSHUREkoxkrvuXV.html</x:v>
      </x:c>
      <x:c r="R829" s="48" t="str">
        <x:v>2026-08-13</x:v>
      </x:c>
    </x:row>
    <x:row r="830">
      <x:c r="A830" s="48" t="str">
        <x:v>华丽东村</x:v>
      </x:c>
      <x:c r="B830" s="48" t="str">
        <x:v>华丽东村</x:v>
      </x:c>
      <x:c r="C830" s="48" t="str">
        <x:v>黄贝岭</x:v>
      </x:c>
      <x:c r="D830" s="56" t="n">
        <x:v>14.2</x:v>
      </x:c>
      <x:c r="E830" s="61" t="n">
        <x:v>2680</x:v>
      </x:c>
      <x:c r="F830" s="61" t="n">
        <x:v>25</x:v>
      </x:c>
      <x:c r="G830" s="61" t="n">
        <x:v>107.2</x:v>
      </x:c>
      <x:c r="H830" s="48" t="str">
        <x:v>1室0厅1</x:v>
      </x:c>
      <x:c r="I830" s="48" t="str">
        <x:v>南</x:v>
      </x:c>
      <x:c r="J830" s="48" t="str">
        <x:v>普装</x:v>
      </x:c>
      <x:c r="K830" s="48" t="str">
        <x:v>普通住宅</x:v>
      </x:c>
      <x:c r="L830" s="48" t="str">
        <x:v>是</x:v>
      </x:c>
      <x:c r="M830" s="48" t="str">
        <x:v>保留</x:v>
      </x:c>
      <x:c r="N830" s="48" t="str">
        <x:v>华丽东村|1室0厅1|25|2680|南</x:v>
      </x:c>
      <x:c r="O830" s="48"/>
      <x:c r="P830" s="48" t="str">
        <x:v>未知（未逐条补齐）</x:v>
      </x:c>
      <x:c r="Q830" s="48" t="str">
        <x:v>https://shenzhen.leyoujia.com/zf/detail/27ZJjtPqFpnvoCabAR6QwY.html</x:v>
      </x:c>
      <x:c r="R830" s="48" t="str">
        <x:v>2026-08-13</x:v>
      </x:c>
    </x:row>
    <x:row r="831">
      <x:c r="A831" s="48" t="str">
        <x:v>华丽东村</x:v>
      </x:c>
      <x:c r="B831" s="48" t="str">
        <x:v>华丽东村</x:v>
      </x:c>
      <x:c r="C831" s="48" t="str">
        <x:v>黄贝岭</x:v>
      </x:c>
      <x:c r="D831" s="56" t="n">
        <x:v>14.2</x:v>
      </x:c>
      <x:c r="E831" s="61" t="n">
        <x:v>2680</x:v>
      </x:c>
      <x:c r="F831" s="61" t="n">
        <x:v>35</x:v>
      </x:c>
      <x:c r="G831" s="61" t="n">
        <x:v>76.6</x:v>
      </x:c>
      <x:c r="H831" s="48" t="str">
        <x:v>1室0厅1</x:v>
      </x:c>
      <x:c r="I831" s="48" t="str">
        <x:v>西南</x:v>
      </x:c>
      <x:c r="J831" s="48" t="str">
        <x:v>待核</x:v>
      </x:c>
      <x:c r="K831" s="48" t="str">
        <x:v>住宅</x:v>
      </x:c>
      <x:c r="L831" s="48" t="str">
        <x:v>是</x:v>
      </x:c>
      <x:c r="M831" s="48" t="str">
        <x:v>保留</x:v>
      </x:c>
      <x:c r="N831" s="48" t="str">
        <x:v>华丽东村|1室0厅1|35|2680|西南</x:v>
      </x:c>
      <x:c r="O831" s="48"/>
      <x:c r="P831" s="48" t="str">
        <x:v>未知（未逐条补齐）</x:v>
      </x:c>
      <x:c r="Q831" s="48" t="str">
        <x:v>https://shenzhen.leyoujia.com/zf/detail/LD2e3mvMsbSskrgVe8MA6Y.html</x:v>
      </x:c>
      <x:c r="R831" s="48" t="str">
        <x:v>2026-08-13</x:v>
      </x:c>
    </x:row>
    <x:row r="832">
      <x:c r="A832" s="48" t="str">
        <x:v>华丽东村</x:v>
      </x:c>
      <x:c r="B832" s="48" t="str">
        <x:v>华丽东村</x:v>
      </x:c>
      <x:c r="C832" s="48" t="str">
        <x:v>黄贝岭</x:v>
      </x:c>
      <x:c r="D832" s="56" t="n">
        <x:v>14.2</x:v>
      </x:c>
      <x:c r="E832" s="61" t="n">
        <x:v>2780</x:v>
      </x:c>
      <x:c r="F832" s="61" t="n">
        <x:v>35</x:v>
      </x:c>
      <x:c r="G832" s="61" t="n">
        <x:v>79.4</x:v>
      </x:c>
      <x:c r="H832" s="48" t="str">
        <x:v>1室1厅1</x:v>
      </x:c>
      <x:c r="I832" s="48" t="str">
        <x:v>南</x:v>
      </x:c>
      <x:c r="J832" s="48" t="str">
        <x:v>普装</x:v>
      </x:c>
      <x:c r="K832" s="48" t="str">
        <x:v>普通住宅</x:v>
      </x:c>
      <x:c r="L832" s="48" t="str">
        <x:v>是</x:v>
      </x:c>
      <x:c r="M832" s="48" t="str">
        <x:v>保留</x:v>
      </x:c>
      <x:c r="N832" s="48" t="str">
        <x:v>华丽东村|1室1厅1|35|2780|南</x:v>
      </x:c>
      <x:c r="O832" s="48"/>
      <x:c r="P832" s="48" t="str">
        <x:v>未知（未逐条补齐）</x:v>
      </x:c>
      <x:c r="Q832" s="48" t="str">
        <x:v>https://shenzhen.leyoujia.com/zf/detail/QosyzTSpTamozuHCLky8ox.html</x:v>
      </x:c>
      <x:c r="R832" s="48" t="str">
        <x:v>2026-08-13</x:v>
      </x:c>
    </x:row>
    <x:row r="833">
      <x:c r="A833" s="48" t="str">
        <x:v>华丽东村</x:v>
      </x:c>
      <x:c r="B833" s="48" t="str">
        <x:v>华丽东村</x:v>
      </x:c>
      <x:c r="C833" s="48" t="str">
        <x:v>黄贝岭</x:v>
      </x:c>
      <x:c r="D833" s="56" t="n">
        <x:v>14.2</x:v>
      </x:c>
      <x:c r="E833" s="61" t="n">
        <x:v>2880</x:v>
      </x:c>
      <x:c r="F833" s="61" t="n">
        <x:v>40</x:v>
      </x:c>
      <x:c r="G833" s="61" t="n">
        <x:v>72</x:v>
      </x:c>
      <x:c r="H833" s="48" t="str">
        <x:v>1室1厅1</x:v>
      </x:c>
      <x:c r="I833" s="48" t="str">
        <x:v>南</x:v>
      </x:c>
      <x:c r="J833" s="48" t="str">
        <x:v>普装</x:v>
      </x:c>
      <x:c r="K833" s="48" t="str">
        <x:v>普通住宅</x:v>
      </x:c>
      <x:c r="L833" s="48" t="str">
        <x:v>是</x:v>
      </x:c>
      <x:c r="M833" s="48" t="str">
        <x:v>保留</x:v>
      </x:c>
      <x:c r="N833" s="48" t="str">
        <x:v>华丽东村|1室1厅1|40|2880|南</x:v>
      </x:c>
      <x:c r="O833" s="48"/>
      <x:c r="P833" s="48" t="str">
        <x:v>未知（未逐条补齐）</x:v>
      </x:c>
      <x:c r="Q833" s="48" t="str">
        <x:v>https://shenzhen.leyoujia.com/zf/detail/JiK9Tg7qivQTjt2uSN6Nne.html</x:v>
      </x:c>
      <x:c r="R833" s="48" t="str">
        <x:v>2026-08-13</x:v>
      </x:c>
    </x:row>
    <x:row r="834">
      <x:c r="A834" s="48" t="str">
        <x:v>华丽东村</x:v>
      </x:c>
      <x:c r="B834" s="48" t="str">
        <x:v>华丽东村</x:v>
      </x:c>
      <x:c r="C834" s="48" t="str">
        <x:v>黄贝岭</x:v>
      </x:c>
      <x:c r="D834" s="56" t="n">
        <x:v>14.2</x:v>
      </x:c>
      <x:c r="E834" s="61" t="n">
        <x:v>2880</x:v>
      </x:c>
      <x:c r="F834" s="61" t="n">
        <x:v>40</x:v>
      </x:c>
      <x:c r="G834" s="61" t="n">
        <x:v>72</x:v>
      </x:c>
      <x:c r="H834" s="48" t="str">
        <x:v>1室0厅1</x:v>
      </x:c>
      <x:c r="I834" s="48" t="str">
        <x:v>南北</x:v>
      </x:c>
      <x:c r="J834" s="48" t="str">
        <x:v>普装</x:v>
      </x:c>
      <x:c r="K834" s="48" t="str">
        <x:v>普通住宅</x:v>
      </x:c>
      <x:c r="L834" s="48" t="str">
        <x:v>是</x:v>
      </x:c>
      <x:c r="M834" s="48" t="str">
        <x:v>保留</x:v>
      </x:c>
      <x:c r="N834" s="48" t="str">
        <x:v>华丽东村|1室0厅1|40|2880|南北</x:v>
      </x:c>
      <x:c r="O834" s="48"/>
      <x:c r="P834" s="48" t="str">
        <x:v>未知（未逐条补齐）</x:v>
      </x:c>
      <x:c r="Q834" s="48" t="str">
        <x:v>https://shenzhen.leyoujia.com/zf/detail/EocUjvNg1QVXrafwmDAuZJ.html</x:v>
      </x:c>
      <x:c r="R834" s="48" t="str">
        <x:v>2026-08-13</x:v>
      </x:c>
    </x:row>
    <x:row r="835">
      <x:c r="A835" s="48" t="str">
        <x:v>华丽东村</x:v>
      </x:c>
      <x:c r="B835" s="48" t="str">
        <x:v>华丽东村</x:v>
      </x:c>
      <x:c r="C835" s="48" t="str">
        <x:v>黄贝岭</x:v>
      </x:c>
      <x:c r="D835" s="56" t="n">
        <x:v>14.2</x:v>
      </x:c>
      <x:c r="E835" s="61" t="n">
        <x:v>2880</x:v>
      </x:c>
      <x:c r="F835" s="61" t="n">
        <x:v>30</x:v>
      </x:c>
      <x:c r="G835" s="61" t="n">
        <x:v>96</x:v>
      </x:c>
      <x:c r="H835" s="48" t="str">
        <x:v>1室0厅1</x:v>
      </x:c>
      <x:c r="I835" s="48" t="str">
        <x:v>东</x:v>
      </x:c>
      <x:c r="J835" s="48" t="str">
        <x:v>普装</x:v>
      </x:c>
      <x:c r="K835" s="48" t="str">
        <x:v>普通住宅</x:v>
      </x:c>
      <x:c r="L835" s="48" t="str">
        <x:v>是</x:v>
      </x:c>
      <x:c r="M835" s="48" t="str">
        <x:v>保留</x:v>
      </x:c>
      <x:c r="N835" s="48" t="str">
        <x:v>华丽东村|1室0厅1|30|2880|东</x:v>
      </x:c>
      <x:c r="O835" s="48"/>
      <x:c r="P835" s="48" t="str">
        <x:v>未知（未逐条补齐）</x:v>
      </x:c>
      <x:c r="Q835" s="48" t="str">
        <x:v>https://shenzhen.leyoujia.com/zf/detail/FUFLaLQprD4TMqjqEhtDdN.html</x:v>
      </x:c>
      <x:c r="R835" s="48" t="str">
        <x:v>2026-08-13</x:v>
      </x:c>
    </x:row>
    <x:row r="836">
      <x:c r="A836" s="48" t="str">
        <x:v>华丽东村</x:v>
      </x:c>
      <x:c r="B836" s="48" t="str">
        <x:v>华丽东村</x:v>
      </x:c>
      <x:c r="C836" s="48" t="str">
        <x:v>黄贝岭</x:v>
      </x:c>
      <x:c r="D836" s="56" t="n">
        <x:v>14.2</x:v>
      </x:c>
      <x:c r="E836" s="61" t="n">
        <x:v>2880</x:v>
      </x:c>
      <x:c r="F836" s="61" t="n">
        <x:v>30</x:v>
      </x:c>
      <x:c r="G836" s="61" t="n">
        <x:v>96</x:v>
      </x:c>
      <x:c r="H836" s="48" t="str">
        <x:v>1室1厅1</x:v>
      </x:c>
      <x:c r="I836" s="48" t="str">
        <x:v>南</x:v>
      </x:c>
      <x:c r="J836" s="48" t="str">
        <x:v>普装</x:v>
      </x:c>
      <x:c r="K836" s="48" t="str">
        <x:v>普通住宅</x:v>
      </x:c>
      <x:c r="L836" s="48" t="str">
        <x:v>是</x:v>
      </x:c>
      <x:c r="M836" s="48" t="str">
        <x:v>保留</x:v>
      </x:c>
      <x:c r="N836" s="48" t="str">
        <x:v>华丽东村|1室1厅1|30|2880|南</x:v>
      </x:c>
      <x:c r="O836" s="48"/>
      <x:c r="P836" s="48" t="str">
        <x:v>未知（未逐条补齐）</x:v>
      </x:c>
      <x:c r="Q836" s="48" t="str">
        <x:v>https://shenzhen.leyoujia.com/zf/detail/G2cgXXiFxeRudS3wJ2cmcu.html</x:v>
      </x:c>
      <x:c r="R836" s="48" t="str">
        <x:v>2026-08-13</x:v>
      </x:c>
    </x:row>
    <x:row r="837">
      <x:c r="A837" s="48" t="str">
        <x:v>华丽东村</x:v>
      </x:c>
      <x:c r="B837" s="48" t="str">
        <x:v>华丽东村</x:v>
      </x:c>
      <x:c r="C837" s="48" t="str">
        <x:v>黄贝岭</x:v>
      </x:c>
      <x:c r="D837" s="56" t="n">
        <x:v>14.2</x:v>
      </x:c>
      <x:c r="E837" s="61" t="n">
        <x:v>2880</x:v>
      </x:c>
      <x:c r="F837" s="61" t="n">
        <x:v>38</x:v>
      </x:c>
      <x:c r="G837" s="61" t="n">
        <x:v>75.8</x:v>
      </x:c>
      <x:c r="H837" s="48" t="str">
        <x:v>1室1厅1</x:v>
      </x:c>
      <x:c r="I837" s="48" t="str">
        <x:v>南</x:v>
      </x:c>
      <x:c r="J837" s="48" t="str">
        <x:v>普装</x:v>
      </x:c>
      <x:c r="K837" s="48" t="str">
        <x:v>普通住宅</x:v>
      </x:c>
      <x:c r="L837" s="48" t="str">
        <x:v>是</x:v>
      </x:c>
      <x:c r="M837" s="48" t="str">
        <x:v>保留</x:v>
      </x:c>
      <x:c r="N837" s="48" t="str">
        <x:v>华丽东村|1室1厅1|38|2880|南</x:v>
      </x:c>
      <x:c r="O837" s="48"/>
      <x:c r="P837" s="48" t="str">
        <x:v>未知（未逐条补齐）</x:v>
      </x:c>
      <x:c r="Q837" s="48" t="str">
        <x:v>https://shenzhen.leyoujia.com/zf/detail/9W6DicrvjNd6W3Jnz7V92K.html</x:v>
      </x:c>
      <x:c r="R837" s="48" t="str">
        <x:v>2026-08-13</x:v>
      </x:c>
    </x:row>
    <x:row r="838">
      <x:c r="A838" s="48" t="str">
        <x:v>金盾花园</x:v>
      </x:c>
      <x:c r="B838" s="48" t="str">
        <x:v>金盾花园</x:v>
      </x:c>
      <x:c r="C838" s="48" t="str">
        <x:v>黄贝岭</x:v>
      </x:c>
      <x:c r="D838" s="56" t="n">
        <x:v>13</x:v>
      </x:c>
      <x:c r="E838" s="61" t="n">
        <x:v>2480</x:v>
      </x:c>
      <x:c r="F838" s="61" t="n">
        <x:v>30</x:v>
      </x:c>
      <x:c r="G838" s="61" t="n">
        <x:v>82.7</x:v>
      </x:c>
      <x:c r="H838" s="48" t="str">
        <x:v>1室0厅1</x:v>
      </x:c>
      <x:c r="I838" s="48" t="str">
        <x:v>南</x:v>
      </x:c>
      <x:c r="J838" s="48" t="str">
        <x:v>普装</x:v>
      </x:c>
      <x:c r="K838" s="48" t="str">
        <x:v>普通住宅</x:v>
      </x:c>
      <x:c r="L838" s="48" t="str">
        <x:v>是</x:v>
      </x:c>
      <x:c r="M838" s="48" t="str">
        <x:v>保留</x:v>
      </x:c>
      <x:c r="N838" s="48" t="str">
        <x:v>金盾花园|1室0厅1|30|2480|南</x:v>
      </x:c>
      <x:c r="O838" s="48"/>
      <x:c r="P838" s="48" t="str">
        <x:v>未知（未逐条补齐）</x:v>
      </x:c>
      <x:c r="Q838" s="48" t="str">
        <x:v>https://shenzhen.leyoujia.com/zf/detail/GFiHtpfPZwkDTGSr1dvDcC.html</x:v>
      </x:c>
      <x:c r="R838" s="48" t="str">
        <x:v>2026-08-13</x:v>
      </x:c>
    </x:row>
    <x:row r="839">
      <x:c r="A839" s="48" t="str">
        <x:v>金盾花园</x:v>
      </x:c>
      <x:c r="B839" s="48" t="str">
        <x:v>金盾花园</x:v>
      </x:c>
      <x:c r="C839" s="48" t="str">
        <x:v>黄贝岭</x:v>
      </x:c>
      <x:c r="D839" s="56" t="n">
        <x:v>13</x:v>
      </x:c>
      <x:c r="E839" s="61" t="n">
        <x:v>2500</x:v>
      </x:c>
      <x:c r="F839" s="61" t="n">
        <x:v>30</x:v>
      </x:c>
      <x:c r="G839" s="61" t="n">
        <x:v>83.3</x:v>
      </x:c>
      <x:c r="H839" s="48" t="str">
        <x:v>1室1厅1</x:v>
      </x:c>
      <x:c r="I839" s="48" t="str">
        <x:v>西</x:v>
      </x:c>
      <x:c r="J839" s="48" t="str">
        <x:v>精装</x:v>
      </x:c>
      <x:c r="K839" s="48" t="str">
        <x:v>普通住宅</x:v>
      </x:c>
      <x:c r="L839" s="48" t="str">
        <x:v>是</x:v>
      </x:c>
      <x:c r="M839" s="48" t="str">
        <x:v>保留</x:v>
      </x:c>
      <x:c r="N839" s="48" t="str">
        <x:v>金盾花园|1室1厅1|30|2500|西</x:v>
      </x:c>
      <x:c r="O839" s="48"/>
      <x:c r="P839" s="48" t="str">
        <x:v>未知（未逐条补齐）</x:v>
      </x:c>
      <x:c r="Q839" s="48" t="str">
        <x:v>https://shenzhen.leyoujia.com/zf/detail/3S2xPY1jocTA724NUiAkFo.html</x:v>
      </x:c>
      <x:c r="R839" s="48" t="str">
        <x:v>2026-08-13</x:v>
      </x:c>
    </x:row>
    <x:row r="840">
      <x:c r="A840" s="48" t="str">
        <x:v>金盾花园</x:v>
      </x:c>
      <x:c r="B840" s="48" t="str">
        <x:v>金盾花园</x:v>
      </x:c>
      <x:c r="C840" s="48" t="str">
        <x:v>黄贝岭</x:v>
      </x:c>
      <x:c r="D840" s="56" t="n">
        <x:v>13</x:v>
      </x:c>
      <x:c r="E840" s="61" t="n">
        <x:v>2550</x:v>
      </x:c>
      <x:c r="F840" s="61" t="n">
        <x:v>30</x:v>
      </x:c>
      <x:c r="G840" s="61" t="n">
        <x:v>85</x:v>
      </x:c>
      <x:c r="H840" s="48" t="str">
        <x:v>1室0厅1</x:v>
      </x:c>
      <x:c r="I840" s="48" t="str">
        <x:v>东</x:v>
      </x:c>
      <x:c r="J840" s="48" t="str">
        <x:v>精装</x:v>
      </x:c>
      <x:c r="K840" s="48" t="str">
        <x:v>普通住宅</x:v>
      </x:c>
      <x:c r="L840" s="48" t="str">
        <x:v>是</x:v>
      </x:c>
      <x:c r="M840" s="48" t="str">
        <x:v>保留</x:v>
      </x:c>
      <x:c r="N840" s="48" t="str">
        <x:v>金盾花园|1室0厅1|30|2550|东</x:v>
      </x:c>
      <x:c r="O840" s="48"/>
      <x:c r="P840" s="48" t="str">
        <x:v>未知（未逐条补齐）</x:v>
      </x:c>
      <x:c r="Q840" s="48" t="str">
        <x:v>https://shenzhen.leyoujia.com/zf/detail/21ojatPwg9SGc3zKkf8Xw3.html</x:v>
      </x:c>
      <x:c r="R840" s="48" t="str">
        <x:v>2026-08-13</x:v>
      </x:c>
    </x:row>
    <x:row r="841">
      <x:c r="A841" s="48" t="str">
        <x:v>金盾花园</x:v>
      </x:c>
      <x:c r="B841" s="48" t="str">
        <x:v>金盾花园</x:v>
      </x:c>
      <x:c r="C841" s="48" t="str">
        <x:v>黄贝岭</x:v>
      </x:c>
      <x:c r="D841" s="56" t="n">
        <x:v>13</x:v>
      </x:c>
      <x:c r="E841" s="61" t="n">
        <x:v>2780</x:v>
      </x:c>
      <x:c r="F841" s="61" t="n">
        <x:v>30</x:v>
      </x:c>
      <x:c r="G841" s="61" t="n">
        <x:v>92.7</x:v>
      </x:c>
      <x:c r="H841" s="48" t="str">
        <x:v>1室1厅1</x:v>
      </x:c>
      <x:c r="I841" s="48" t="str">
        <x:v>南</x:v>
      </x:c>
      <x:c r="J841" s="48" t="str">
        <x:v>待核</x:v>
      </x:c>
      <x:c r="K841" s="48" t="str">
        <x:v>住宅</x:v>
      </x:c>
      <x:c r="L841" s="48" t="str">
        <x:v>是</x:v>
      </x:c>
      <x:c r="M841" s="48" t="str">
        <x:v>保留</x:v>
      </x:c>
      <x:c r="N841" s="48" t="str">
        <x:v>金盾花园|1室1厅1|30|2780|南</x:v>
      </x:c>
      <x:c r="O841" s="48"/>
      <x:c r="P841" s="48" t="str">
        <x:v>未知（未逐条补齐）</x:v>
      </x:c>
      <x:c r="Q841" s="48" t="str">
        <x:v>https://shenzhen.leyoujia.com/zf/detail/KCtSwU8mewM49mtoGcFoWQ.html</x:v>
      </x:c>
      <x:c r="R841" s="48" t="str">
        <x:v>2026-08-13</x:v>
      </x:c>
    </x:row>
    <x:row r="842">
      <x:c r="A842" s="48" t="str">
        <x:v>金盾花园</x:v>
      </x:c>
      <x:c r="B842" s="48" t="str">
        <x:v>金盾花园</x:v>
      </x:c>
      <x:c r="C842" s="48" t="str">
        <x:v>黄贝岭</x:v>
      </x:c>
      <x:c r="D842" s="56" t="n">
        <x:v>13</x:v>
      </x:c>
      <x:c r="E842" s="61" t="n">
        <x:v>2880</x:v>
      </x:c>
      <x:c r="F842" s="61" t="n">
        <x:v>30</x:v>
      </x:c>
      <x:c r="G842" s="61" t="n">
        <x:v>96</x:v>
      </x:c>
      <x:c r="H842" s="48" t="str">
        <x:v>1室0厅1</x:v>
      </x:c>
      <x:c r="I842" s="48" t="str">
        <x:v>北</x:v>
      </x:c>
      <x:c r="J842" s="48" t="str">
        <x:v>普装</x:v>
      </x:c>
      <x:c r="K842" s="48" t="str">
        <x:v>普通住宅</x:v>
      </x:c>
      <x:c r="L842" s="48" t="str">
        <x:v>是</x:v>
      </x:c>
      <x:c r="M842" s="48" t="str">
        <x:v>保留</x:v>
      </x:c>
      <x:c r="N842" s="48" t="str">
        <x:v>金盾花园|1室0厅1|30|2880|北</x:v>
      </x:c>
      <x:c r="O842" s="48"/>
      <x:c r="P842" s="48" t="str">
        <x:v>未知（未逐条补齐）</x:v>
      </x:c>
      <x:c r="Q842" s="48" t="str">
        <x:v>https://shenzhen.leyoujia.com/zf/detail/Gvb1R4vFwTuhbCRQN8es12.html</x:v>
      </x:c>
      <x:c r="R842" s="48" t="str">
        <x:v>2026-08-13</x:v>
      </x:c>
    </x:row>
    <x:row r="843">
      <x:c r="A843" s="48" t="str">
        <x:v>华丽西村</x:v>
      </x:c>
      <x:c r="B843" s="48" t="str">
        <x:v>华丽西村</x:v>
      </x:c>
      <x:c r="C843" s="48" t="str">
        <x:v>黄贝岭</x:v>
      </x:c>
      <x:c r="D843" s="56" t="n">
        <x:v>12.8</x:v>
      </x:c>
      <x:c r="E843" s="61" t="n">
        <x:v>2480</x:v>
      </x:c>
      <x:c r="F843" s="61" t="n">
        <x:v>29.78</x:v>
      </x:c>
      <x:c r="G843" s="61" t="n">
        <x:v>83.3</x:v>
      </x:c>
      <x:c r="H843" s="48" t="str">
        <x:v>1室0厅1</x:v>
      </x:c>
      <x:c r="I843" s="48" t="str">
        <x:v>东</x:v>
      </x:c>
      <x:c r="J843" s="48" t="str">
        <x:v>普装</x:v>
      </x:c>
      <x:c r="K843" s="48" t="str">
        <x:v>普通住宅</x:v>
      </x:c>
      <x:c r="L843" s="48" t="str">
        <x:v>是</x:v>
      </x:c>
      <x:c r="M843" s="48" t="str">
        <x:v>保留</x:v>
      </x:c>
      <x:c r="N843" s="48" t="str">
        <x:v>华丽西村|1室0厅1|30|2480|东</x:v>
      </x:c>
      <x:c r="O843" s="48"/>
      <x:c r="P843" s="48" t="str">
        <x:v>未知（未逐条补齐）</x:v>
      </x:c>
      <x:c r="Q843" s="48" t="str">
        <x:v>https://shenzhen.leyoujia.com/zf/detail/8oRBGk1teccSnQjGoGvAYk.html</x:v>
      </x:c>
      <x:c r="R843" s="48" t="str">
        <x:v>2026-08-13</x:v>
      </x:c>
    </x:row>
    <x:row r="844">
      <x:c r="A844" s="48" t="str">
        <x:v>华丽西村</x:v>
      </x:c>
      <x:c r="B844" s="48" t="str">
        <x:v>华丽西村</x:v>
      </x:c>
      <x:c r="C844" s="48" t="str">
        <x:v>黄贝岭</x:v>
      </x:c>
      <x:c r="D844" s="56" t="n">
        <x:v>12.8</x:v>
      </x:c>
      <x:c r="E844" s="61" t="n">
        <x:v>2580</x:v>
      </x:c>
      <x:c r="F844" s="61" t="n">
        <x:v>19</x:v>
      </x:c>
      <x:c r="G844" s="61" t="n">
        <x:v>135.8</x:v>
      </x:c>
      <x:c r="H844" s="48" t="str">
        <x:v>1室0厅1</x:v>
      </x:c>
      <x:c r="I844" s="48" t="str">
        <x:v>东</x:v>
      </x:c>
      <x:c r="J844" s="48" t="str">
        <x:v>精装</x:v>
      </x:c>
      <x:c r="K844" s="48" t="str">
        <x:v>普通住宅</x:v>
      </x:c>
      <x:c r="L844" s="48" t="str">
        <x:v>是</x:v>
      </x:c>
      <x:c r="M844" s="48" t="str">
        <x:v>保留</x:v>
      </x:c>
      <x:c r="N844" s="48" t="str">
        <x:v>华丽西村|1室0厅1|19|2580|东</x:v>
      </x:c>
      <x:c r="O844" s="48"/>
      <x:c r="P844" s="48" t="str">
        <x:v>未知（未逐条补齐）</x:v>
      </x:c>
      <x:c r="Q844" s="48" t="str">
        <x:v>https://shenzhen.leyoujia.com/zf/detail/NndUU82G5JSRQQweCLXMeY.html</x:v>
      </x:c>
      <x:c r="R844" s="48" t="str">
        <x:v>2026-08-13</x:v>
      </x:c>
    </x:row>
    <x:row r="845">
      <x:c r="A845" s="48" t="str">
        <x:v>华丽西村</x:v>
      </x:c>
      <x:c r="B845" s="48" t="str">
        <x:v>华丽西村</x:v>
      </x:c>
      <x:c r="C845" s="48" t="str">
        <x:v>黄贝岭</x:v>
      </x:c>
      <x:c r="D845" s="56" t="n">
        <x:v>12.8</x:v>
      </x:c>
      <x:c r="E845" s="61" t="n">
        <x:v>2580</x:v>
      </x:c>
      <x:c r="F845" s="61" t="n">
        <x:v>25</x:v>
      </x:c>
      <x:c r="G845" s="61" t="n">
        <x:v>103.2</x:v>
      </x:c>
      <x:c r="H845" s="48" t="str">
        <x:v>1室1厅1</x:v>
      </x:c>
      <x:c r="I845" s="48" t="str">
        <x:v>南</x:v>
      </x:c>
      <x:c r="J845" s="48" t="str">
        <x:v>普装</x:v>
      </x:c>
      <x:c r="K845" s="48" t="str">
        <x:v>普通住宅</x:v>
      </x:c>
      <x:c r="L845" s="48" t="str">
        <x:v>是</x:v>
      </x:c>
      <x:c r="M845" s="48" t="str">
        <x:v>保留</x:v>
      </x:c>
      <x:c r="N845" s="48" t="str">
        <x:v>华丽西村|1室1厅1|25|2580|南</x:v>
      </x:c>
      <x:c r="O845" s="48"/>
      <x:c r="P845" s="48" t="str">
        <x:v>未知（未逐条补齐）</x:v>
      </x:c>
      <x:c r="Q845" s="48" t="str">
        <x:v>https://shenzhen.leyoujia.com/zf/detail/QUCfrrDnaZ1uJmeds2dniG.html</x:v>
      </x:c>
      <x:c r="R845" s="48" t="str">
        <x:v>2026-08-13</x:v>
      </x:c>
    </x:row>
    <x:row r="846">
      <x:c r="A846" s="48" t="str">
        <x:v>华丽西村</x:v>
      </x:c>
      <x:c r="B846" s="48" t="str">
        <x:v>华丽西村</x:v>
      </x:c>
      <x:c r="C846" s="48" t="str">
        <x:v>黄贝岭</x:v>
      </x:c>
      <x:c r="D846" s="56" t="n">
        <x:v>12.8</x:v>
      </x:c>
      <x:c r="E846" s="61" t="n">
        <x:v>2600</x:v>
      </x:c>
      <x:c r="F846" s="61" t="n">
        <x:v>25</x:v>
      </x:c>
      <x:c r="G846" s="61" t="n">
        <x:v>104</x:v>
      </x:c>
      <x:c r="H846" s="48" t="str">
        <x:v>1室0厅0</x:v>
      </x:c>
      <x:c r="I846" s="48" t="str">
        <x:v>南北</x:v>
      </x:c>
      <x:c r="J846" s="48" t="str">
        <x:v>普装</x:v>
      </x:c>
      <x:c r="K846" s="48" t="str">
        <x:v>普通住宅</x:v>
      </x:c>
      <x:c r="L846" s="48" t="str">
        <x:v>是</x:v>
      </x:c>
      <x:c r="M846" s="48" t="str">
        <x:v>保留</x:v>
      </x:c>
      <x:c r="N846" s="48" t="str">
        <x:v>华丽西村|1室0厅0|25|2600|南北</x:v>
      </x:c>
      <x:c r="O846" s="48"/>
      <x:c r="P846" s="48" t="str">
        <x:v>未知（未逐条补齐）</x:v>
      </x:c>
      <x:c r="Q846" s="48" t="str">
        <x:v>https://shenzhen.leyoujia.com/zf/detail/MUNMhDkpaksDSmfYnJCV5s.html</x:v>
      </x:c>
      <x:c r="R846" s="48" t="str">
        <x:v>2026-08-13</x:v>
      </x:c>
    </x:row>
    <x:row r="847">
      <x:c r="A847" s="48" t="str">
        <x:v>华丽西村</x:v>
      </x:c>
      <x:c r="B847" s="48" t="str">
        <x:v>华丽西村</x:v>
      </x:c>
      <x:c r="C847" s="48" t="str">
        <x:v>黄贝岭</x:v>
      </x:c>
      <x:c r="D847" s="56" t="n">
        <x:v>12.8</x:v>
      </x:c>
      <x:c r="E847" s="61" t="n">
        <x:v>2680</x:v>
      </x:c>
      <x:c r="F847" s="61" t="n">
        <x:v>30</x:v>
      </x:c>
      <x:c r="G847" s="61" t="n">
        <x:v>89.3</x:v>
      </x:c>
      <x:c r="H847" s="48" t="str">
        <x:v>1室0厅1</x:v>
      </x:c>
      <x:c r="I847" s="48" t="str">
        <x:v>南</x:v>
      </x:c>
      <x:c r="J847" s="48" t="str">
        <x:v>普装</x:v>
      </x:c>
      <x:c r="K847" s="48" t="str">
        <x:v>普通住宅</x:v>
      </x:c>
      <x:c r="L847" s="48" t="str">
        <x:v>是</x:v>
      </x:c>
      <x:c r="M847" s="48" t="str">
        <x:v>保留</x:v>
      </x:c>
      <x:c r="N847" s="48" t="str">
        <x:v>华丽西村|1室0厅1|30|2680|南</x:v>
      </x:c>
      <x:c r="O847" s="48"/>
      <x:c r="P847" s="48" t="str">
        <x:v>未知（未逐条补齐）</x:v>
      </x:c>
      <x:c r="Q847" s="48" t="str">
        <x:v>https://shenzhen.leyoujia.com/zf/detail/WiTCnFEg7TswTCnQA42AJG.html</x:v>
      </x:c>
      <x:c r="R847" s="48" t="str">
        <x:v>2026-08-13</x:v>
      </x:c>
    </x:row>
    <x:row r="848">
      <x:c r="A848" s="48" t="str">
        <x:v>华丽西村</x:v>
      </x:c>
      <x:c r="B848" s="48" t="str">
        <x:v>华丽西村</x:v>
      </x:c>
      <x:c r="C848" s="48" t="str">
        <x:v>黄贝岭</x:v>
      </x:c>
      <x:c r="D848" s="56" t="n">
        <x:v>12.8</x:v>
      </x:c>
      <x:c r="E848" s="61" t="n">
        <x:v>2800</x:v>
      </x:c>
      <x:c r="F848" s="61" t="n">
        <x:v>20</x:v>
      </x:c>
      <x:c r="G848" s="61" t="n">
        <x:v>140</x:v>
      </x:c>
      <x:c r="H848" s="48" t="str">
        <x:v>1室0厅1</x:v>
      </x:c>
      <x:c r="I848" s="48" t="str">
        <x:v>南</x:v>
      </x:c>
      <x:c r="J848" s="48" t="str">
        <x:v>普装</x:v>
      </x:c>
      <x:c r="K848" s="48" t="str">
        <x:v>普通住宅</x:v>
      </x:c>
      <x:c r="L848" s="48" t="str">
        <x:v>是</x:v>
      </x:c>
      <x:c r="M848" s="48" t="str">
        <x:v>保留</x:v>
      </x:c>
      <x:c r="N848" s="48" t="str">
        <x:v>华丽西村|1室0厅1|20|2800|南</x:v>
      </x:c>
      <x:c r="O848" s="48"/>
      <x:c r="P848" s="48" t="str">
        <x:v>未知（未逐条补齐）</x:v>
      </x:c>
      <x:c r="Q848" s="48" t="str">
        <x:v>https://shenzhen.leyoujia.com/zf/detail/2cYAncdCNk3UTAyMDc7ZUo.html</x:v>
      </x:c>
      <x:c r="R848" s="48" t="str">
        <x:v>2026-08-13</x:v>
      </x:c>
    </x:row>
    <x:row r="849">
      <x:c r="A849" s="48" t="str">
        <x:v>华丽西村</x:v>
      </x:c>
      <x:c r="B849" s="48" t="str">
        <x:v>华丽西村</x:v>
      </x:c>
      <x:c r="C849" s="48" t="str">
        <x:v>黄贝岭</x:v>
      </x:c>
      <x:c r="D849" s="56" t="n">
        <x:v>12.8</x:v>
      </x:c>
      <x:c r="E849" s="61" t="n">
        <x:v>2880</x:v>
      </x:c>
      <x:c r="F849" s="61" t="n">
        <x:v>28</x:v>
      </x:c>
      <x:c r="G849" s="61" t="n">
        <x:v>102.9</x:v>
      </x:c>
      <x:c r="H849" s="48" t="str">
        <x:v>1室0厅1</x:v>
      </x:c>
      <x:c r="I849" s="48" t="str">
        <x:v>南北</x:v>
      </x:c>
      <x:c r="J849" s="48" t="str">
        <x:v>精装</x:v>
      </x:c>
      <x:c r="K849" s="48" t="str">
        <x:v>普通住宅</x:v>
      </x:c>
      <x:c r="L849" s="48" t="str">
        <x:v>是</x:v>
      </x:c>
      <x:c r="M849" s="48" t="str">
        <x:v>保留</x:v>
      </x:c>
      <x:c r="N849" s="48" t="str">
        <x:v>华丽西村|1室0厅1|28|2880|南北</x:v>
      </x:c>
      <x:c r="O849" s="48"/>
      <x:c r="P849" s="48" t="str">
        <x:v>未知（未逐条补齐）</x:v>
      </x:c>
      <x:c r="Q849" s="48" t="str">
        <x:v>https://shenzhen.leyoujia.com/zf/detail/PLrhg9hu6LKkc1oBTD8TY7.html</x:v>
      </x:c>
      <x:c r="R849" s="48" t="str">
        <x:v>2026-08-13</x:v>
      </x:c>
    </x:row>
    <x:row r="850">
      <x:c r="A850" s="48" t="str">
        <x:v>华丽西村</x:v>
      </x:c>
      <x:c r="B850" s="48" t="str">
        <x:v>华丽西村</x:v>
      </x:c>
      <x:c r="C850" s="48" t="str">
        <x:v>黄贝岭</x:v>
      </x:c>
      <x:c r="D850" s="56" t="n">
        <x:v>12.8</x:v>
      </x:c>
      <x:c r="E850" s="61" t="n">
        <x:v>3000</x:v>
      </x:c>
      <x:c r="F850" s="61" t="n">
        <x:v>30</x:v>
      </x:c>
      <x:c r="G850" s="61" t="n">
        <x:v>100</x:v>
      </x:c>
      <x:c r="H850" s="48" t="str">
        <x:v>1室1厅1</x:v>
      </x:c>
      <x:c r="I850" s="48" t="str">
        <x:v>南</x:v>
      </x:c>
      <x:c r="J850" s="48" t="str">
        <x:v>普装</x:v>
      </x:c>
      <x:c r="K850" s="48" t="str">
        <x:v>普通住宅</x:v>
      </x:c>
      <x:c r="L850" s="48" t="str">
        <x:v>是</x:v>
      </x:c>
      <x:c r="M850" s="48" t="str">
        <x:v>保留</x:v>
      </x:c>
      <x:c r="N850" s="48" t="str">
        <x:v>华丽西村|1室1厅1|30|3000|南</x:v>
      </x:c>
      <x:c r="O850" s="48"/>
      <x:c r="P850" s="48" t="str">
        <x:v>未知（未逐条补齐）</x:v>
      </x:c>
      <x:c r="Q850" s="48" t="str">
        <x:v>https://shenzhen.leyoujia.com/zf/detail/4NFzuy21HrqL8UGUPkGx1E.html</x:v>
      </x:c>
      <x:c r="R850" s="48" t="str">
        <x:v>2026-08-13</x:v>
      </x:c>
    </x:row>
    <x:row r="851">
      <x:c r="A851" s="48" t="str">
        <x:v>华丽西村</x:v>
      </x:c>
      <x:c r="B851" s="48" t="str">
        <x:v>华丽西村</x:v>
      </x:c>
      <x:c r="C851" s="48" t="str">
        <x:v>黄贝岭</x:v>
      </x:c>
      <x:c r="D851" s="56" t="n">
        <x:v>12.8</x:v>
      </x:c>
      <x:c r="E851" s="61" t="n">
        <x:v>3000</x:v>
      </x:c>
      <x:c r="F851" s="61" t="n">
        <x:v>30</x:v>
      </x:c>
      <x:c r="G851" s="61" t="n">
        <x:v>100</x:v>
      </x:c>
      <x:c r="H851" s="48" t="str">
        <x:v>1室1厅1</x:v>
      </x:c>
      <x:c r="I851" s="48" t="str">
        <x:v>南</x:v>
      </x:c>
      <x:c r="J851" s="48" t="str">
        <x:v>普装</x:v>
      </x:c>
      <x:c r="K851" s="48" t="str">
        <x:v>普通住宅</x:v>
      </x:c>
      <x:c r="L851" s="48" t="str">
        <x:v>否</x:v>
      </x:c>
      <x:c r="M851" s="48" t="str">
        <x:v>疑似重复挂牌</x:v>
      </x:c>
      <x:c r="N851" s="48" t="str">
        <x:v>华丽西村|1室1厅1|30|3000|南</x:v>
      </x:c>
      <x:c r="O851" s="48"/>
      <x:c r="P851" s="48" t="str">
        <x:v>未知（未逐条补齐）</x:v>
      </x:c>
      <x:c r="Q851" s="48" t="str">
        <x:v>https://shenzhen.leyoujia.com/zf/detail/XoYxY3cDxyfSqJrBpsLvFS.html</x:v>
      </x:c>
      <x:c r="R851" s="48" t="str">
        <x:v>2026-08-13</x:v>
      </x:c>
    </x:row>
    <x:row r="852">
      <x:c r="A852" s="48" t="str">
        <x:v>华丽西村</x:v>
      </x:c>
      <x:c r="B852" s="48" t="str">
        <x:v>华丽西村</x:v>
      </x:c>
      <x:c r="C852" s="48" t="str">
        <x:v>黄贝岭</x:v>
      </x:c>
      <x:c r="D852" s="56" t="n">
        <x:v>12.8</x:v>
      </x:c>
      <x:c r="E852" s="61" t="n">
        <x:v>3000</x:v>
      </x:c>
      <x:c r="F852" s="61" t="n">
        <x:v>30</x:v>
      </x:c>
      <x:c r="G852" s="61" t="n">
        <x:v>100</x:v>
      </x:c>
      <x:c r="H852" s="48" t="str">
        <x:v>1室0厅1</x:v>
      </x:c>
      <x:c r="I852" s="48" t="str">
        <x:v>北</x:v>
      </x:c>
      <x:c r="J852" s="48" t="str">
        <x:v>普装</x:v>
      </x:c>
      <x:c r="K852" s="48" t="str">
        <x:v>普通住宅</x:v>
      </x:c>
      <x:c r="L852" s="48" t="str">
        <x:v>是</x:v>
      </x:c>
      <x:c r="M852" s="48" t="str">
        <x:v>保留</x:v>
      </x:c>
      <x:c r="N852" s="48" t="str">
        <x:v>华丽西村|1室0厅1|30|3000|北</x:v>
      </x:c>
      <x:c r="O852" s="48"/>
      <x:c r="P852" s="48" t="str">
        <x:v>未知（未逐条补齐）</x:v>
      </x:c>
      <x:c r="Q852" s="48" t="str">
        <x:v>https://shenzhen.leyoujia.com/zf/detail/AS9hUbQTCUdAsi9fjgiczd.html</x:v>
      </x:c>
      <x:c r="R852" s="48" t="str">
        <x:v>2026-08-13</x:v>
      </x:c>
    </x:row>
    <x:row r="853">
      <x:c r="A853" s="48" t="str">
        <x:v>朗钜御风庭</x:v>
      </x:c>
      <x:c r="B853" s="48" t="str">
        <x:v>朗钜御风庭</x:v>
      </x:c>
      <x:c r="C853" s="48" t="str">
        <x:v>湖贝</x:v>
      </x:c>
      <x:c r="D853" s="56" t="n">
        <x:v>12.4</x:v>
      </x:c>
      <x:c r="E853" s="61" t="n">
        <x:v>3600</x:v>
      </x:c>
      <x:c r="F853" s="61" t="n">
        <x:v>33.86</x:v>
      </x:c>
      <x:c r="G853" s="61" t="n">
        <x:v>106.3</x:v>
      </x:c>
      <x:c r="H853" s="48" t="str">
        <x:v>1室0厅1</x:v>
      </x:c>
      <x:c r="I853" s="48" t="str">
        <x:v>东南</x:v>
      </x:c>
      <x:c r="J853" s="48" t="str">
        <x:v>精装</x:v>
      </x:c>
      <x:c r="K853" s="48" t="str">
        <x:v>普通住宅</x:v>
      </x:c>
      <x:c r="L853" s="48" t="str">
        <x:v>是</x:v>
      </x:c>
      <x:c r="M853" s="48" t="str">
        <x:v>保留</x:v>
      </x:c>
      <x:c r="N853" s="48" t="str">
        <x:v>朗钜御风庭|1室0厅1|34|3600|东南</x:v>
      </x:c>
      <x:c r="O853" s="48"/>
      <x:c r="P853" s="48" t="str">
        <x:v>未知（未逐条补齐）</x:v>
      </x:c>
      <x:c r="Q853" s="48" t="str">
        <x:v>https://shenzhen.leyoujia.com/zf/detail/KAutQ4ogjdcz6GPyQb3jNc.html</x:v>
      </x:c>
      <x:c r="R853" s="48" t="str">
        <x:v>2026-08-13</x:v>
      </x:c>
    </x:row>
    <x:row r="854">
      <x:c r="A854" s="48" t="str">
        <x:v>朗钜御风庭</x:v>
      </x:c>
      <x:c r="B854" s="48" t="str">
        <x:v>朗钜御风庭</x:v>
      </x:c>
      <x:c r="C854" s="48" t="str">
        <x:v>湖贝</x:v>
      </x:c>
      <x:c r="D854" s="56" t="n">
        <x:v>12.4</x:v>
      </x:c>
      <x:c r="E854" s="61" t="n">
        <x:v>4200</x:v>
      </x:c>
      <x:c r="F854" s="61" t="n">
        <x:v>44.18</x:v>
      </x:c>
      <x:c r="G854" s="61" t="n">
        <x:v>95.1</x:v>
      </x:c>
      <x:c r="H854" s="48" t="str">
        <x:v>1室1厅1</x:v>
      </x:c>
      <x:c r="I854" s="48" t="str">
        <x:v>西北</x:v>
      </x:c>
      <x:c r="J854" s="48" t="str">
        <x:v>普装</x:v>
      </x:c>
      <x:c r="K854" s="48" t="str">
        <x:v>普通住宅</x:v>
      </x:c>
      <x:c r="L854" s="48" t="str">
        <x:v>是</x:v>
      </x:c>
      <x:c r="M854" s="48" t="str">
        <x:v>保留</x:v>
      </x:c>
      <x:c r="N854" s="48" t="str">
        <x:v>朗钜御风庭|1室1厅1|44|4200|西北</x:v>
      </x:c>
      <x:c r="O854" s="48"/>
      <x:c r="P854" s="48" t="str">
        <x:v>未知（未逐条补齐）</x:v>
      </x:c>
      <x:c r="Q854" s="48" t="str">
        <x:v>https://shenzhen.leyoujia.com/zf/detail/F7h4Zc7NdFqVhdg4eckfGo.html</x:v>
      </x:c>
      <x:c r="R854" s="48" t="str">
        <x:v>2026-08-13</x:v>
      </x:c>
    </x:row>
    <x:row r="855">
      <x:c r="A855" s="48" t="str">
        <x:v>朗钜御风庭</x:v>
      </x:c>
      <x:c r="B855" s="48" t="str">
        <x:v>朗钜御风庭</x:v>
      </x:c>
      <x:c r="C855" s="48" t="str">
        <x:v>湖贝</x:v>
      </x:c>
      <x:c r="D855" s="56" t="n">
        <x:v>12.4</x:v>
      </x:c>
      <x:c r="E855" s="61" t="n">
        <x:v>4600</x:v>
      </x:c>
      <x:c r="F855" s="61" t="n">
        <x:v>45</x:v>
      </x:c>
      <x:c r="G855" s="61" t="n">
        <x:v>102.2</x:v>
      </x:c>
      <x:c r="H855" s="48" t="str">
        <x:v>1室1厅1</x:v>
      </x:c>
      <x:c r="I855" s="48" t="str">
        <x:v>西南</x:v>
      </x:c>
      <x:c r="J855" s="48" t="str">
        <x:v>精装</x:v>
      </x:c>
      <x:c r="K855" s="48" t="str">
        <x:v>普通住宅</x:v>
      </x:c>
      <x:c r="L855" s="48" t="str">
        <x:v>是</x:v>
      </x:c>
      <x:c r="M855" s="48" t="str">
        <x:v>保留</x:v>
      </x:c>
      <x:c r="N855" s="48" t="str">
        <x:v>朗钜御风庭|1室1厅1|45|4600|西南</x:v>
      </x:c>
      <x:c r="O855" s="48"/>
      <x:c r="P855" s="48" t="str">
        <x:v>未知（未逐条补齐）</x:v>
      </x:c>
      <x:c r="Q855" s="48" t="str">
        <x:v>https://shenzhen.leyoujia.com/zf/detail/W83LZc1oQYKzkpGDP22y1n.html</x:v>
      </x:c>
      <x:c r="R855" s="48" t="str">
        <x:v>2026-08-13</x:v>
      </x:c>
    </x:row>
    <x:row r="856">
      <x:c r="A856" s="48" t="str">
        <x:v>朗钜御风庭</x:v>
      </x:c>
      <x:c r="B856" s="48" t="str">
        <x:v>朗钜御风庭</x:v>
      </x:c>
      <x:c r="C856" s="48" t="str">
        <x:v>湖贝</x:v>
      </x:c>
      <x:c r="D856" s="56" t="n">
        <x:v>12.4</x:v>
      </x:c>
      <x:c r="E856" s="61" t="n">
        <x:v>4600</x:v>
      </x:c>
      <x:c r="F856" s="61" t="n">
        <x:v>45</x:v>
      </x:c>
      <x:c r="G856" s="61" t="n">
        <x:v>102.2</x:v>
      </x:c>
      <x:c r="H856" s="48" t="str">
        <x:v>1室1厅1</x:v>
      </x:c>
      <x:c r="I856" s="48" t="str">
        <x:v>西北</x:v>
      </x:c>
      <x:c r="J856" s="48" t="str">
        <x:v>普装</x:v>
      </x:c>
      <x:c r="K856" s="48" t="str">
        <x:v>普通住宅</x:v>
      </x:c>
      <x:c r="L856" s="48" t="str">
        <x:v>是</x:v>
      </x:c>
      <x:c r="M856" s="48" t="str">
        <x:v>保留</x:v>
      </x:c>
      <x:c r="N856" s="48" t="str">
        <x:v>朗钜御风庭|1室1厅1|45|4600|西北</x:v>
      </x:c>
      <x:c r="O856" s="48"/>
      <x:c r="P856" s="48" t="str">
        <x:v>未知（未逐条补齐）</x:v>
      </x:c>
      <x:c r="Q856" s="48" t="str">
        <x:v>https://shenzhen.leyoujia.com/zf/detail/JkXCZNhABcZckmTzzVMxmE.html</x:v>
      </x:c>
      <x:c r="R856" s="48" t="str">
        <x:v>2026-08-13</x:v>
      </x:c>
    </x:row>
    <x:row r="857">
      <x:c r="A857" s="48" t="str">
        <x:v>华深公寓</x:v>
      </x:c>
      <x:c r="B857" s="48" t="str">
        <x:v>华深公寓</x:v>
      </x:c>
      <x:c r="C857" s="48" t="str">
        <x:v>黄贝岭</x:v>
      </x:c>
      <x:c r="D857" s="56" t="n">
        <x:v>15.1</x:v>
      </x:c>
      <x:c r="E857" s="61" t="n">
        <x:v>2400</x:v>
      </x:c>
      <x:c r="F857" s="61" t="n">
        <x:v>30</x:v>
      </x:c>
      <x:c r="G857" s="61" t="n">
        <x:v>80</x:v>
      </x:c>
      <x:c r="H857" s="48" t="str">
        <x:v>1室0厅1</x:v>
      </x:c>
      <x:c r="I857" s="48" t="str">
        <x:v>南</x:v>
      </x:c>
      <x:c r="J857" s="48" t="str">
        <x:v>普装</x:v>
      </x:c>
      <x:c r="K857" s="48" t="str">
        <x:v>公寓</x:v>
      </x:c>
      <x:c r="L857" s="48" t="str">
        <x:v>是</x:v>
      </x:c>
      <x:c r="M857" s="48" t="str">
        <x:v>保留</x:v>
      </x:c>
      <x:c r="N857" s="48" t="str">
        <x:v>华深公寓|1室0厅1|30|2400|南</x:v>
      </x:c>
      <x:c r="O857" s="48"/>
      <x:c r="P857" s="48" t="str">
        <x:v>未知（未逐条补齐）</x:v>
      </x:c>
      <x:c r="Q857" s="48" t="str">
        <x:v>https://shenzhen.leyoujia.com/zf/detail/B9uLrWZRa9oFjPRvFU3yMn.html</x:v>
      </x:c>
      <x:c r="R857" s="48" t="str">
        <x:v>2026-08-13</x:v>
      </x:c>
    </x:row>
    <x:row r="858">
      <x:c r="A858" s="48" t="str">
        <x:v>华深公寓</x:v>
      </x:c>
      <x:c r="B858" s="48" t="str">
        <x:v>华深公寓</x:v>
      </x:c>
      <x:c r="C858" s="48" t="str">
        <x:v>黄贝岭</x:v>
      </x:c>
      <x:c r="D858" s="56" t="n">
        <x:v>15.1</x:v>
      </x:c>
      <x:c r="E858" s="61" t="n">
        <x:v>2500</x:v>
      </x:c>
      <x:c r="F858" s="61" t="n">
        <x:v>30</x:v>
      </x:c>
      <x:c r="G858" s="61" t="n">
        <x:v>83.3</x:v>
      </x:c>
      <x:c r="H858" s="48" t="str">
        <x:v>1室1厅1</x:v>
      </x:c>
      <x:c r="I858" s="48" t="str">
        <x:v>南</x:v>
      </x:c>
      <x:c r="J858" s="48" t="str">
        <x:v>普装</x:v>
      </x:c>
      <x:c r="K858" s="48" t="str">
        <x:v>公寓</x:v>
      </x:c>
      <x:c r="L858" s="48" t="str">
        <x:v>是</x:v>
      </x:c>
      <x:c r="M858" s="48" t="str">
        <x:v>保留</x:v>
      </x:c>
      <x:c r="N858" s="48" t="str">
        <x:v>华深公寓|1室1厅1|30|2500|南</x:v>
      </x:c>
      <x:c r="O858" s="48"/>
      <x:c r="P858" s="48" t="str">
        <x:v>未知（未逐条补齐）</x:v>
      </x:c>
      <x:c r="Q858" s="48" t="str">
        <x:v>https://shenzhen.leyoujia.com/zf/detail/6AUq2dCeR84kWqrftSsT9U.html</x:v>
      </x:c>
      <x:c r="R858" s="48" t="str">
        <x:v>2026-08-13</x:v>
      </x:c>
    </x:row>
    <x:row r="859">
      <x:c r="A859" s="48" t="str">
        <x:v>华深公寓</x:v>
      </x:c>
      <x:c r="B859" s="48" t="str">
        <x:v>华深公寓</x:v>
      </x:c>
      <x:c r="C859" s="48" t="str">
        <x:v>黄贝岭</x:v>
      </x:c>
      <x:c r="D859" s="56" t="n">
        <x:v>15.1</x:v>
      </x:c>
      <x:c r="E859" s="61" t="n">
        <x:v>2500</x:v>
      </x:c>
      <x:c r="F859" s="61" t="n">
        <x:v>30</x:v>
      </x:c>
      <x:c r="G859" s="61" t="n">
        <x:v>83.3</x:v>
      </x:c>
      <x:c r="H859" s="48" t="str">
        <x:v>1室1厅1</x:v>
      </x:c>
      <x:c r="I859" s="48" t="str">
        <x:v>南</x:v>
      </x:c>
      <x:c r="J859" s="48" t="str">
        <x:v>普装</x:v>
      </x:c>
      <x:c r="K859" s="48" t="str">
        <x:v>普通住宅</x:v>
      </x:c>
      <x:c r="L859" s="48" t="str">
        <x:v>否</x:v>
      </x:c>
      <x:c r="M859" s="48" t="str">
        <x:v>疑似重复挂牌</x:v>
      </x:c>
      <x:c r="N859" s="48" t="str">
        <x:v>华深公寓|1室1厅1|30|2500|南</x:v>
      </x:c>
      <x:c r="O859" s="48"/>
      <x:c r="P859" s="48" t="str">
        <x:v>未知（未逐条补齐）</x:v>
      </x:c>
      <x:c r="Q859" s="48" t="str">
        <x:v>https://shenzhen.leyoujia.com/zf/detail/CwKoXR1gcDpazv6nzsKvAD.html</x:v>
      </x:c>
      <x:c r="R859" s="48" t="str">
        <x:v>2026-08-13</x:v>
      </x:c>
    </x:row>
    <x:row r="860">
      <x:c r="A860" s="48" t="str">
        <x:v>华深公寓</x:v>
      </x:c>
      <x:c r="B860" s="48" t="str">
        <x:v>华深公寓</x:v>
      </x:c>
      <x:c r="C860" s="48" t="str">
        <x:v>黄贝岭</x:v>
      </x:c>
      <x:c r="D860" s="56" t="n">
        <x:v>15.1</x:v>
      </x:c>
      <x:c r="E860" s="61" t="n">
        <x:v>2500</x:v>
      </x:c>
      <x:c r="F860" s="61" t="n">
        <x:v>25</x:v>
      </x:c>
      <x:c r="G860" s="61" t="n">
        <x:v>100</x:v>
      </x:c>
      <x:c r="H860" s="48" t="str">
        <x:v>1室1厅1</x:v>
      </x:c>
      <x:c r="I860" s="48" t="str">
        <x:v>南</x:v>
      </x:c>
      <x:c r="J860" s="48" t="str">
        <x:v>精装</x:v>
      </x:c>
      <x:c r="K860" s="48" t="str">
        <x:v>公寓</x:v>
      </x:c>
      <x:c r="L860" s="48" t="str">
        <x:v>是</x:v>
      </x:c>
      <x:c r="M860" s="48" t="str">
        <x:v>保留</x:v>
      </x:c>
      <x:c r="N860" s="48" t="str">
        <x:v>华深公寓|1室1厅1|25|2500|南</x:v>
      </x:c>
      <x:c r="O860" s="48"/>
      <x:c r="P860" s="48" t="str">
        <x:v>未知（未逐条补齐）</x:v>
      </x:c>
      <x:c r="Q860" s="48" t="str">
        <x:v>https://shenzhen.leyoujia.com/zf/detail/79UanZdXXU1mFXtYus7zx2.html</x:v>
      </x:c>
      <x:c r="R860" s="48" t="str">
        <x:v>2026-08-13</x:v>
      </x:c>
    </x:row>
    <x:row r="861">
      <x:c r="A861" s="48" t="str">
        <x:v>华深公寓</x:v>
      </x:c>
      <x:c r="B861" s="48" t="str">
        <x:v>华深公寓</x:v>
      </x:c>
      <x:c r="C861" s="48" t="str">
        <x:v>黄贝岭</x:v>
      </x:c>
      <x:c r="D861" s="56" t="n">
        <x:v>15.1</x:v>
      </x:c>
      <x:c r="E861" s="61" t="n">
        <x:v>2500</x:v>
      </x:c>
      <x:c r="F861" s="61" t="n">
        <x:v>25</x:v>
      </x:c>
      <x:c r="G861" s="61" t="n">
        <x:v>100</x:v>
      </x:c>
      <x:c r="H861" s="48" t="str">
        <x:v>1室1厅1</x:v>
      </x:c>
      <x:c r="I861" s="48" t="str">
        <x:v>东</x:v>
      </x:c>
      <x:c r="J861" s="48" t="str">
        <x:v>精装</x:v>
      </x:c>
      <x:c r="K861" s="48" t="str">
        <x:v>公寓</x:v>
      </x:c>
      <x:c r="L861" s="48" t="str">
        <x:v>是</x:v>
      </x:c>
      <x:c r="M861" s="48" t="str">
        <x:v>保留</x:v>
      </x:c>
      <x:c r="N861" s="48" t="str">
        <x:v>华深公寓|1室1厅1|25|2500|东</x:v>
      </x:c>
      <x:c r="O861" s="48"/>
      <x:c r="P861" s="48" t="str">
        <x:v>未知（未逐条补齐）</x:v>
      </x:c>
      <x:c r="Q861" s="48" t="str">
        <x:v>https://shenzhen.leyoujia.com/zf/detail/4PwKMUhxqn3yXoBDgL5bLv.html</x:v>
      </x:c>
      <x:c r="R861" s="48" t="str">
        <x:v>2026-08-13</x:v>
      </x:c>
    </x:row>
    <x:row r="862">
      <x:c r="A862" s="48" t="str">
        <x:v>华深公寓</x:v>
      </x:c>
      <x:c r="B862" s="48" t="str">
        <x:v>华深公寓</x:v>
      </x:c>
      <x:c r="C862" s="48" t="str">
        <x:v>黄贝岭</x:v>
      </x:c>
      <x:c r="D862" s="56" t="n">
        <x:v>15.1</x:v>
      </x:c>
      <x:c r="E862" s="61" t="n">
        <x:v>2600</x:v>
      </x:c>
      <x:c r="F862" s="61" t="n">
        <x:v>30</x:v>
      </x:c>
      <x:c r="G862" s="61" t="n">
        <x:v>86.7</x:v>
      </x:c>
      <x:c r="H862" s="48" t="str">
        <x:v>1室0厅1</x:v>
      </x:c>
      <x:c r="I862" s="48" t="str">
        <x:v>南</x:v>
      </x:c>
      <x:c r="J862" s="48" t="str">
        <x:v>普装</x:v>
      </x:c>
      <x:c r="K862" s="48" t="str">
        <x:v>公寓</x:v>
      </x:c>
      <x:c r="L862" s="48" t="str">
        <x:v>是</x:v>
      </x:c>
      <x:c r="M862" s="48" t="str">
        <x:v>保留</x:v>
      </x:c>
      <x:c r="N862" s="48" t="str">
        <x:v>华深公寓|1室0厅1|30|2600|南</x:v>
      </x:c>
      <x:c r="O862" s="48"/>
      <x:c r="P862" s="48" t="str">
        <x:v>未知（未逐条补齐）</x:v>
      </x:c>
      <x:c r="Q862" s="48" t="str">
        <x:v>https://shenzhen.leyoujia.com/zf/detail/Ty8yWtamzuYv6K7jgUMaYi.html</x:v>
      </x:c>
      <x:c r="R862" s="48" t="str">
        <x:v>2026-08-13</x:v>
      </x:c>
    </x:row>
    <x:row r="863">
      <x:c r="A863" s="48" t="str">
        <x:v>华深公寓</x:v>
      </x:c>
      <x:c r="B863" s="48" t="str">
        <x:v>华深公寓</x:v>
      </x:c>
      <x:c r="C863" s="48" t="str">
        <x:v>黄贝岭</x:v>
      </x:c>
      <x:c r="D863" s="56" t="n">
        <x:v>15.1</x:v>
      </x:c>
      <x:c r="E863" s="61" t="n">
        <x:v>2600</x:v>
      </x:c>
      <x:c r="F863" s="61" t="n">
        <x:v>30</x:v>
      </x:c>
      <x:c r="G863" s="61" t="n">
        <x:v>86.7</x:v>
      </x:c>
      <x:c r="H863" s="48" t="str">
        <x:v>1室0厅1</x:v>
      </x:c>
      <x:c r="I863" s="48" t="str">
        <x:v>南</x:v>
      </x:c>
      <x:c r="J863" s="48" t="str">
        <x:v>普装</x:v>
      </x:c>
      <x:c r="K863" s="48" t="str">
        <x:v>公寓</x:v>
      </x:c>
      <x:c r="L863" s="48" t="str">
        <x:v>否</x:v>
      </x:c>
      <x:c r="M863" s="48" t="str">
        <x:v>疑似重复挂牌</x:v>
      </x:c>
      <x:c r="N863" s="48" t="str">
        <x:v>华深公寓|1室0厅1|30|2600|南</x:v>
      </x:c>
      <x:c r="O863" s="48"/>
      <x:c r="P863" s="48" t="str">
        <x:v>未知（未逐条补齐）</x:v>
      </x:c>
      <x:c r="Q863" s="48" t="str">
        <x:v>https://shenzhen.leyoujia.com/zf/detail/V6hVhTGocGmH6qk53opJe1.html</x:v>
      </x:c>
      <x:c r="R863" s="48" t="str">
        <x:v>2026-08-13</x:v>
      </x:c>
    </x:row>
    <x:row r="864">
      <x:c r="A864" s="48" t="str">
        <x:v>华深公寓</x:v>
      </x:c>
      <x:c r="B864" s="48" t="str">
        <x:v>华深公寓</x:v>
      </x:c>
      <x:c r="C864" s="48" t="str">
        <x:v>黄贝岭</x:v>
      </x:c>
      <x:c r="D864" s="56" t="n">
        <x:v>15.1</x:v>
      </x:c>
      <x:c r="E864" s="61" t="n">
        <x:v>2700</x:v>
      </x:c>
      <x:c r="F864" s="61" t="n">
        <x:v>22</x:v>
      </x:c>
      <x:c r="G864" s="61" t="n">
        <x:v>122.7</x:v>
      </x:c>
      <x:c r="H864" s="48" t="str">
        <x:v>1室0厅1</x:v>
      </x:c>
      <x:c r="I864" s="48" t="str">
        <x:v>南</x:v>
      </x:c>
      <x:c r="J864" s="48" t="str">
        <x:v>普装</x:v>
      </x:c>
      <x:c r="K864" s="48" t="str">
        <x:v>公寓</x:v>
      </x:c>
      <x:c r="L864" s="48" t="str">
        <x:v>是</x:v>
      </x:c>
      <x:c r="M864" s="48" t="str">
        <x:v>保留</x:v>
      </x:c>
      <x:c r="N864" s="48" t="str">
        <x:v>华深公寓|1室0厅1|22|2700|南</x:v>
      </x:c>
      <x:c r="O864" s="48"/>
      <x:c r="P864" s="48" t="str">
        <x:v>未知（未逐条补齐）</x:v>
      </x:c>
      <x:c r="Q864" s="48" t="str">
        <x:v>https://shenzhen.leyoujia.com/zf/detail/SuzMPS2wwrmcveYybbAKL9.html</x:v>
      </x:c>
      <x:c r="R864" s="48" t="str">
        <x:v>2026-08-13</x:v>
      </x:c>
    </x:row>
    <x:row r="865">
      <x:c r="A865" s="48" t="str">
        <x:v>华深公寓</x:v>
      </x:c>
      <x:c r="B865" s="48" t="str">
        <x:v>华深公寓</x:v>
      </x:c>
      <x:c r="C865" s="48" t="str">
        <x:v>黄贝岭</x:v>
      </x:c>
      <x:c r="D865" s="56" t="n">
        <x:v>15.1</x:v>
      </x:c>
      <x:c r="E865" s="61" t="n">
        <x:v>2700</x:v>
      </x:c>
      <x:c r="F865" s="61" t="n">
        <x:v>30</x:v>
      </x:c>
      <x:c r="G865" s="61" t="n">
        <x:v>90</x:v>
      </x:c>
      <x:c r="H865" s="48" t="str">
        <x:v>1室1厅1</x:v>
      </x:c>
      <x:c r="I865" s="48" t="str">
        <x:v>南</x:v>
      </x:c>
      <x:c r="J865" s="48" t="str">
        <x:v>精装</x:v>
      </x:c>
      <x:c r="K865" s="48" t="str">
        <x:v>公寓</x:v>
      </x:c>
      <x:c r="L865" s="48" t="str">
        <x:v>是</x:v>
      </x:c>
      <x:c r="M865" s="48" t="str">
        <x:v>保留</x:v>
      </x:c>
      <x:c r="N865" s="48" t="str">
        <x:v>华深公寓|1室1厅1|30|2700|南</x:v>
      </x:c>
      <x:c r="O865" s="48"/>
      <x:c r="P865" s="48" t="str">
        <x:v>未知（未逐条补齐）</x:v>
      </x:c>
      <x:c r="Q865" s="48" t="str">
        <x:v>https://shenzhen.leyoujia.com/zf/detail/KuBRbWXN7wjbYF4rE6fPuF.html</x:v>
      </x:c>
      <x:c r="R865" s="48" t="str">
        <x:v>2026-08-13</x:v>
      </x:c>
    </x:row>
    <x:row r="866">
      <x:c r="A866" s="48" t="str">
        <x:v>华深公寓</x:v>
      </x:c>
      <x:c r="B866" s="48" t="str">
        <x:v>华深公寓</x:v>
      </x:c>
      <x:c r="C866" s="48" t="str">
        <x:v>黄贝岭</x:v>
      </x:c>
      <x:c r="D866" s="56" t="n">
        <x:v>15.1</x:v>
      </x:c>
      <x:c r="E866" s="61" t="n">
        <x:v>2700</x:v>
      </x:c>
      <x:c r="F866" s="61" t="n">
        <x:v>30</x:v>
      </x:c>
      <x:c r="G866" s="61" t="n">
        <x:v>90</x:v>
      </x:c>
      <x:c r="H866" s="48" t="str">
        <x:v>1室1厅1</x:v>
      </x:c>
      <x:c r="I866" s="48" t="str">
        <x:v>南</x:v>
      </x:c>
      <x:c r="J866" s="48" t="str">
        <x:v>普装</x:v>
      </x:c>
      <x:c r="K866" s="48" t="str">
        <x:v>公寓</x:v>
      </x:c>
      <x:c r="L866" s="48" t="str">
        <x:v>否</x:v>
      </x:c>
      <x:c r="M866" s="48" t="str">
        <x:v>疑似重复挂牌</x:v>
      </x:c>
      <x:c r="N866" s="48" t="str">
        <x:v>华深公寓|1室1厅1|30|2700|南</x:v>
      </x:c>
      <x:c r="O866" s="48"/>
      <x:c r="P866" s="48" t="str">
        <x:v>未知（未逐条补齐）</x:v>
      </x:c>
      <x:c r="Q866" s="48" t="str">
        <x:v>https://shenzhen.leyoujia.com/zf/detail/5c8QAF85ZFoQcQsEJWgggw.html</x:v>
      </x:c>
      <x:c r="R866" s="48" t="str">
        <x:v>2026-08-13</x:v>
      </x:c>
    </x:row>
    <x:row r="867">
      <x:c r="A867" s="48" t="str">
        <x:v>华深公寓</x:v>
      </x:c>
      <x:c r="B867" s="48" t="str">
        <x:v>华深公寓</x:v>
      </x:c>
      <x:c r="C867" s="48" t="str">
        <x:v>黄贝岭</x:v>
      </x:c>
      <x:c r="D867" s="56" t="n">
        <x:v>15.1</x:v>
      </x:c>
      <x:c r="E867" s="61" t="n">
        <x:v>2900</x:v>
      </x:c>
      <x:c r="F867" s="61" t="n">
        <x:v>30</x:v>
      </x:c>
      <x:c r="G867" s="61" t="n">
        <x:v>96.7</x:v>
      </x:c>
      <x:c r="H867" s="48" t="str">
        <x:v>1室1厅1</x:v>
      </x:c>
      <x:c r="I867" s="48" t="str">
        <x:v>南</x:v>
      </x:c>
      <x:c r="J867" s="48" t="str">
        <x:v>普装</x:v>
      </x:c>
      <x:c r="K867" s="48" t="str">
        <x:v>公寓</x:v>
      </x:c>
      <x:c r="L867" s="48" t="str">
        <x:v>是</x:v>
      </x:c>
      <x:c r="M867" s="48" t="str">
        <x:v>保留</x:v>
      </x:c>
      <x:c r="N867" s="48" t="str">
        <x:v>华深公寓|1室1厅1|30|2900|南</x:v>
      </x:c>
      <x:c r="O867" s="48"/>
      <x:c r="P867" s="48" t="str">
        <x:v>未知（未逐条补齐）</x:v>
      </x:c>
      <x:c r="Q867" s="48" t="str">
        <x:v>https://shenzhen.leyoujia.com/zf/detail/HDK28zm2n4xZLBKaACd6WD.html</x:v>
      </x:c>
      <x:c r="R867" s="48" t="str">
        <x:v>2026-08-13</x:v>
      </x:c>
    </x:row>
    <x:row r="868">
      <x:c r="A868" s="48" t="str">
        <x:v>华深公寓</x:v>
      </x:c>
      <x:c r="B868" s="48" t="str">
        <x:v>华深公寓</x:v>
      </x:c>
      <x:c r="C868" s="48" t="str">
        <x:v>黄贝岭</x:v>
      </x:c>
      <x:c r="D868" s="56" t="n">
        <x:v>15.1</x:v>
      </x:c>
      <x:c r="E868" s="61" t="n">
        <x:v>3800</x:v>
      </x:c>
      <x:c r="F868" s="61" t="n">
        <x:v>30</x:v>
      </x:c>
      <x:c r="G868" s="61" t="n">
        <x:v>126.7</x:v>
      </x:c>
      <x:c r="H868" s="48" t="str">
        <x:v>1室1厅1</x:v>
      </x:c>
      <x:c r="I868" s="48" t="str">
        <x:v>南</x:v>
      </x:c>
      <x:c r="J868" s="48" t="str">
        <x:v>普装</x:v>
      </x:c>
      <x:c r="K868" s="48" t="str">
        <x:v>公寓</x:v>
      </x:c>
      <x:c r="L868" s="48" t="str">
        <x:v>否</x:v>
      </x:c>
      <x:c r="M868" s="48" t="str">
        <x:v>异常高价</x:v>
      </x:c>
      <x:c r="N868" s="48" t="str">
        <x:v>华深公寓|1室1厅1|30|3800|南</x:v>
      </x:c>
      <x:c r="O868" s="48"/>
      <x:c r="P868" s="48" t="str">
        <x:v>未知（未逐条补齐）</x:v>
      </x:c>
      <x:c r="Q868" s="48" t="str">
        <x:v>https://shenzhen.leyoujia.com/zf/detail/9pAGHorsUxuqaNF4TndV3y.html</x:v>
      </x:c>
      <x:c r="R868" s="48" t="str">
        <x:v>2026-08-13</x:v>
      </x:c>
    </x:row>
    <x:row r="869">
      <x:c r="A869" s="48" t="str">
        <x:v>乐美居</x:v>
      </x:c>
      <x:c r="B869" s="48" t="str">
        <x:v>丽乐美居</x:v>
      </x:c>
      <x:c r="C869" s="48" t="str">
        <x:v>黄贝岭</x:v>
      </x:c>
      <x:c r="D869" s="56" t="n">
        <x:v>19.3</x:v>
      </x:c>
      <x:c r="E869" s="61" t="n">
        <x:v>2480</x:v>
      </x:c>
      <x:c r="F869" s="61" t="n">
        <x:v>20</x:v>
      </x:c>
      <x:c r="G869" s="61" t="n">
        <x:v>124</x:v>
      </x:c>
      <x:c r="H869" s="48" t="str">
        <x:v>1室0厅1</x:v>
      </x:c>
      <x:c r="I869" s="48" t="str">
        <x:v>南</x:v>
      </x:c>
      <x:c r="J869" s="48" t="str">
        <x:v>精装</x:v>
      </x:c>
      <x:c r="K869" s="48" t="str">
        <x:v>普通住宅</x:v>
      </x:c>
      <x:c r="L869" s="48" t="str">
        <x:v>是</x:v>
      </x:c>
      <x:c r="M869" s="48" t="str">
        <x:v>保留</x:v>
      </x:c>
      <x:c r="N869" s="48" t="str">
        <x:v>丽乐美居|1室0厅1|20|2480|南</x:v>
      </x:c>
      <x:c r="O869" s="48"/>
      <x:c r="P869" s="48" t="str">
        <x:v>未知（未逐条补齐）</x:v>
      </x:c>
      <x:c r="Q869" s="48" t="str">
        <x:v>https://shenzhen.leyoujia.com/zf/detail/YYP3iwY8CiXpAhJJEoTgfP.html</x:v>
      </x:c>
      <x:c r="R869" s="48" t="str">
        <x:v>2026-08-13</x:v>
      </x:c>
    </x:row>
    <x:row r="870">
      <x:c r="A870" s="48" t="str">
        <x:v>景贝南小区</x:v>
      </x:c>
      <x:c r="B870" s="48" t="str">
        <x:v>景贝南小区</x:v>
      </x:c>
      <x:c r="C870" s="48" t="str">
        <x:v>黄贝岭</x:v>
      </x:c>
      <x:c r="D870" s="56" t="n">
        <x:v>16.5</x:v>
      </x:c>
      <x:c r="E870" s="61" t="n">
        <x:v>2480</x:v>
      </x:c>
      <x:c r="F870" s="61" t="n">
        <x:v>20</x:v>
      </x:c>
      <x:c r="G870" s="61" t="n">
        <x:v>124</x:v>
      </x:c>
      <x:c r="H870" s="48" t="str">
        <x:v>1室0厅1</x:v>
      </x:c>
      <x:c r="I870" s="48" t="str">
        <x:v>北</x:v>
      </x:c>
      <x:c r="J870" s="48" t="str">
        <x:v>待核</x:v>
      </x:c>
      <x:c r="K870" s="48" t="str">
        <x:v>住宅</x:v>
      </x:c>
      <x:c r="L870" s="48" t="str">
        <x:v>是</x:v>
      </x:c>
      <x:c r="M870" s="48" t="str">
        <x:v>保留</x:v>
      </x:c>
      <x:c r="N870" s="48" t="str">
        <x:v>景贝南小区|1室0厅1|20|2480|北</x:v>
      </x:c>
      <x:c r="O870" s="48"/>
      <x:c r="P870" s="48" t="str">
        <x:v>未知（未逐条补齐）</x:v>
      </x:c>
      <x:c r="Q870" s="48" t="str">
        <x:v>https://shenzhen.leyoujia.com/zf/detail/F1Se8hk3sj8HLoHPgUQXrp.html</x:v>
      </x:c>
      <x:c r="R870" s="48" t="str">
        <x:v>2026-08-13</x:v>
      </x:c>
    </x:row>
    <x:row r="871">
      <x:c r="A871" s="48" t="str">
        <x:v>景贝南小区</x:v>
      </x:c>
      <x:c r="B871" s="48" t="str">
        <x:v>景贝南小区</x:v>
      </x:c>
      <x:c r="C871" s="48" t="str">
        <x:v>黄贝岭</x:v>
      </x:c>
      <x:c r="D871" s="56" t="n">
        <x:v>16.5</x:v>
      </x:c>
      <x:c r="E871" s="61" t="n">
        <x:v>2480</x:v>
      </x:c>
      <x:c r="F871" s="61" t="n">
        <x:v>30</x:v>
      </x:c>
      <x:c r="G871" s="61" t="n">
        <x:v>82.7</x:v>
      </x:c>
      <x:c r="H871" s="48" t="str">
        <x:v>1室0厅1</x:v>
      </x:c>
      <x:c r="I871" s="48" t="str">
        <x:v>南</x:v>
      </x:c>
      <x:c r="J871" s="48" t="str">
        <x:v>普装</x:v>
      </x:c>
      <x:c r="K871" s="48" t="str">
        <x:v>普通住宅</x:v>
      </x:c>
      <x:c r="L871" s="48" t="str">
        <x:v>是</x:v>
      </x:c>
      <x:c r="M871" s="48" t="str">
        <x:v>保留</x:v>
      </x:c>
      <x:c r="N871" s="48" t="str">
        <x:v>景贝南小区|1室0厅1|30|2480|南</x:v>
      </x:c>
      <x:c r="O871" s="48"/>
      <x:c r="P871" s="48" t="str">
        <x:v>未知（未逐条补齐）</x:v>
      </x:c>
      <x:c r="Q871" s="48" t="str">
        <x:v>https://shenzhen.leyoujia.com/zf/detail/69YJbTbrmZwMeFki6jJMU4.html</x:v>
      </x:c>
      <x:c r="R871" s="48" t="str">
        <x:v>2026-08-13</x:v>
      </x:c>
    </x:row>
    <x:row r="872">
      <x:c r="A872" s="48" t="str">
        <x:v>景贝南小区</x:v>
      </x:c>
      <x:c r="B872" s="48" t="str">
        <x:v>景贝南小区</x:v>
      </x:c>
      <x:c r="C872" s="48" t="str">
        <x:v>黄贝岭</x:v>
      </x:c>
      <x:c r="D872" s="56" t="n">
        <x:v>16.5</x:v>
      </x:c>
      <x:c r="E872" s="61" t="n">
        <x:v>2480</x:v>
      </x:c>
      <x:c r="F872" s="61" t="n">
        <x:v>20</x:v>
      </x:c>
      <x:c r="G872" s="61" t="n">
        <x:v>124</x:v>
      </x:c>
      <x:c r="H872" s="48" t="str">
        <x:v>1室0厅1</x:v>
      </x:c>
      <x:c r="I872" s="48" t="str">
        <x:v>北</x:v>
      </x:c>
      <x:c r="J872" s="48" t="str">
        <x:v>精装</x:v>
      </x:c>
      <x:c r="K872" s="48" t="str">
        <x:v>普通住宅</x:v>
      </x:c>
      <x:c r="L872" s="48" t="str">
        <x:v>否</x:v>
      </x:c>
      <x:c r="M872" s="48" t="str">
        <x:v>疑似重复挂牌</x:v>
      </x:c>
      <x:c r="N872" s="48" t="str">
        <x:v>景贝南小区|1室0厅1|20|2480|北</x:v>
      </x:c>
      <x:c r="O872" s="48"/>
      <x:c r="P872" s="48" t="str">
        <x:v>未知（未逐条补齐）</x:v>
      </x:c>
      <x:c r="Q872" s="48" t="str">
        <x:v>https://shenzhen.leyoujia.com/zf/detail/FXzugvWLSpHzqXor5Bq8X1.html</x:v>
      </x:c>
      <x:c r="R872" s="48" t="str">
        <x:v>2026-08-13</x:v>
      </x:c>
    </x:row>
    <x:row r="873">
      <x:c r="A873" s="48" t="str">
        <x:v>景贝南小区</x:v>
      </x:c>
      <x:c r="B873" s="48" t="str">
        <x:v>景贝南小区</x:v>
      </x:c>
      <x:c r="C873" s="48" t="str">
        <x:v>黄贝岭</x:v>
      </x:c>
      <x:c r="D873" s="56" t="n">
        <x:v>16.5</x:v>
      </x:c>
      <x:c r="E873" s="61" t="n">
        <x:v>2600</x:v>
      </x:c>
      <x:c r="F873" s="61" t="n">
        <x:v>30</x:v>
      </x:c>
      <x:c r="G873" s="61" t="n">
        <x:v>86.7</x:v>
      </x:c>
      <x:c r="H873" s="48" t="str">
        <x:v>1室0厅1</x:v>
      </x:c>
      <x:c r="I873" s="48" t="str">
        <x:v>西</x:v>
      </x:c>
      <x:c r="J873" s="48" t="str">
        <x:v>普装</x:v>
      </x:c>
      <x:c r="K873" s="48" t="str">
        <x:v>普通住宅</x:v>
      </x:c>
      <x:c r="L873" s="48" t="str">
        <x:v>是</x:v>
      </x:c>
      <x:c r="M873" s="48" t="str">
        <x:v>保留</x:v>
      </x:c>
      <x:c r="N873" s="48" t="str">
        <x:v>景贝南小区|1室0厅1|30|2600|西</x:v>
      </x:c>
      <x:c r="O873" s="48"/>
      <x:c r="P873" s="48" t="str">
        <x:v>未知（未逐条补齐）</x:v>
      </x:c>
      <x:c r="Q873" s="48" t="str">
        <x:v>https://shenzhen.leyoujia.com/zf/detail/5VY2qWYUKGDZu1hpU4kK7Z.html</x:v>
      </x:c>
      <x:c r="R873" s="48" t="str">
        <x:v>2026-08-13</x:v>
      </x:c>
    </x:row>
    <x:row r="874">
      <x:c r="A874" s="48" t="str">
        <x:v>景贝南小区</x:v>
      </x:c>
      <x:c r="B874" s="48" t="str">
        <x:v>景贝南小区</x:v>
      </x:c>
      <x:c r="C874" s="48" t="str">
        <x:v>黄贝岭</x:v>
      </x:c>
      <x:c r="D874" s="56" t="n">
        <x:v>16.5</x:v>
      </x:c>
      <x:c r="E874" s="61" t="n">
        <x:v>2700</x:v>
      </x:c>
      <x:c r="F874" s="61" t="n">
        <x:v>30</x:v>
      </x:c>
      <x:c r="G874" s="61" t="n">
        <x:v>90</x:v>
      </x:c>
      <x:c r="H874" s="48" t="str">
        <x:v>1室0厅1</x:v>
      </x:c>
      <x:c r="I874" s="48" t="str">
        <x:v>南北</x:v>
      </x:c>
      <x:c r="J874" s="48" t="str">
        <x:v>普装</x:v>
      </x:c>
      <x:c r="K874" s="48" t="str">
        <x:v>住宅</x:v>
      </x:c>
      <x:c r="L874" s="48" t="str">
        <x:v>是</x:v>
      </x:c>
      <x:c r="M874" s="48" t="str">
        <x:v>保留</x:v>
      </x:c>
      <x:c r="N874" s="48" t="str">
        <x:v>景贝南小区|1室0厅1|30|2700|南北</x:v>
      </x:c>
      <x:c r="O874" s="48"/>
      <x:c r="P874" s="48" t="str">
        <x:v>未知（未逐条补齐）</x:v>
      </x:c>
      <x:c r="Q874" s="48" t="str">
        <x:v>https://shenzhen.leyoujia.com/zf/detail/3yATsHQNVdzQVTMC9kPSod.html</x:v>
      </x:c>
      <x:c r="R874" s="48" t="str">
        <x:v>2026-08-13</x:v>
      </x:c>
    </x:row>
    <x:row r="875">
      <x:c r="A875" s="48" t="str">
        <x:v>景贝南小区</x:v>
      </x:c>
      <x:c r="B875" s="48" t="str">
        <x:v>景贝南小区</x:v>
      </x:c>
      <x:c r="C875" s="48" t="str">
        <x:v>黄贝岭</x:v>
      </x:c>
      <x:c r="D875" s="56" t="n">
        <x:v>16.5</x:v>
      </x:c>
      <x:c r="E875" s="61" t="n">
        <x:v>2700</x:v>
      </x:c>
      <x:c r="F875" s="61" t="n">
        <x:v>25</x:v>
      </x:c>
      <x:c r="G875" s="61" t="n">
        <x:v>108</x:v>
      </x:c>
      <x:c r="H875" s="48" t="str">
        <x:v>1室0厅1</x:v>
      </x:c>
      <x:c r="I875" s="48" t="str">
        <x:v>西</x:v>
      </x:c>
      <x:c r="J875" s="48" t="str">
        <x:v>普装</x:v>
      </x:c>
      <x:c r="K875" s="48" t="str">
        <x:v>普通住宅</x:v>
      </x:c>
      <x:c r="L875" s="48" t="str">
        <x:v>是</x:v>
      </x:c>
      <x:c r="M875" s="48" t="str">
        <x:v>保留</x:v>
      </x:c>
      <x:c r="N875" s="48" t="str">
        <x:v>景贝南小区|1室0厅1|25|2700|西</x:v>
      </x:c>
      <x:c r="O875" s="48"/>
      <x:c r="P875" s="48" t="str">
        <x:v>未知（未逐条补齐）</x:v>
      </x:c>
      <x:c r="Q875" s="48" t="str">
        <x:v>https://shenzhen.leyoujia.com/zf/detail/Q4Giauko5HrYVRRgfw8vEu.html</x:v>
      </x:c>
      <x:c r="R875" s="48" t="str">
        <x:v>2026-08-13</x:v>
      </x:c>
    </x:row>
    <x:row r="876">
      <x:c r="A876" s="48" t="str">
        <x:v>景贝南小区</x:v>
      </x:c>
      <x:c r="B876" s="48" t="str">
        <x:v>景贝南小区</x:v>
      </x:c>
      <x:c r="C876" s="48" t="str">
        <x:v>黄贝岭</x:v>
      </x:c>
      <x:c r="D876" s="56" t="n">
        <x:v>16.5</x:v>
      </x:c>
      <x:c r="E876" s="61" t="n">
        <x:v>4100</x:v>
      </x:c>
      <x:c r="F876" s="61" t="n">
        <x:v>20</x:v>
      </x:c>
      <x:c r="G876" s="61" t="n">
        <x:v>205</x:v>
      </x:c>
      <x:c r="H876" s="48" t="str">
        <x:v>1室0厅1</x:v>
      </x:c>
      <x:c r="I876" s="48" t="str">
        <x:v>南北</x:v>
      </x:c>
      <x:c r="J876" s="48" t="str">
        <x:v>普装</x:v>
      </x:c>
      <x:c r="K876" s="48" t="str">
        <x:v>普通住宅</x:v>
      </x:c>
      <x:c r="L876" s="48" t="str">
        <x:v>否</x:v>
      </x:c>
      <x:c r="M876" s="48" t="str">
        <x:v>异常高价</x:v>
      </x:c>
      <x:c r="N876" s="48" t="str">
        <x:v>景贝南小区|1室0厅1|20|4100|南北</x:v>
      </x:c>
      <x:c r="O876" s="48"/>
      <x:c r="P876" s="48" t="str">
        <x:v>未知（未逐条补齐）</x:v>
      </x:c>
      <x:c r="Q876" s="48" t="str">
        <x:v>https://shenzhen.leyoujia.com/zf/detail/XmVgQzDbPWjpr9rkwdQhgT.html</x:v>
      </x:c>
      <x:c r="R876" s="48" t="str">
        <x:v>2026-08-13</x:v>
      </x:c>
    </x:row>
    <x:row r="877">
      <x:c r="A877" s="48" t="str">
        <x:v>电影大厦</x:v>
      </x:c>
      <x:c r="B877" s="48" t="str">
        <x:v>电影大厦</x:v>
      </x:c>
      <x:c r="C877" s="48" t="str">
        <x:v>老街</x:v>
      </x:c>
      <x:c r="D877" s="56" t="n">
        <x:v>6.3</x:v>
      </x:c>
      <x:c r="E877" s="61" t="n">
        <x:v>3000</x:v>
      </x:c>
      <x:c r="F877" s="61" t="n">
        <x:v>36.87</x:v>
      </x:c>
      <x:c r="G877" s="61" t="n">
        <x:v>81.4</x:v>
      </x:c>
      <x:c r="H877" s="48" t="str">
        <x:v>1室0厅1</x:v>
      </x:c>
      <x:c r="I877" s="48" t="str">
        <x:v>南</x:v>
      </x:c>
      <x:c r="J877" s="48" t="str">
        <x:v>精装</x:v>
      </x:c>
      <x:c r="K877" s="48" t="str">
        <x:v>公寓</x:v>
      </x:c>
      <x:c r="L877" s="48" t="str">
        <x:v>是</x:v>
      </x:c>
      <x:c r="M877" s="48" t="str">
        <x:v>保留</x:v>
      </x:c>
      <x:c r="N877" s="48" t="str">
        <x:v>电影大厦|1室0厅1|37|3000|南</x:v>
      </x:c>
      <x:c r="O877" s="48"/>
      <x:c r="P877" s="48" t="str">
        <x:v>未知（未逐条补齐）</x:v>
      </x:c>
      <x:c r="Q877" s="48" t="str">
        <x:v>https://shenzhen.leyoujia.com/zf/detail/6FvnJZ3trWvRmmT3rDNULC.html</x:v>
      </x:c>
      <x:c r="R877" s="48" t="str">
        <x:v>2026-08-13</x:v>
      </x:c>
    </x:row>
    <x:row r="878">
      <x:c r="A878" s="48" t="str">
        <x:v>电影大厦</x:v>
      </x:c>
      <x:c r="B878" s="48" t="str">
        <x:v>电影大厦</x:v>
      </x:c>
      <x:c r="C878" s="48" t="str">
        <x:v>老街</x:v>
      </x:c>
      <x:c r="D878" s="56" t="n">
        <x:v>6.3</x:v>
      </x:c>
      <x:c r="E878" s="61" t="n">
        <x:v>3380</x:v>
      </x:c>
      <x:c r="F878" s="61" t="n">
        <x:v>25</x:v>
      </x:c>
      <x:c r="G878" s="61" t="n">
        <x:v>135.2</x:v>
      </x:c>
      <x:c r="H878" s="48" t="str">
        <x:v>1室0厅1</x:v>
      </x:c>
      <x:c r="I878" s="48" t="str">
        <x:v>南</x:v>
      </x:c>
      <x:c r="J878" s="48" t="str">
        <x:v>精装</x:v>
      </x:c>
      <x:c r="K878" s="48" t="str">
        <x:v>公寓</x:v>
      </x:c>
      <x:c r="L878" s="48" t="str">
        <x:v>是</x:v>
      </x:c>
      <x:c r="M878" s="48" t="str">
        <x:v>保留</x:v>
      </x:c>
      <x:c r="N878" s="48" t="str">
        <x:v>电影大厦|1室0厅1|25|3380|南</x:v>
      </x:c>
      <x:c r="O878" s="48"/>
      <x:c r="P878" s="48" t="str">
        <x:v>未知（未逐条补齐）</x:v>
      </x:c>
      <x:c r="Q878" s="48" t="str">
        <x:v>https://shenzhen.leyoujia.com/zf/detail/EqNvrFtLgjk7JRvjoxgGcN.html</x:v>
      </x:c>
      <x:c r="R878" s="48" t="str">
        <x:v>2026-08-13</x:v>
      </x:c>
    </x:row>
    <x:row r="879">
      <x:c r="A879" s="48" t="str">
        <x:v>电影大厦</x:v>
      </x:c>
      <x:c r="B879" s="48" t="str">
        <x:v>电影大厦</x:v>
      </x:c>
      <x:c r="C879" s="48" t="str">
        <x:v>老街</x:v>
      </x:c>
      <x:c r="D879" s="56" t="n">
        <x:v>6.3</x:v>
      </x:c>
      <x:c r="E879" s="61" t="n">
        <x:v>3500</x:v>
      </x:c>
      <x:c r="F879" s="61" t="n">
        <x:v>36.87</x:v>
      </x:c>
      <x:c r="G879" s="61" t="n">
        <x:v>94.9</x:v>
      </x:c>
      <x:c r="H879" s="48" t="str">
        <x:v>1室0厅1</x:v>
      </x:c>
      <x:c r="I879" s="48" t="str">
        <x:v>南</x:v>
      </x:c>
      <x:c r="J879" s="48" t="str">
        <x:v>豪装</x:v>
      </x:c>
      <x:c r="K879" s="48" t="str">
        <x:v>普通住宅</x:v>
      </x:c>
      <x:c r="L879" s="48" t="str">
        <x:v>是</x:v>
      </x:c>
      <x:c r="M879" s="48" t="str">
        <x:v>保留</x:v>
      </x:c>
      <x:c r="N879" s="48" t="str">
        <x:v>电影大厦|1室0厅1|37|3500|南</x:v>
      </x:c>
      <x:c r="O879" s="48"/>
      <x:c r="P879" s="48" t="str">
        <x:v>未知（未逐条补齐）</x:v>
      </x:c>
      <x:c r="Q879" s="48" t="str">
        <x:v>https://shenzhen.leyoujia.com/zf/detail/CTTUrWY61aaeE5qMyEx5sC.html</x:v>
      </x:c>
      <x:c r="R879" s="48" t="str">
        <x:v>2026-08-13</x:v>
      </x:c>
    </x:row>
    <x:row r="880">
      <x:c r="A880" s="48" t="str">
        <x:v>电影大厦</x:v>
      </x:c>
      <x:c r="B880" s="48" t="str">
        <x:v>电影大厦</x:v>
      </x:c>
      <x:c r="C880" s="48" t="str">
        <x:v>老街</x:v>
      </x:c>
      <x:c r="D880" s="56" t="n">
        <x:v>6.3</x:v>
      </x:c>
      <x:c r="E880" s="61" t="n">
        <x:v>3680</x:v>
      </x:c>
      <x:c r="F880" s="61" t="n">
        <x:v>30</x:v>
      </x:c>
      <x:c r="G880" s="61" t="n">
        <x:v>122.7</x:v>
      </x:c>
      <x:c r="H880" s="48" t="str">
        <x:v>1室1厅1</x:v>
      </x:c>
      <x:c r="I880" s="48" t="str">
        <x:v>南</x:v>
      </x:c>
      <x:c r="J880" s="48" t="str">
        <x:v>待核</x:v>
      </x:c>
      <x:c r="K880" s="48" t="str">
        <x:v>公寓</x:v>
      </x:c>
      <x:c r="L880" s="48" t="str">
        <x:v>是</x:v>
      </x:c>
      <x:c r="M880" s="48" t="str">
        <x:v>保留</x:v>
      </x:c>
      <x:c r="N880" s="48" t="str">
        <x:v>电影大厦|1室1厅1|30|3680|南</x:v>
      </x:c>
      <x:c r="O880" s="48"/>
      <x:c r="P880" s="48" t="str">
        <x:v>未知（未逐条补齐）</x:v>
      </x:c>
      <x:c r="Q880" s="48" t="str">
        <x:v>https://shenzhen.leyoujia.com/zf/detail/5ipRAPHv9Vb1oSvwMpntHw.html</x:v>
      </x:c>
      <x:c r="R880" s="48" t="str">
        <x:v>2026-08-13</x:v>
      </x:c>
    </x:row>
    <x:row r="881">
      <x:c r="A881" s="48" t="str">
        <x:v>电影大厦</x:v>
      </x:c>
      <x:c r="B881" s="48" t="str">
        <x:v>电影大厦</x:v>
      </x:c>
      <x:c r="C881" s="48" t="str">
        <x:v>老街</x:v>
      </x:c>
      <x:c r="D881" s="56" t="n">
        <x:v>6.3</x:v>
      </x:c>
      <x:c r="E881" s="61" t="n">
        <x:v>4280</x:v>
      </x:c>
      <x:c r="F881" s="61" t="n">
        <x:v>36.87</x:v>
      </x:c>
      <x:c r="G881" s="61" t="n">
        <x:v>116.1</x:v>
      </x:c>
      <x:c r="H881" s="48" t="str">
        <x:v>1室0厅1</x:v>
      </x:c>
      <x:c r="I881" s="48" t="str">
        <x:v>南</x:v>
      </x:c>
      <x:c r="J881" s="48" t="str">
        <x:v>精装</x:v>
      </x:c>
      <x:c r="K881" s="48" t="str">
        <x:v>公寓</x:v>
      </x:c>
      <x:c r="L881" s="48" t="str">
        <x:v>是</x:v>
      </x:c>
      <x:c r="M881" s="48" t="str">
        <x:v>保留</x:v>
      </x:c>
      <x:c r="N881" s="48" t="str">
        <x:v>电影大厦|1室0厅1|37|4280|南</x:v>
      </x:c>
      <x:c r="O881" s="48"/>
      <x:c r="P881" s="48" t="str">
        <x:v>未知（未逐条补齐）</x:v>
      </x:c>
      <x:c r="Q881" s="48" t="str">
        <x:v>https://shenzhen.leyoujia.com/zf/detail/5GiWX4MY7nKu8zpdmneR58.html</x:v>
      </x:c>
      <x:c r="R881" s="48" t="str">
        <x:v>2026-08-13</x:v>
      </x:c>
    </x:row>
    <x:row r="882">
      <x:c r="A882" s="48" t="str">
        <x:v>电影大厦</x:v>
      </x:c>
      <x:c r="B882" s="48" t="str">
        <x:v>电影大厦</x:v>
      </x:c>
      <x:c r="C882" s="48" t="str">
        <x:v>老街</x:v>
      </x:c>
      <x:c r="D882" s="56" t="n">
        <x:v>6.3</x:v>
      </x:c>
      <x:c r="E882" s="61" t="n">
        <x:v>4680</x:v>
      </x:c>
      <x:c r="F882" s="61" t="n">
        <x:v>37</x:v>
      </x:c>
      <x:c r="G882" s="61" t="n">
        <x:v>126.5</x:v>
      </x:c>
      <x:c r="H882" s="48" t="str">
        <x:v>1室0厅1</x:v>
      </x:c>
      <x:c r="I882" s="48" t="str">
        <x:v>东</x:v>
      </x:c>
      <x:c r="J882" s="48" t="str">
        <x:v>精装</x:v>
      </x:c>
      <x:c r="K882" s="48" t="str">
        <x:v>普通住宅</x:v>
      </x:c>
      <x:c r="L882" s="48" t="str">
        <x:v>是</x:v>
      </x:c>
      <x:c r="M882" s="48" t="str">
        <x:v>保留</x:v>
      </x:c>
      <x:c r="N882" s="48" t="str">
        <x:v>电影大厦|1室0厅1|37|4680|东</x:v>
      </x:c>
      <x:c r="O882" s="48"/>
      <x:c r="P882" s="48" t="str">
        <x:v>未知（未逐条补齐）</x:v>
      </x:c>
      <x:c r="Q882" s="48" t="str">
        <x:v>https://shenzhen.leyoujia.com/zf/detail/5t7DRUxWTBuzzPj8wtVVsG.html</x:v>
      </x:c>
      <x:c r="R882" s="48" t="str">
        <x:v>2026-08-13</x:v>
      </x:c>
    </x:row>
    <x:row r="883">
      <x:c r="A883" s="48" t="str">
        <x:v>电影大厦</x:v>
      </x:c>
      <x:c r="B883" s="48" t="str">
        <x:v>电影大厦</x:v>
      </x:c>
      <x:c r="C883" s="48" t="str">
        <x:v>老街</x:v>
      </x:c>
      <x:c r="D883" s="56" t="n">
        <x:v>6.3</x:v>
      </x:c>
      <x:c r="E883" s="61" t="n">
        <x:v>4680</x:v>
      </x:c>
      <x:c r="F883" s="61" t="n">
        <x:v>37</x:v>
      </x:c>
      <x:c r="G883" s="61" t="n">
        <x:v>126.5</x:v>
      </x:c>
      <x:c r="H883" s="48" t="str">
        <x:v>1室0厅1</x:v>
      </x:c>
      <x:c r="I883" s="48" t="str">
        <x:v>东</x:v>
      </x:c>
      <x:c r="J883" s="48" t="str">
        <x:v>精装</x:v>
      </x:c>
      <x:c r="K883" s="48" t="str">
        <x:v>普通住宅</x:v>
      </x:c>
      <x:c r="L883" s="48" t="str">
        <x:v>否</x:v>
      </x:c>
      <x:c r="M883" s="48" t="str">
        <x:v>疑似重复挂牌</x:v>
      </x:c>
      <x:c r="N883" s="48" t="str">
        <x:v>电影大厦|1室0厅1|37|4680|东</x:v>
      </x:c>
      <x:c r="O883" s="48"/>
      <x:c r="P883" s="48" t="str">
        <x:v>未知（未逐条补齐）</x:v>
      </x:c>
      <x:c r="Q883" s="48" t="str">
        <x:v>https://shenzhen.leyoujia.com/zf/detail/U7Fbpj2VEveheRwcfCXF2a.html</x:v>
      </x:c>
      <x:c r="R883" s="48" t="str">
        <x:v>2026-08-13</x:v>
      </x:c>
    </x:row>
    <x:row r="884">
      <x:c r="A884" s="48" t="str">
        <x:v>电影大厦</x:v>
      </x:c>
      <x:c r="B884" s="48" t="str">
        <x:v>电影大厦</x:v>
      </x:c>
      <x:c r="C884" s="48" t="str">
        <x:v>老街</x:v>
      </x:c>
      <x:c r="D884" s="56" t="n">
        <x:v>6.3</x:v>
      </x:c>
      <x:c r="E884" s="61" t="n">
        <x:v>4680</x:v>
      </x:c>
      <x:c r="F884" s="61" t="n">
        <x:v>36.87</x:v>
      </x:c>
      <x:c r="G884" s="61" t="n">
        <x:v>126.9</x:v>
      </x:c>
      <x:c r="H884" s="48" t="str">
        <x:v>1室0厅1</x:v>
      </x:c>
      <x:c r="I884" s="48" t="str">
        <x:v>南</x:v>
      </x:c>
      <x:c r="J884" s="48" t="str">
        <x:v>精装</x:v>
      </x:c>
      <x:c r="K884" s="48" t="str">
        <x:v>普通住宅</x:v>
      </x:c>
      <x:c r="L884" s="48" t="str">
        <x:v>是</x:v>
      </x:c>
      <x:c r="M884" s="48" t="str">
        <x:v>保留</x:v>
      </x:c>
      <x:c r="N884" s="48" t="str">
        <x:v>电影大厦|1室0厅1|37|4680|南</x:v>
      </x:c>
      <x:c r="O884" s="48"/>
      <x:c r="P884" s="48" t="str">
        <x:v>未知（未逐条补齐）</x:v>
      </x:c>
      <x:c r="Q884" s="48" t="str">
        <x:v>https://shenzhen.leyoujia.com/zf/detail/JivUhtjVKFHNz8UHAr27rr.html</x:v>
      </x:c>
      <x:c r="R884" s="48" t="str">
        <x:v>2026-08-13</x:v>
      </x:c>
    </x:row>
    <x:row r="885">
      <x:c r="A885" s="48" t="str">
        <x:v>电影大厦</x:v>
      </x:c>
      <x:c r="B885" s="48" t="str">
        <x:v>电影大厦</x:v>
      </x:c>
      <x:c r="C885" s="48" t="str">
        <x:v>老街</x:v>
      </x:c>
      <x:c r="D885" s="56" t="n">
        <x:v>6.3</x:v>
      </x:c>
      <x:c r="E885" s="61" t="n">
        <x:v>4680</x:v>
      </x:c>
      <x:c r="F885" s="61" t="n">
        <x:v>36.87</x:v>
      </x:c>
      <x:c r="G885" s="61" t="n">
        <x:v>126.9</x:v>
      </x:c>
      <x:c r="H885" s="48" t="str">
        <x:v>1室0厅1</x:v>
      </x:c>
      <x:c r="I885" s="48" t="str">
        <x:v>南</x:v>
      </x:c>
      <x:c r="J885" s="48" t="str">
        <x:v>精装</x:v>
      </x:c>
      <x:c r="K885" s="48" t="str">
        <x:v>普通住宅</x:v>
      </x:c>
      <x:c r="L885" s="48" t="str">
        <x:v>否</x:v>
      </x:c>
      <x:c r="M885" s="48" t="str">
        <x:v>疑似重复挂牌</x:v>
      </x:c>
      <x:c r="N885" s="48" t="str">
        <x:v>电影大厦|1室0厅1|37|4680|南</x:v>
      </x:c>
      <x:c r="O885" s="48"/>
      <x:c r="P885" s="48" t="str">
        <x:v>未知（未逐条补齐）</x:v>
      </x:c>
      <x:c r="Q885" s="48" t="str">
        <x:v>https://shenzhen.leyoujia.com/zf/detail/H7qXXGbcTiJzYk3ygTCmHi.html</x:v>
      </x:c>
      <x:c r="R885" s="48" t="str">
        <x:v>2026-08-13</x:v>
      </x:c>
    </x:row>
    <x:row r="886">
      <x:c r="A886" s="48" t="str">
        <x:v>桂木园(桂园路)</x:v>
      </x:c>
      <x:c r="B886" s="48" t="str">
        <x:v>桂木园燃料公司住宅楼</x:v>
      </x:c>
      <x:c r="C886" s="48" t="str">
        <x:v>老街</x:v>
      </x:c>
      <x:c r="D886" s="56" t="n">
        <x:v>10.2</x:v>
      </x:c>
      <x:c r="E886" s="61" t="n">
        <x:v>2680</x:v>
      </x:c>
      <x:c r="F886" s="61" t="n">
        <x:v>20</x:v>
      </x:c>
      <x:c r="G886" s="61" t="n">
        <x:v>134</x:v>
      </x:c>
      <x:c r="H886" s="48" t="str">
        <x:v>1室0厅1</x:v>
      </x:c>
      <x:c r="I886" s="48" t="str">
        <x:v>南</x:v>
      </x:c>
      <x:c r="J886" s="48" t="str">
        <x:v>待核</x:v>
      </x:c>
      <x:c r="K886" s="48" t="str">
        <x:v>住宅</x:v>
      </x:c>
      <x:c r="L886" s="48" t="str">
        <x:v>是</x:v>
      </x:c>
      <x:c r="M886" s="48" t="str">
        <x:v>保留</x:v>
      </x:c>
      <x:c r="N886" s="48" t="str">
        <x:v>桂木园燃料公司住宅楼|1室0厅1|20|2680|南</x:v>
      </x:c>
      <x:c r="O886" s="48"/>
      <x:c r="P886" s="48" t="str">
        <x:v>未知（未逐条补齐）</x:v>
      </x:c>
      <x:c r="Q886" s="48" t="str">
        <x:v>https://shenzhen.leyoujia.com/zf/detail/9ngyAyMdGVUFmFH9SEXFBD.html</x:v>
      </x:c>
      <x:c r="R886" s="48" t="str">
        <x:v>2026-08-13</x:v>
      </x:c>
    </x:row>
    <x:row r="887">
      <x:c r="A887" s="48" t="str">
        <x:v>桂木园(桂园路)</x:v>
      </x:c>
      <x:c r="B887" s="48" t="str">
        <x:v>桂木园燃料公司住宅楼</x:v>
      </x:c>
      <x:c r="C887" s="48" t="str">
        <x:v>老街</x:v>
      </x:c>
      <x:c r="D887" s="56" t="n">
        <x:v>10.2</x:v>
      </x:c>
      <x:c r="E887" s="61" t="n">
        <x:v>2750</x:v>
      </x:c>
      <x:c r="F887" s="61" t="n">
        <x:v>30</x:v>
      </x:c>
      <x:c r="G887" s="61" t="n">
        <x:v>91.7</x:v>
      </x:c>
      <x:c r="H887" s="48" t="str">
        <x:v>1室1厅1</x:v>
      </x:c>
      <x:c r="I887" s="48" t="str">
        <x:v>南</x:v>
      </x:c>
      <x:c r="J887" s="48" t="str">
        <x:v>精装</x:v>
      </x:c>
      <x:c r="K887" s="48" t="str">
        <x:v>普通住宅</x:v>
      </x:c>
      <x:c r="L887" s="48" t="str">
        <x:v>是</x:v>
      </x:c>
      <x:c r="M887" s="48" t="str">
        <x:v>保留</x:v>
      </x:c>
      <x:c r="N887" s="48" t="str">
        <x:v>桂木园燃料公司住宅楼|1室1厅1|30|2750|南</x:v>
      </x:c>
      <x:c r="O887" s="48"/>
      <x:c r="P887" s="48" t="str">
        <x:v>未知（未逐条补齐）</x:v>
      </x:c>
      <x:c r="Q887" s="48" t="str">
        <x:v>https://shenzhen.leyoujia.com/zf/detail/CiQ29psg9JwXvfgZctcsVa.html</x:v>
      </x:c>
      <x:c r="R887" s="48" t="str">
        <x:v>2026-08-13</x:v>
      </x:c>
    </x:row>
    <x:row r="888">
      <x:c r="A888" s="48" t="str">
        <x:v>桂木园(桂园路)</x:v>
      </x:c>
      <x:c r="B888" s="48" t="str">
        <x:v>桂木园小区</x:v>
      </x:c>
      <x:c r="C888" s="48" t="str">
        <x:v>老街</x:v>
      </x:c>
      <x:c r="D888" s="56" t="n">
        <x:v>10.2</x:v>
      </x:c>
      <x:c r="E888" s="61" t="n">
        <x:v>3000</x:v>
      </x:c>
      <x:c r="F888" s="61" t="n">
        <x:v>38</x:v>
      </x:c>
      <x:c r="G888" s="61" t="n">
        <x:v>78.9</x:v>
      </x:c>
      <x:c r="H888" s="48" t="str">
        <x:v>1室0厅1</x:v>
      </x:c>
      <x:c r="I888" s="48" t="str">
        <x:v>南</x:v>
      </x:c>
      <x:c r="J888" s="48" t="str">
        <x:v>精装</x:v>
      </x:c>
      <x:c r="K888" s="48" t="str">
        <x:v>普通住宅</x:v>
      </x:c>
      <x:c r="L888" s="48" t="str">
        <x:v>是</x:v>
      </x:c>
      <x:c r="M888" s="48" t="str">
        <x:v>保留</x:v>
      </x:c>
      <x:c r="N888" s="48" t="str">
        <x:v>桂木园小区|1室0厅1|38|3000|南</x:v>
      </x:c>
      <x:c r="O888" s="48"/>
      <x:c r="P888" s="48" t="str">
        <x:v>未知（未逐条补齐）</x:v>
      </x:c>
      <x:c r="Q888" s="48" t="str">
        <x:v>https://shenzhen.leyoujia.com/zf/detail/2XMu7cBKbyEszGF2EteYTD.html</x:v>
      </x:c>
      <x:c r="R888" s="48" t="str">
        <x:v>2026-08-13</x:v>
      </x:c>
    </x:row>
    <x:row r="889">
      <x:c r="A889" s="48" t="str">
        <x:v>粤华小区</x:v>
      </x:c>
      <x:c r="B889" s="48" t="str">
        <x:v>粤华小区</x:v>
      </x:c>
      <x:c r="C889" s="48" t="str">
        <x:v>老街</x:v>
      </x:c>
      <x:c r="D889" s="56" t="n">
        <x:v>9.3</x:v>
      </x:c>
      <x:c r="E889" s="61" t="n">
        <x:v>3880</x:v>
      </x:c>
      <x:c r="F889" s="61" t="n">
        <x:v>41</x:v>
      </x:c>
      <x:c r="G889" s="61" t="n">
        <x:v>94.6</x:v>
      </x:c>
      <x:c r="H889" s="48" t="str">
        <x:v>1室0厅1</x:v>
      </x:c>
      <x:c r="I889" s="48" t="str">
        <x:v>南</x:v>
      </x:c>
      <x:c r="J889" s="48" t="str">
        <x:v>精装</x:v>
      </x:c>
      <x:c r="K889" s="48" t="str">
        <x:v>酒店式公寓</x:v>
      </x:c>
      <x:c r="L889" s="48" t="str">
        <x:v>是</x:v>
      </x:c>
      <x:c r="M889" s="48" t="str">
        <x:v>保留</x:v>
      </x:c>
      <x:c r="N889" s="48" t="str">
        <x:v>粤华小区|1室0厅1|41|3880|南</x:v>
      </x:c>
      <x:c r="O889" s="48"/>
      <x:c r="P889" s="48" t="str">
        <x:v>未知（未逐条补齐）</x:v>
      </x:c>
      <x:c r="Q889" s="48" t="str">
        <x:v>https://shenzhen.leyoujia.com/zf/detail/Ldc7mGDeWjUYZQWM2vFoU5.html</x:v>
      </x:c>
      <x:c r="R889" s="48" t="str">
        <x:v>2026-08-13</x:v>
      </x:c>
    </x:row>
    <x:row r="890">
      <x:c r="A890" s="48" t="str">
        <x:v>红围坊</x:v>
      </x:c>
      <x:c r="B890" s="48" t="str">
        <x:v>红围坊</x:v>
      </x:c>
      <x:c r="C890" s="48" t="str">
        <x:v>老街</x:v>
      </x:c>
      <x:c r="D890" s="56" t="n">
        <x:v>8.3</x:v>
      </x:c>
      <x:c r="E890" s="61" t="n">
        <x:v>3200</x:v>
      </x:c>
      <x:c r="F890" s="61" t="n">
        <x:v>38</x:v>
      </x:c>
      <x:c r="G890" s="61" t="n">
        <x:v>84.2</x:v>
      </x:c>
      <x:c r="H890" s="48" t="str">
        <x:v>1室1厅1</x:v>
      </x:c>
      <x:c r="I890" s="48" t="str">
        <x:v>南</x:v>
      </x:c>
      <x:c r="J890" s="48" t="str">
        <x:v>普装</x:v>
      </x:c>
      <x:c r="K890" s="48" t="str">
        <x:v>普通住宅</x:v>
      </x:c>
      <x:c r="L890" s="48" t="str">
        <x:v>是</x:v>
      </x:c>
      <x:c r="M890" s="48" t="str">
        <x:v>保留</x:v>
      </x:c>
      <x:c r="N890" s="48" t="str">
        <x:v>红围坊|1室1厅1|38|3200|南</x:v>
      </x:c>
      <x:c r="O890" s="48"/>
      <x:c r="P890" s="48" t="str">
        <x:v>未知（未逐条补齐）</x:v>
      </x:c>
      <x:c r="Q890" s="48" t="str">
        <x:v>https://shenzhen.leyoujia.com/zf/detail/SxQS3U4om9JquNrBwAeZWo.html</x:v>
      </x:c>
      <x:c r="R890" s="48" t="str">
        <x:v>2026-08-13</x:v>
      </x:c>
    </x:row>
    <x:row r="891">
      <x:c r="A891" s="48" t="str">
        <x:v>恒大天玺公馆</x:v>
      </x:c>
      <x:c r="B891" s="48" t="str">
        <x:v>恒大天玺公馆</x:v>
      </x:c>
      <x:c r="C891" s="48" t="str">
        <x:v>老街</x:v>
      </x:c>
      <x:c r="D891" s="56" t="n">
        <x:v>9.9</x:v>
      </x:c>
      <x:c r="E891" s="61" t="n">
        <x:v>3200</x:v>
      </x:c>
      <x:c r="F891" s="61" t="n">
        <x:v>30</x:v>
      </x:c>
      <x:c r="G891" s="61" t="n">
        <x:v>106.7</x:v>
      </x:c>
      <x:c r="H891" s="48" t="str">
        <x:v>1室1厅1</x:v>
      </x:c>
      <x:c r="I891" s="48" t="str">
        <x:v>南</x:v>
      </x:c>
      <x:c r="J891" s="48" t="str">
        <x:v>精装</x:v>
      </x:c>
      <x:c r="K891" s="48" t="str">
        <x:v>普通住宅</x:v>
      </x:c>
      <x:c r="L891" s="48" t="str">
        <x:v>是</x:v>
      </x:c>
      <x:c r="M891" s="48" t="str">
        <x:v>保留</x:v>
      </x:c>
      <x:c r="N891" s="48" t="str">
        <x:v>恒大天玺公馆|1室1厅1|30|3200|南</x:v>
      </x:c>
      <x:c r="O891" s="48"/>
      <x:c r="P891" s="48" t="str">
        <x:v>未知（未逐条补齐）</x:v>
      </x:c>
      <x:c r="Q891" s="48" t="str">
        <x:v>https://shenzhen.leyoujia.com/zf/detail/6HsRtSfcpA52iVURSefjfU.html</x:v>
      </x:c>
      <x:c r="R891" s="48" t="str">
        <x:v>2026-08-13</x:v>
      </x:c>
    </x:row>
    <x:row r="892">
      <x:c r="A892" s="48" t="str">
        <x:v>恒大天玺公馆</x:v>
      </x:c>
      <x:c r="B892" s="48" t="str">
        <x:v>恒大天玺公馆</x:v>
      </x:c>
      <x:c r="C892" s="48" t="str">
        <x:v>老街</x:v>
      </x:c>
      <x:c r="D892" s="56" t="n">
        <x:v>9.9</x:v>
      </x:c>
      <x:c r="E892" s="61" t="n">
        <x:v>4800</x:v>
      </x:c>
      <x:c r="F892" s="61" t="n">
        <x:v>29</x:v>
      </x:c>
      <x:c r="G892" s="61" t="n">
        <x:v>165.5</x:v>
      </x:c>
      <x:c r="H892" s="48" t="str">
        <x:v>1室1厅1</x:v>
      </x:c>
      <x:c r="I892" s="48" t="str">
        <x:v>南</x:v>
      </x:c>
      <x:c r="J892" s="48" t="str">
        <x:v>精装</x:v>
      </x:c>
      <x:c r="K892" s="48" t="str">
        <x:v>公寓</x:v>
      </x:c>
      <x:c r="L892" s="48" t="str">
        <x:v>是</x:v>
      </x:c>
      <x:c r="M892" s="48" t="str">
        <x:v>保留</x:v>
      </x:c>
      <x:c r="N892" s="48" t="str">
        <x:v>恒大天玺公馆|1室1厅1|29|4800|南</x:v>
      </x:c>
      <x:c r="O892" s="48"/>
      <x:c r="P892" s="48" t="str">
        <x:v>未知（未逐条补齐）</x:v>
      </x:c>
      <x:c r="Q892" s="48" t="str">
        <x:v>https://shenzhen.leyoujia.com/zf/detail/9SDSDzmnkNJJTMK6RpERGo.html</x:v>
      </x:c>
      <x:c r="R892" s="48" t="str">
        <x:v>2026-08-13</x:v>
      </x:c>
    </x:row>
    <x:row r="893">
      <x:c r="A893" s="48" t="str">
        <x:v>供电南苑</x:v>
      </x:c>
      <x:c r="B893" s="48" t="str">
        <x:v>供电南苑</x:v>
      </x:c>
      <x:c r="C893" s="48" t="str">
        <x:v>大剧院</x:v>
      </x:c>
      <x:c r="D893" s="56" t="n">
        <x:v>10</x:v>
      </x:c>
      <x:c r="E893" s="61" t="n">
        <x:v>4200</x:v>
      </x:c>
      <x:c r="F893" s="61" t="n">
        <x:v>48</x:v>
      </x:c>
      <x:c r="G893" s="61" t="n">
        <x:v>87.5</x:v>
      </x:c>
      <x:c r="H893" s="48" t="str">
        <x:v>1室1厅1</x:v>
      </x:c>
      <x:c r="I893" s="48" t="str">
        <x:v>北</x:v>
      </x:c>
      <x:c r="J893" s="48" t="str">
        <x:v>精装</x:v>
      </x:c>
      <x:c r="K893" s="48" t="str">
        <x:v>普通住宅</x:v>
      </x:c>
      <x:c r="L893" s="48" t="str">
        <x:v>是</x:v>
      </x:c>
      <x:c r="M893" s="48" t="str">
        <x:v>保留</x:v>
      </x:c>
      <x:c r="N893" s="48" t="str">
        <x:v>供电南苑|1室1厅1|48|4200|北</x:v>
      </x:c>
      <x:c r="O893" s="48"/>
      <x:c r="P893" s="48" t="str">
        <x:v>未知（未逐条补齐）</x:v>
      </x:c>
      <x:c r="Q893" s="48" t="str">
        <x:v>https://shenzhen.leyoujia.com/zf/detail/LW9tEQvUqpv1bAYZuY4GU6.html</x:v>
      </x:c>
      <x:c r="R893" s="48" t="str">
        <x:v>2026-08-13</x:v>
      </x:c>
    </x:row>
    <x:row r="894">
      <x:c r="A894" s="48" t="str">
        <x:v>双城世纪大厦</x:v>
      </x:c>
      <x:c r="B894" s="48" t="str">
        <x:v>双城世纪大厦</x:v>
      </x:c>
      <x:c r="C894" s="48" t="str">
        <x:v>罗湖</x:v>
      </x:c>
      <x:c r="D894" s="56" t="n">
        <x:v>6.5</x:v>
      </x:c>
      <x:c r="E894" s="61" t="n">
        <x:v>4000</x:v>
      </x:c>
      <x:c r="F894" s="61" t="n">
        <x:v>31.91</x:v>
      </x:c>
      <x:c r="G894" s="61" t="n">
        <x:v>125.4</x:v>
      </x:c>
      <x:c r="H894" s="48" t="str">
        <x:v>1室0厅1</x:v>
      </x:c>
      <x:c r="I894" s="48" t="str">
        <x:v>北</x:v>
      </x:c>
      <x:c r="J894" s="48" t="str">
        <x:v>精装</x:v>
      </x:c>
      <x:c r="K894" s="48" t="str">
        <x:v>普通住宅</x:v>
      </x:c>
      <x:c r="L894" s="48" t="str">
        <x:v>是</x:v>
      </x:c>
      <x:c r="M894" s="48" t="str">
        <x:v>保留</x:v>
      </x:c>
      <x:c r="N894" s="48" t="str">
        <x:v>双城世纪大厦|1室0厅1|32|4000|北</x:v>
      </x:c>
      <x:c r="O894" s="48"/>
      <x:c r="P894" s="48" t="str">
        <x:v>未知（未逐条补齐）</x:v>
      </x:c>
      <x:c r="Q894" s="48" t="str">
        <x:v>https://shenzhen.leyoujia.com/zf/detail/Y8B5ZBRJ59JpA2MvGzwdjG.html</x:v>
      </x:c>
      <x:c r="R894" s="48" t="str">
        <x:v>2026-08-13</x:v>
      </x:c>
    </x:row>
    <x:row r="895">
      <x:c r="A895" s="48" t="str">
        <x:v>广东省银行大厦</x:v>
      </x:c>
      <x:c r="B895" s="48" t="str">
        <x:v>广东省银行大厦</x:v>
      </x:c>
      <x:c r="C895" s="48" t="str">
        <x:v>罗湖</x:v>
      </x:c>
      <x:c r="D895" s="56" t="n">
        <x:v>5.8</x:v>
      </x:c>
      <x:c r="E895" s="61" t="n">
        <x:v>3200</x:v>
      </x:c>
      <x:c r="F895" s="61" t="n">
        <x:v>35</x:v>
      </x:c>
      <x:c r="G895" s="61" t="n">
        <x:v>91.4</x:v>
      </x:c>
      <x:c r="H895" s="48" t="str">
        <x:v>1室0厅1</x:v>
      </x:c>
      <x:c r="I895" s="48" t="str">
        <x:v>南</x:v>
      </x:c>
      <x:c r="J895" s="48" t="str">
        <x:v>普装</x:v>
      </x:c>
      <x:c r="K895" s="48" t="str">
        <x:v>普通住宅</x:v>
      </x:c>
      <x:c r="L895" s="48" t="str">
        <x:v>是</x:v>
      </x:c>
      <x:c r="M895" s="48" t="str">
        <x:v>保留</x:v>
      </x:c>
      <x:c r="N895" s="48" t="str">
        <x:v>广东省银行大厦|1室0厅1|35|3200|南</x:v>
      </x:c>
      <x:c r="O895" s="48"/>
      <x:c r="P895" s="48" t="str">
        <x:v>未知（未逐条补齐）</x:v>
      </x:c>
      <x:c r="Q895" s="48" t="str">
        <x:v>https://shenzhen.leyoujia.com/zf/detail/3xCmrCbFxtfxdvY4hJYX5Y.html</x:v>
      </x:c>
      <x:c r="R895" s="48" t="str">
        <x:v>2026-08-13</x:v>
      </x:c>
    </x:row>
    <x:row r="896">
      <x:c r="A896" s="48" t="str">
        <x:v>铂金时代公寓</x:v>
      </x:c>
      <x:c r="B896" s="48" t="str">
        <x:v>铂金时代公寓</x:v>
      </x:c>
      <x:c r="C896" s="48" t="str">
        <x:v>罗湖</x:v>
      </x:c>
      <x:c r="D896" s="56" t="n">
        <x:v>9.9</x:v>
      </x:c>
      <x:c r="E896" s="61" t="n">
        <x:v>4200</x:v>
      </x:c>
      <x:c r="F896" s="61" t="n">
        <x:v>35.33</x:v>
      </x:c>
      <x:c r="G896" s="61" t="n">
        <x:v>118.9</x:v>
      </x:c>
      <x:c r="H896" s="48" t="str">
        <x:v>1室0厅1</x:v>
      </x:c>
      <x:c r="I896" s="48" t="str">
        <x:v>东</x:v>
      </x:c>
      <x:c r="J896" s="48" t="str">
        <x:v>精装</x:v>
      </x:c>
      <x:c r="K896" s="48" t="str">
        <x:v>普通住宅</x:v>
      </x:c>
      <x:c r="L896" s="48" t="str">
        <x:v>是</x:v>
      </x:c>
      <x:c r="M896" s="48" t="str">
        <x:v>保留</x:v>
      </x:c>
      <x:c r="N896" s="48" t="str">
        <x:v>铂金时代公寓|1室0厅1|35|4200|东</x:v>
      </x:c>
      <x:c r="O896" s="48"/>
      <x:c r="P896" s="48" t="str">
        <x:v>未知（未逐条补齐）</x:v>
      </x:c>
      <x:c r="Q896" s="48" t="str">
        <x:v>https://shenzhen.leyoujia.com/zf/detail/KwoRBQix1MsaA8i9qtAFbr.html</x:v>
      </x:c>
      <x:c r="R896" s="48" t="str">
        <x:v>2026-08-13</x:v>
      </x:c>
    </x:row>
    <x:row r="897">
      <x:c r="A897" s="48" t="str">
        <x:v>铂金时代公寓</x:v>
      </x:c>
      <x:c r="B897" s="48" t="str">
        <x:v>铂金时代公寓</x:v>
      </x:c>
      <x:c r="C897" s="48" t="str">
        <x:v>罗湖</x:v>
      </x:c>
      <x:c r="D897" s="56" t="n">
        <x:v>9.9</x:v>
      </x:c>
      <x:c r="E897" s="61" t="n">
        <x:v>4600</x:v>
      </x:c>
      <x:c r="F897" s="61" t="n">
        <x:v>41.9</x:v>
      </x:c>
      <x:c r="G897" s="61" t="n">
        <x:v>109.8</x:v>
      </x:c>
      <x:c r="H897" s="48" t="str">
        <x:v>1室1厅1</x:v>
      </x:c>
      <x:c r="I897" s="48" t="str">
        <x:v>东</x:v>
      </x:c>
      <x:c r="J897" s="48" t="str">
        <x:v>精装</x:v>
      </x:c>
      <x:c r="K897" s="48" t="str">
        <x:v>普通住宅</x:v>
      </x:c>
      <x:c r="L897" s="48" t="str">
        <x:v>是</x:v>
      </x:c>
      <x:c r="M897" s="48" t="str">
        <x:v>保留</x:v>
      </x:c>
      <x:c r="N897" s="48" t="str">
        <x:v>铂金时代公寓|1室1厅1|42|4600|东</x:v>
      </x:c>
      <x:c r="O897" s="48"/>
      <x:c r="P897" s="48" t="str">
        <x:v>未知（未逐条补齐）</x:v>
      </x:c>
      <x:c r="Q897" s="48" t="str">
        <x:v>https://shenzhen.leyoujia.com/zf/detail/S5mr9cAjQo1GC3zW1k8nYX.html</x:v>
      </x:c>
      <x:c r="R897" s="48" t="str">
        <x:v>2026-08-13</x:v>
      </x:c>
    </x:row>
    <x:row r="898">
      <x:c r="A898" s="48" t="str">
        <x:v>铂金时代公寓</x:v>
      </x:c>
      <x:c r="B898" s="48" t="str">
        <x:v>铂金时代公寓</x:v>
      </x:c>
      <x:c r="C898" s="48" t="str">
        <x:v>罗湖</x:v>
      </x:c>
      <x:c r="D898" s="56" t="n">
        <x:v>9.9</x:v>
      </x:c>
      <x:c r="E898" s="61" t="n">
        <x:v>4800</x:v>
      </x:c>
      <x:c r="F898" s="61" t="n">
        <x:v>44.27</x:v>
      </x:c>
      <x:c r="G898" s="61" t="n">
        <x:v>108.4</x:v>
      </x:c>
      <x:c r="H898" s="48" t="str">
        <x:v>1室1厅1</x:v>
      </x:c>
      <x:c r="I898" s="48" t="str">
        <x:v>南</x:v>
      </x:c>
      <x:c r="J898" s="48" t="str">
        <x:v>普装</x:v>
      </x:c>
      <x:c r="K898" s="48" t="str">
        <x:v>普通住宅</x:v>
      </x:c>
      <x:c r="L898" s="48" t="str">
        <x:v>是</x:v>
      </x:c>
      <x:c r="M898" s="48" t="str">
        <x:v>保留</x:v>
      </x:c>
      <x:c r="N898" s="48" t="str">
        <x:v>铂金时代公寓|1室1厅1|44|4800|南</x:v>
      </x:c>
      <x:c r="O898" s="48"/>
      <x:c r="P898" s="48" t="str">
        <x:v>未知（未逐条补齐）</x:v>
      </x:c>
      <x:c r="Q898" s="48" t="str">
        <x:v>https://shenzhen.leyoujia.com/zf/detail/LYvfPk2yTunbpqfSCLDKjs.html</x:v>
      </x:c>
      <x:c r="R898" s="48" t="str">
        <x:v>2026-08-13</x:v>
      </x:c>
    </x:row>
    <x:row r="899">
      <x:c r="A899" s="48" t="str">
        <x:v>罗湖金岸</x:v>
      </x:c>
      <x:c r="B899" s="48" t="str">
        <x:v>罗湖金岸</x:v>
      </x:c>
      <x:c r="C899" s="48" t="str">
        <x:v>罗湖</x:v>
      </x:c>
      <x:c r="D899" s="56" t="n">
        <x:v>10.7</x:v>
      </x:c>
      <x:c r="E899" s="61" t="n">
        <x:v>3500</x:v>
      </x:c>
      <x:c r="F899" s="61" t="n">
        <x:v>27.38</x:v>
      </x:c>
      <x:c r="G899" s="61" t="n">
        <x:v>127.8</x:v>
      </x:c>
      <x:c r="H899" s="48" t="str">
        <x:v>1室0厅1</x:v>
      </x:c>
      <x:c r="I899" s="48" t="str">
        <x:v>北</x:v>
      </x:c>
      <x:c r="J899" s="48" t="str">
        <x:v>精装</x:v>
      </x:c>
      <x:c r="K899" s="48" t="str">
        <x:v>公寓</x:v>
      </x:c>
      <x:c r="L899" s="48" t="str">
        <x:v>是</x:v>
      </x:c>
      <x:c r="M899" s="48" t="str">
        <x:v>保留</x:v>
      </x:c>
      <x:c r="N899" s="48" t="str">
        <x:v>罗湖金岸|1室0厅1|27|3500|北</x:v>
      </x:c>
      <x:c r="O899" s="48"/>
      <x:c r="P899" s="48" t="str">
        <x:v>未知（未逐条补齐）</x:v>
      </x:c>
      <x:c r="Q899" s="48" t="str">
        <x:v>https://shenzhen.leyoujia.com/zf/detail/JkLLW9smFjNkBnVfnxn6aR.html</x:v>
      </x:c>
      <x:c r="R899" s="48" t="str">
        <x:v>2026-08-13</x:v>
      </x:c>
    </x:row>
    <x:row r="900">
      <x:c r="A900" s="48" t="str">
        <x:v>渔民村</x:v>
      </x:c>
      <x:c r="B900" s="48" t="str">
        <x:v>渔民村住宅区</x:v>
      </x:c>
      <x:c r="C900" s="48" t="str">
        <x:v>罗湖</x:v>
      </x:c>
      <x:c r="D900" s="56" t="n">
        <x:v>14.9</x:v>
      </x:c>
      <x:c r="E900" s="61" t="n">
        <x:v>2900</x:v>
      </x:c>
      <x:c r="F900" s="61" t="n">
        <x:v>20</x:v>
      </x:c>
      <x:c r="G900" s="61" t="n">
        <x:v>145</x:v>
      </x:c>
      <x:c r="H900" s="48" t="str">
        <x:v>1室0厅1</x:v>
      </x:c>
      <x:c r="I900" s="48" t="str">
        <x:v>南</x:v>
      </x:c>
      <x:c r="J900" s="48" t="str">
        <x:v>普装</x:v>
      </x:c>
      <x:c r="K900" s="48" t="str">
        <x:v>普通住宅</x:v>
      </x:c>
      <x:c r="L900" s="48" t="str">
        <x:v>是</x:v>
      </x:c>
      <x:c r="M900" s="48" t="str">
        <x:v>保留</x:v>
      </x:c>
      <x:c r="N900" s="48" t="str">
        <x:v>渔民村住宅区|1室0厅1|20|2900|南</x:v>
      </x:c>
      <x:c r="O900" s="48"/>
      <x:c r="P900" s="48" t="str">
        <x:v>未知（未逐条补齐）</x:v>
      </x:c>
      <x:c r="Q900" s="48" t="str">
        <x:v>https://shenzhen.leyoujia.com/zf/detail/SsqvZgWBjUcXc2cABWfGab.html</x:v>
      </x:c>
      <x:c r="R900" s="48" t="str">
        <x:v>2026-08-13</x:v>
      </x:c>
    </x:row>
    <x:row r="901">
      <x:c r="A901" s="48" t="str">
        <x:v>渔民村</x:v>
      </x:c>
      <x:c r="B901" s="48" t="str">
        <x:v>渔民村住宅区</x:v>
      </x:c>
      <x:c r="C901" s="48" t="str">
        <x:v>罗湖</x:v>
      </x:c>
      <x:c r="D901" s="56" t="n">
        <x:v>14.9</x:v>
      </x:c>
      <x:c r="E901" s="61" t="n">
        <x:v>2980</x:v>
      </x:c>
      <x:c r="F901" s="61" t="n">
        <x:v>20</x:v>
      </x:c>
      <x:c r="G901" s="61" t="n">
        <x:v>149</x:v>
      </x:c>
      <x:c r="H901" s="48" t="str">
        <x:v>1室1厅1</x:v>
      </x:c>
      <x:c r="I901" s="48" t="str">
        <x:v>东南</x:v>
      </x:c>
      <x:c r="J901" s="48" t="str">
        <x:v>普装</x:v>
      </x:c>
      <x:c r="K901" s="48" t="str">
        <x:v>普通住宅</x:v>
      </x:c>
      <x:c r="L901" s="48" t="str">
        <x:v>是</x:v>
      </x:c>
      <x:c r="M901" s="48" t="str">
        <x:v>保留</x:v>
      </x:c>
      <x:c r="N901" s="48" t="str">
        <x:v>渔民村住宅区|1室1厅1|20|2980|东南</x:v>
      </x:c>
      <x:c r="O901" s="48"/>
      <x:c r="P901" s="48" t="str">
        <x:v>未知（未逐条补齐）</x:v>
      </x:c>
      <x:c r="Q901" s="48" t="str">
        <x:v>https://shenzhen.leyoujia.com/zf/detail/95ExJ1tX8rT23HEbzXjuQL.html</x:v>
      </x:c>
      <x:c r="R901" s="48" t="str">
        <x:v>2026-08-13</x:v>
      </x:c>
    </x:row>
    <x:row r="902">
      <x:c r="A902" s="48" t="str">
        <x:v>渔民村</x:v>
      </x:c>
      <x:c r="B902" s="48" t="str">
        <x:v>渔民村住宅区</x:v>
      </x:c>
      <x:c r="C902" s="48" t="str">
        <x:v>罗湖</x:v>
      </x:c>
      <x:c r="D902" s="56" t="n">
        <x:v>14.9</x:v>
      </x:c>
      <x:c r="E902" s="61" t="n">
        <x:v>4500</x:v>
      </x:c>
      <x:c r="F902" s="61" t="n">
        <x:v>65</x:v>
      </x:c>
      <x:c r="G902" s="61" t="n">
        <x:v>69.2</x:v>
      </x:c>
      <x:c r="H902" s="48" t="str">
        <x:v>1室0厅1</x:v>
      </x:c>
      <x:c r="I902" s="48" t="str">
        <x:v>东</x:v>
      </x:c>
      <x:c r="J902" s="48" t="str">
        <x:v>精装</x:v>
      </x:c>
      <x:c r="K902" s="48" t="str">
        <x:v>普通住宅</x:v>
      </x:c>
      <x:c r="L902" s="48" t="str">
        <x:v>是</x:v>
      </x:c>
      <x:c r="M902" s="48" t="str">
        <x:v>保留</x:v>
      </x:c>
      <x:c r="N902" s="48" t="str">
        <x:v>渔民村住宅区|1室0厅1|65|4500|东</x:v>
      </x:c>
      <x:c r="O902" s="48"/>
      <x:c r="P902" s="48" t="str">
        <x:v>未知（未逐条补齐）</x:v>
      </x:c>
      <x:c r="Q902" s="48" t="str">
        <x:v>https://shenzhen.leyoujia.com/zf/detail/8WxqZR8jpU15iWuezrtA9V.html</x:v>
      </x:c>
      <x:c r="R902" s="48" t="str">
        <x:v>2026-08-13</x:v>
      </x:c>
    </x:row>
    <x:row r="903">
      <x:c r="A903" s="48" t="str">
        <x:v>港逸豪庭</x:v>
      </x:c>
      <x:c r="B903" s="48" t="str">
        <x:v>港逸豪庭</x:v>
      </x:c>
      <x:c r="C903" s="48" t="str">
        <x:v>罗湖</x:v>
      </x:c>
      <x:c r="D903" s="56" t="n">
        <x:v>13.5</x:v>
      </x:c>
      <x:c r="E903" s="61" t="n">
        <x:v>4500</x:v>
      </x:c>
      <x:c r="F903" s="61" t="n">
        <x:v>55.17</x:v>
      </x:c>
      <x:c r="G903" s="61" t="n">
        <x:v>81.6</x:v>
      </x:c>
      <x:c r="H903" s="48" t="str">
        <x:v>1室1厅1</x:v>
      </x:c>
      <x:c r="I903" s="48" t="str">
        <x:v>西</x:v>
      </x:c>
      <x:c r="J903" s="48" t="str">
        <x:v>普装</x:v>
      </x:c>
      <x:c r="K903" s="48" t="str">
        <x:v>普通住宅</x:v>
      </x:c>
      <x:c r="L903" s="48" t="str">
        <x:v>是</x:v>
      </x:c>
      <x:c r="M903" s="48" t="str">
        <x:v>保留</x:v>
      </x:c>
      <x:c r="N903" s="48" t="str">
        <x:v>港逸豪庭|1室1厅1|55|4500|西</x:v>
      </x:c>
      <x:c r="O903" s="48"/>
      <x:c r="P903" s="48" t="str">
        <x:v>未知（未逐条补齐）</x:v>
      </x:c>
      <x:c r="Q903" s="48" t="str">
        <x:v>https://shenzhen.leyoujia.com/zf/detail/XER1huxkHjiHXHjpNQQTV1.html</x:v>
      </x:c>
      <x:c r="R903" s="48" t="str">
        <x:v>2026-08-13</x:v>
      </x:c>
    </x:row>
    <x:row r="904">
      <x:c r="A904" s="48" t="str">
        <x:v>裕安花园(渔民村路)</x:v>
      </x:c>
      <x:c r="B904" s="48" t="str">
        <x:v>裕安花园</x:v>
      </x:c>
      <x:c r="C904" s="48" t="str">
        <x:v>罗湖</x:v>
      </x:c>
      <x:c r="D904" s="56" t="n">
        <x:v>14.4</x:v>
      </x:c>
      <x:c r="E904" s="61" t="n">
        <x:v>2800</x:v>
      </x:c>
      <x:c r="F904" s="61" t="n">
        <x:v>34</x:v>
      </x:c>
      <x:c r="G904" s="61" t="n">
        <x:v>82.4</x:v>
      </x:c>
      <x:c r="H904" s="48" t="str">
        <x:v>1室0厅1</x:v>
      </x:c>
      <x:c r="I904" s="48" t="str">
        <x:v>东南</x:v>
      </x:c>
      <x:c r="J904" s="48" t="str">
        <x:v>普装</x:v>
      </x:c>
      <x:c r="K904" s="48" t="str">
        <x:v>普通住宅</x:v>
      </x:c>
      <x:c r="L904" s="48" t="str">
        <x:v>是</x:v>
      </x:c>
      <x:c r="M904" s="48" t="str">
        <x:v>保留</x:v>
      </x:c>
      <x:c r="N904" s="48" t="str">
        <x:v>裕安花园|1室0厅1|34|2800|东南</x:v>
      </x:c>
      <x:c r="O904" s="48"/>
      <x:c r="P904" s="48" t="str">
        <x:v>未知（未逐条补齐）</x:v>
      </x:c>
      <x:c r="Q904" s="48" t="str">
        <x:v>https://shenzhen.leyoujia.com/zf/detail/Uu8n5gMWaVkgRyFrUsPBPU.html</x:v>
      </x:c>
      <x:c r="R904" s="48" t="str">
        <x:v>2026-08-13</x:v>
      </x:c>
    </x:row>
    <x:row r="905">
      <x:c r="A905" s="48" t="str">
        <x:v>东门天地</x:v>
      </x:c>
      <x:c r="B905" s="48" t="str">
        <x:v>东门天地大厦</x:v>
      </x:c>
      <x:c r="C905" s="48" t="str">
        <x:v>晒布</x:v>
      </x:c>
      <x:c r="D905" s="56" t="n">
        <x:v>0.8</x:v>
      </x:c>
      <x:c r="E905" s="61" t="n">
        <x:v>2800</x:v>
      </x:c>
      <x:c r="F905" s="61" t="n">
        <x:v>20</x:v>
      </x:c>
      <x:c r="G905" s="61" t="n">
        <x:v>140</x:v>
      </x:c>
      <x:c r="H905" s="48" t="str">
        <x:v>1室0厅1</x:v>
      </x:c>
      <x:c r="I905" s="48" t="str">
        <x:v>南</x:v>
      </x:c>
      <x:c r="J905" s="48" t="str">
        <x:v>精装</x:v>
      </x:c>
      <x:c r="K905" s="48" t="str">
        <x:v>公寓</x:v>
      </x:c>
      <x:c r="L905" s="48" t="str">
        <x:v>是</x:v>
      </x:c>
      <x:c r="M905" s="48" t="str">
        <x:v>保留</x:v>
      </x:c>
      <x:c r="N905" s="48" t="str">
        <x:v>东门天地大厦|1室0厅1|20|2800|南</x:v>
      </x:c>
      <x:c r="O905" s="48"/>
      <x:c r="P905" s="48" t="str">
        <x:v>未知（未逐条补齐）</x:v>
      </x:c>
      <x:c r="Q905" s="48" t="str">
        <x:v>https://shenzhen.leyoujia.com/zf/detail/S8QsdMbyzc1BQ5xozkHcQM.html</x:v>
      </x:c>
      <x:c r="R905" s="48" t="str">
        <x:v>2026-08-13</x:v>
      </x:c>
    </x:row>
    <x:row r="906">
      <x:c r="A906" s="48" t="str">
        <x:v>东门天地</x:v>
      </x:c>
      <x:c r="B906" s="48" t="str">
        <x:v>东门天地大厦</x:v>
      </x:c>
      <x:c r="C906" s="48" t="str">
        <x:v>晒布</x:v>
      </x:c>
      <x:c r="D906" s="56" t="n">
        <x:v>0.8</x:v>
      </x:c>
      <x:c r="E906" s="61" t="n">
        <x:v>3300</x:v>
      </x:c>
      <x:c r="F906" s="61" t="n">
        <x:v>35.06</x:v>
      </x:c>
      <x:c r="G906" s="61" t="n">
        <x:v>94.1</x:v>
      </x:c>
      <x:c r="H906" s="48" t="str">
        <x:v>1室0厅1</x:v>
      </x:c>
      <x:c r="I906" s="48" t="str">
        <x:v>东</x:v>
      </x:c>
      <x:c r="J906" s="48" t="str">
        <x:v>精装</x:v>
      </x:c>
      <x:c r="K906" s="48" t="str">
        <x:v>普通住宅</x:v>
      </x:c>
      <x:c r="L906" s="48" t="str">
        <x:v>是</x:v>
      </x:c>
      <x:c r="M906" s="48" t="str">
        <x:v>保留</x:v>
      </x:c>
      <x:c r="N906" s="48" t="str">
        <x:v>东门天地大厦|1室0厅1|35|3300|东</x:v>
      </x:c>
      <x:c r="O906" s="48"/>
      <x:c r="P906" s="48" t="str">
        <x:v>未知（未逐条补齐）</x:v>
      </x:c>
      <x:c r="Q906" s="48" t="str">
        <x:v>https://shenzhen.leyoujia.com/zf/detail/Wosxryi2BvbqTghr19hGDH.html</x:v>
      </x:c>
      <x:c r="R906" s="48" t="str">
        <x:v>2026-08-13</x:v>
      </x:c>
    </x:row>
    <x:row r="907">
      <x:c r="A907" s="48" t="str">
        <x:v>东门天地</x:v>
      </x:c>
      <x:c r="B907" s="48" t="str">
        <x:v>东门天地大厦</x:v>
      </x:c>
      <x:c r="C907" s="48" t="str">
        <x:v>晒布</x:v>
      </x:c>
      <x:c r="D907" s="56" t="n">
        <x:v>0.8</x:v>
      </x:c>
      <x:c r="E907" s="61" t="n">
        <x:v>4300</x:v>
      </x:c>
      <x:c r="F907" s="61" t="n">
        <x:v>45.47</x:v>
      </x:c>
      <x:c r="G907" s="61" t="n">
        <x:v>94.6</x:v>
      </x:c>
      <x:c r="H907" s="48" t="str">
        <x:v>1室0厅1</x:v>
      </x:c>
      <x:c r="I907" s="48" t="str">
        <x:v>东</x:v>
      </x:c>
      <x:c r="J907" s="48" t="str">
        <x:v>普装</x:v>
      </x:c>
      <x:c r="K907" s="48" t="str">
        <x:v>普通住宅</x:v>
      </x:c>
      <x:c r="L907" s="48" t="str">
        <x:v>是</x:v>
      </x:c>
      <x:c r="M907" s="48" t="str">
        <x:v>保留</x:v>
      </x:c>
      <x:c r="N907" s="48" t="str">
        <x:v>东门天地大厦|1室0厅1|45|4300|东</x:v>
      </x:c>
      <x:c r="O907" s="48"/>
      <x:c r="P907" s="48" t="str">
        <x:v>未知（未逐条补齐）</x:v>
      </x:c>
      <x:c r="Q907" s="48" t="str">
        <x:v>https://shenzhen.leyoujia.com/zf/detail/PC6sXsxk7aw1WiMm5Mzb4X.html</x:v>
      </x:c>
      <x:c r="R907" s="48" t="str">
        <x:v>2026-08-13</x:v>
      </x:c>
    </x:row>
    <x:row r="908">
      <x:c r="A908" s="48" t="str">
        <x:v>东门天地</x:v>
      </x:c>
      <x:c r="B908" s="48" t="str">
        <x:v>东门天地大厦</x:v>
      </x:c>
      <x:c r="C908" s="48" t="str">
        <x:v>晒布</x:v>
      </x:c>
      <x:c r="D908" s="56" t="n">
        <x:v>0.8</x:v>
      </x:c>
      <x:c r="E908" s="61" t="n">
        <x:v>4500</x:v>
      </x:c>
      <x:c r="F908" s="61" t="n">
        <x:v>51.67</x:v>
      </x:c>
      <x:c r="G908" s="61" t="n">
        <x:v>87.1</x:v>
      </x:c>
      <x:c r="H908" s="48" t="str">
        <x:v>1室0厅1</x:v>
      </x:c>
      <x:c r="I908" s="48" t="str">
        <x:v>东</x:v>
      </x:c>
      <x:c r="J908" s="48" t="str">
        <x:v>普装</x:v>
      </x:c>
      <x:c r="K908" s="48" t="str">
        <x:v>普通住宅</x:v>
      </x:c>
      <x:c r="L908" s="48" t="str">
        <x:v>是</x:v>
      </x:c>
      <x:c r="M908" s="48" t="str">
        <x:v>保留</x:v>
      </x:c>
      <x:c r="N908" s="48" t="str">
        <x:v>东门天地大厦|1室0厅1|52|4500|东</x:v>
      </x:c>
      <x:c r="O908" s="48"/>
      <x:c r="P908" s="48" t="str">
        <x:v>未知（未逐条补齐）</x:v>
      </x:c>
      <x:c r="Q908" s="48" t="str">
        <x:v>https://shenzhen.leyoujia.com/zf/detail/YRWWGCRoTF4RwipvxBKGZ3.html</x:v>
      </x:c>
      <x:c r="R908" s="48" t="str">
        <x:v>2026-08-13</x:v>
      </x:c>
    </x:row>
    <x:row r="909">
      <x:c r="A909" s="48" t="str">
        <x:v>东门天地</x:v>
      </x:c>
      <x:c r="B909" s="48" t="str">
        <x:v>东门天地大厦</x:v>
      </x:c>
      <x:c r="C909" s="48" t="str">
        <x:v>晒布</x:v>
      </x:c>
      <x:c r="D909" s="56" t="n">
        <x:v>0.8</x:v>
      </x:c>
      <x:c r="E909" s="61" t="n">
        <x:v>4900</x:v>
      </x:c>
      <x:c r="F909" s="61" t="n">
        <x:v>48</x:v>
      </x:c>
      <x:c r="G909" s="61" t="n">
        <x:v>102.1</x:v>
      </x:c>
      <x:c r="H909" s="48" t="str">
        <x:v>1室0厅1</x:v>
      </x:c>
      <x:c r="I909" s="48" t="str">
        <x:v>西南</x:v>
      </x:c>
      <x:c r="J909" s="48" t="str">
        <x:v>精装</x:v>
      </x:c>
      <x:c r="K909" s="48" t="str">
        <x:v>普通住宅</x:v>
      </x:c>
      <x:c r="L909" s="48" t="str">
        <x:v>是</x:v>
      </x:c>
      <x:c r="M909" s="48" t="str">
        <x:v>保留</x:v>
      </x:c>
      <x:c r="N909" s="48" t="str">
        <x:v>东门天地大厦|1室0厅1|48|4900|西南</x:v>
      </x:c>
      <x:c r="O909" s="48"/>
      <x:c r="P909" s="48" t="str">
        <x:v>未知（未逐条补齐）</x:v>
      </x:c>
      <x:c r="Q909" s="48" t="str">
        <x:v>https://shenzhen.leyoujia.com/zf/detail/MG7qaG9WXY4EeSCt2PEZxV.html</x:v>
      </x:c>
      <x:c r="R909" s="48" t="str">
        <x:v>2026-08-13</x:v>
      </x:c>
    </x:row>
    <x:row r="910">
      <x:c r="A910" s="48" t="str">
        <x:v>嘉年华名苑</x:v>
      </x:c>
      <x:c r="B910" s="48" t="str">
        <x:v>嘉年华名苑</x:v>
      </x:c>
      <x:c r="C910" s="48" t="str">
        <x:v>晒布</x:v>
      </x:c>
      <x:c r="D910" s="56" t="n">
        <x:v>4</x:v>
      </x:c>
      <x:c r="E910" s="61" t="n">
        <x:v>4300</x:v>
      </x:c>
      <x:c r="F910" s="61" t="n">
        <x:v>43.59</x:v>
      </x:c>
      <x:c r="G910" s="61" t="n">
        <x:v>98.6</x:v>
      </x:c>
      <x:c r="H910" s="48" t="str">
        <x:v>1室0厅1</x:v>
      </x:c>
      <x:c r="I910" s="48" t="str">
        <x:v>东北</x:v>
      </x:c>
      <x:c r="J910" s="48" t="str">
        <x:v>普装</x:v>
      </x:c>
      <x:c r="K910" s="48" t="str">
        <x:v>普通住宅</x:v>
      </x:c>
      <x:c r="L910" s="48" t="str">
        <x:v>是</x:v>
      </x:c>
      <x:c r="M910" s="48" t="str">
        <x:v>保留</x:v>
      </x:c>
      <x:c r="N910" s="48" t="str">
        <x:v>嘉年华名苑|1室0厅1|44|4300|东北</x:v>
      </x:c>
      <x:c r="O910" s="48"/>
      <x:c r="P910" s="48" t="str">
        <x:v>未知（未逐条补齐）</x:v>
      </x:c>
      <x:c r="Q910" s="48" t="str">
        <x:v>https://shenzhen.leyoujia.com/zf/detail/Vr9M3sWY58HoVjU9Kawy6r.html</x:v>
      </x:c>
      <x:c r="R910" s="48" t="str">
        <x:v>2026-08-13</x:v>
      </x:c>
    </x:row>
    <x:row r="911">
      <x:c r="A911" s="48" t="str">
        <x:v>嘉年华名苑</x:v>
      </x:c>
      <x:c r="B911" s="48" t="str">
        <x:v>嘉年华名苑</x:v>
      </x:c>
      <x:c r="C911" s="48" t="str">
        <x:v>晒布</x:v>
      </x:c>
      <x:c r="D911" s="56" t="n">
        <x:v>4</x:v>
      </x:c>
      <x:c r="E911" s="61" t="n">
        <x:v>4400</x:v>
      </x:c>
      <x:c r="F911" s="61" t="n">
        <x:v>43.45</x:v>
      </x:c>
      <x:c r="G911" s="61" t="n">
        <x:v>101.3</x:v>
      </x:c>
      <x:c r="H911" s="48" t="str">
        <x:v>1室1厅1</x:v>
      </x:c>
      <x:c r="I911" s="48" t="str">
        <x:v>东北</x:v>
      </x:c>
      <x:c r="J911" s="48" t="str">
        <x:v>普装</x:v>
      </x:c>
      <x:c r="K911" s="48" t="str">
        <x:v>普通住宅</x:v>
      </x:c>
      <x:c r="L911" s="48" t="str">
        <x:v>是</x:v>
      </x:c>
      <x:c r="M911" s="48" t="str">
        <x:v>保留</x:v>
      </x:c>
      <x:c r="N911" s="48" t="str">
        <x:v>嘉年华名苑|1室1厅1|43|4400|东北</x:v>
      </x:c>
      <x:c r="O911" s="48"/>
      <x:c r="P911" s="48" t="str">
        <x:v>未知（未逐条补齐）</x:v>
      </x:c>
      <x:c r="Q911" s="48" t="str">
        <x:v>https://shenzhen.leyoujia.com/zf/detail/MEMiAMUNB7ZeHxGmuKwRJZ.html</x:v>
      </x:c>
      <x:c r="R911" s="48" t="str">
        <x:v>2026-08-13</x:v>
      </x:c>
    </x:row>
    <x:row r="912">
      <x:c r="A912" s="48" t="str">
        <x:v>嘉年华名苑</x:v>
      </x:c>
      <x:c r="B912" s="48" t="str">
        <x:v>嘉年华名苑</x:v>
      </x:c>
      <x:c r="C912" s="48" t="str">
        <x:v>晒布</x:v>
      </x:c>
      <x:c r="D912" s="56" t="n">
        <x:v>4</x:v>
      </x:c>
      <x:c r="E912" s="61" t="n">
        <x:v>4600</x:v>
      </x:c>
      <x:c r="F912" s="61" t="n">
        <x:v>44.15</x:v>
      </x:c>
      <x:c r="G912" s="61" t="n">
        <x:v>104.2</x:v>
      </x:c>
      <x:c r="H912" s="48" t="str">
        <x:v>1室1厅1</x:v>
      </x:c>
      <x:c r="I912" s="48" t="str">
        <x:v>东南</x:v>
      </x:c>
      <x:c r="J912" s="48" t="str">
        <x:v>精装</x:v>
      </x:c>
      <x:c r="K912" s="48" t="str">
        <x:v>普通住宅</x:v>
      </x:c>
      <x:c r="L912" s="48" t="str">
        <x:v>是</x:v>
      </x:c>
      <x:c r="M912" s="48" t="str">
        <x:v>保留</x:v>
      </x:c>
      <x:c r="N912" s="48" t="str">
        <x:v>嘉年华名苑|1室1厅1|44|4600|东南</x:v>
      </x:c>
      <x:c r="O912" s="48"/>
      <x:c r="P912" s="48" t="str">
        <x:v>未知（未逐条补齐）</x:v>
      </x:c>
      <x:c r="Q912" s="48" t="str">
        <x:v>https://shenzhen.leyoujia.com/zf/detail/RgTJe3Q4bZa9HBZrZwcufK.html</x:v>
      </x:c>
      <x:c r="R912" s="48" t="str">
        <x:v>2026-08-13</x:v>
      </x:c>
    </x:row>
    <x:row r="913">
      <x:c r="A913" s="48" t="str">
        <x:v>新世界大厦</x:v>
      </x:c>
      <x:c r="B913" s="48" t="str">
        <x:v>新世界大厦</x:v>
      </x:c>
      <x:c r="C913" s="48" t="str">
        <x:v>晒布</x:v>
      </x:c>
      <x:c r="D913" s="56" t="n">
        <x:v>4.9</x:v>
      </x:c>
      <x:c r="E913" s="61" t="n">
        <x:v>4800</x:v>
      </x:c>
      <x:c r="F913" s="61" t="n">
        <x:v>40</x:v>
      </x:c>
      <x:c r="G913" s="61" t="n">
        <x:v>120</x:v>
      </x:c>
      <x:c r="H913" s="48" t="str">
        <x:v>1室1厅1</x:v>
      </x:c>
      <x:c r="I913" s="48" t="str">
        <x:v>东南</x:v>
      </x:c>
      <x:c r="J913" s="48" t="str">
        <x:v>精装</x:v>
      </x:c>
      <x:c r="K913" s="48" t="str">
        <x:v>公寓</x:v>
      </x:c>
      <x:c r="L913" s="48" t="str">
        <x:v>是</x:v>
      </x:c>
      <x:c r="M913" s="48" t="str">
        <x:v>保留</x:v>
      </x:c>
      <x:c r="N913" s="48" t="str">
        <x:v>新世界大厦|1室1厅1|40|4800|东南</x:v>
      </x:c>
      <x:c r="O913" s="48"/>
      <x:c r="P913" s="48" t="str">
        <x:v>未知（未逐条补齐）</x:v>
      </x:c>
      <x:c r="Q913" s="48" t="str">
        <x:v>https://shenzhen.leyoujia.com/zf/detail/6tbH6YEJqCB6ivYxAkMA3y.html</x:v>
      </x:c>
      <x:c r="R913" s="48" t="str">
        <x:v>2026-08-13</x:v>
      </x:c>
    </x:row>
    <x:row r="914">
      <x:c r="A914" s="48" t="str">
        <x:v>华盛君荟名庭</x:v>
      </x:c>
      <x:c r="B914" s="48" t="str">
        <x:v>华盛君荟名庭</x:v>
      </x:c>
      <x:c r="C914" s="48" t="str">
        <x:v>晒布</x:v>
      </x:c>
      <x:c r="D914" s="56" t="n">
        <x:v>2.7</x:v>
      </x:c>
      <x:c r="E914" s="61" t="n">
        <x:v>4500</x:v>
      </x:c>
      <x:c r="F914" s="61" t="n">
        <x:v>44</x:v>
      </x:c>
      <x:c r="G914" s="61" t="n">
        <x:v>102.3</x:v>
      </x:c>
      <x:c r="H914" s="48" t="str">
        <x:v>1室0厅1</x:v>
      </x:c>
      <x:c r="I914" s="48" t="str">
        <x:v>东南</x:v>
      </x:c>
      <x:c r="J914" s="48" t="str">
        <x:v>精装</x:v>
      </x:c>
      <x:c r="K914" s="48" t="str">
        <x:v>普通住宅</x:v>
      </x:c>
      <x:c r="L914" s="48" t="str">
        <x:v>是</x:v>
      </x:c>
      <x:c r="M914" s="48" t="str">
        <x:v>保留</x:v>
      </x:c>
      <x:c r="N914" s="48" t="str">
        <x:v>华盛君荟名庭|1室0厅1|44|4500|东南</x:v>
      </x:c>
      <x:c r="O914" s="48"/>
      <x:c r="P914" s="48" t="str">
        <x:v>未知（未逐条补齐）</x:v>
      </x:c>
      <x:c r="Q914" s="48" t="str">
        <x:v>https://shenzhen.leyoujia.com/zf/detail/ECeMTcoepev1m5xSzU8Qrz.html</x:v>
      </x:c>
      <x:c r="R914" s="48" t="str">
        <x:v>2026-08-13</x:v>
      </x:c>
    </x:row>
    <x:row r="915">
      <x:c r="A915" s="48" t="str">
        <x:v>华盛君荟名庭</x:v>
      </x:c>
      <x:c r="B915" s="48" t="str">
        <x:v>华盛君荟名庭</x:v>
      </x:c>
      <x:c r="C915" s="48" t="str">
        <x:v>晒布</x:v>
      </x:c>
      <x:c r="D915" s="56" t="n">
        <x:v>2.7</x:v>
      </x:c>
      <x:c r="E915" s="61" t="n">
        <x:v>4800</x:v>
      </x:c>
      <x:c r="F915" s="61" t="n">
        <x:v>44.06</x:v>
      </x:c>
      <x:c r="G915" s="61" t="n">
        <x:v>108.9</x:v>
      </x:c>
      <x:c r="H915" s="48" t="str">
        <x:v>1室1厅1</x:v>
      </x:c>
      <x:c r="I915" s="48" t="str">
        <x:v>东南</x:v>
      </x:c>
      <x:c r="J915" s="48" t="str">
        <x:v>普装</x:v>
      </x:c>
      <x:c r="K915" s="48" t="str">
        <x:v>普通住宅</x:v>
      </x:c>
      <x:c r="L915" s="48" t="str">
        <x:v>是</x:v>
      </x:c>
      <x:c r="M915" s="48" t="str">
        <x:v>保留</x:v>
      </x:c>
      <x:c r="N915" s="48" t="str">
        <x:v>华盛君荟名庭|1室1厅1|44|4800|东南</x:v>
      </x:c>
      <x:c r="O915" s="48"/>
      <x:c r="P915" s="48" t="str">
        <x:v>未知（未逐条补齐）</x:v>
      </x:c>
      <x:c r="Q915" s="48" t="str">
        <x:v>https://shenzhen.leyoujia.com/zf/detail/8nebsc3HT2n6PX8VJkBzXK.html</x:v>
      </x:c>
      <x:c r="R915" s="48" t="str">
        <x:v>2026-08-13</x:v>
      </x:c>
    </x:row>
    <x:row r="916">
      <x:c r="A916" s="48" t="str">
        <x:v>南海中心</x:v>
      </x:c>
      <x:c r="B916" s="48" t="str">
        <x:v>南海中心</x:v>
      </x:c>
      <x:c r="C916" s="48" t="str">
        <x:v>晒布</x:v>
      </x:c>
      <x:c r="D916" s="56" t="n">
        <x:v>2.8</x:v>
      </x:c>
      <x:c r="E916" s="61" t="n">
        <x:v>2480</x:v>
      </x:c>
      <x:c r="F916" s="61" t="n">
        <x:v>25</x:v>
      </x:c>
      <x:c r="G916" s="61" t="n">
        <x:v>99.2</x:v>
      </x:c>
      <x:c r="H916" s="48" t="str">
        <x:v>1室0厅1</x:v>
      </x:c>
      <x:c r="I916" s="48" t="str">
        <x:v>东</x:v>
      </x:c>
      <x:c r="J916" s="48" t="str">
        <x:v>精装</x:v>
      </x:c>
      <x:c r="K916" s="48" t="str">
        <x:v>普通住宅</x:v>
      </x:c>
      <x:c r="L916" s="48" t="str">
        <x:v>是</x:v>
      </x:c>
      <x:c r="M916" s="48" t="str">
        <x:v>保留</x:v>
      </x:c>
      <x:c r="N916" s="48" t="str">
        <x:v>南海中心|1室0厅1|25|2480|东</x:v>
      </x:c>
      <x:c r="O916" s="48"/>
      <x:c r="P916" s="48" t="str">
        <x:v>未知（未逐条补齐）</x:v>
      </x:c>
      <x:c r="Q916" s="48" t="str">
        <x:v>https://shenzhen.leyoujia.com/zf/detail/Ptbk9udKQYfezhAQfiWsqV.html</x:v>
      </x:c>
      <x:c r="R916" s="48" t="str">
        <x:v>2026-08-13</x:v>
      </x:c>
    </x:row>
    <x:row r="917">
      <x:c r="A917" s="48" t="str">
        <x:v>南海中心</x:v>
      </x:c>
      <x:c r="B917" s="48" t="str">
        <x:v>南海中心</x:v>
      </x:c>
      <x:c r="C917" s="48" t="str">
        <x:v>晒布</x:v>
      </x:c>
      <x:c r="D917" s="56" t="n">
        <x:v>2.8</x:v>
      </x:c>
      <x:c r="E917" s="61" t="n">
        <x:v>2480</x:v>
      </x:c>
      <x:c r="F917" s="61" t="n">
        <x:v>30</x:v>
      </x:c>
      <x:c r="G917" s="61" t="n">
        <x:v>82.7</x:v>
      </x:c>
      <x:c r="H917" s="48" t="str">
        <x:v>1室0厅1</x:v>
      </x:c>
      <x:c r="I917" s="48" t="str">
        <x:v>东</x:v>
      </x:c>
      <x:c r="J917" s="48" t="str">
        <x:v>普装</x:v>
      </x:c>
      <x:c r="K917" s="48" t="str">
        <x:v>公寓</x:v>
      </x:c>
      <x:c r="L917" s="48" t="str">
        <x:v>是</x:v>
      </x:c>
      <x:c r="M917" s="48" t="str">
        <x:v>保留</x:v>
      </x:c>
      <x:c r="N917" s="48" t="str">
        <x:v>南海中心|1室0厅1|30|2480|东</x:v>
      </x:c>
      <x:c r="O917" s="48"/>
      <x:c r="P917" s="48" t="str">
        <x:v>未知（未逐条补齐）</x:v>
      </x:c>
      <x:c r="Q917" s="48" t="str">
        <x:v>https://shenzhen.leyoujia.com/zf/detail/8YvdieJkTgCNAaCJe8DSVp.html</x:v>
      </x:c>
      <x:c r="R917" s="48" t="str">
        <x:v>2026-08-13</x:v>
      </x:c>
    </x:row>
    <x:row r="918">
      <x:c r="A918" s="48" t="str">
        <x:v>南海中心</x:v>
      </x:c>
      <x:c r="B918" s="48" t="str">
        <x:v>南海中心</x:v>
      </x:c>
      <x:c r="C918" s="48" t="str">
        <x:v>晒布</x:v>
      </x:c>
      <x:c r="D918" s="56" t="n">
        <x:v>2.8</x:v>
      </x:c>
      <x:c r="E918" s="61" t="n">
        <x:v>2480</x:v>
      </x:c>
      <x:c r="F918" s="61" t="n">
        <x:v>20</x:v>
      </x:c>
      <x:c r="G918" s="61" t="n">
        <x:v>124</x:v>
      </x:c>
      <x:c r="H918" s="48" t="str">
        <x:v>1室0厅1</x:v>
      </x:c>
      <x:c r="I918" s="48" t="str">
        <x:v>南</x:v>
      </x:c>
      <x:c r="J918" s="48" t="str">
        <x:v>普装</x:v>
      </x:c>
      <x:c r="K918" s="48" t="str">
        <x:v>普通住宅</x:v>
      </x:c>
      <x:c r="L918" s="48" t="str">
        <x:v>是</x:v>
      </x:c>
      <x:c r="M918" s="48" t="str">
        <x:v>保留</x:v>
      </x:c>
      <x:c r="N918" s="48" t="str">
        <x:v>南海中心|1室0厅1|20|2480|南</x:v>
      </x:c>
      <x:c r="O918" s="48"/>
      <x:c r="P918" s="48" t="str">
        <x:v>未知（未逐条补齐）</x:v>
      </x:c>
      <x:c r="Q918" s="48" t="str">
        <x:v>https://shenzhen.leyoujia.com/zf/detail/RLvAvBfL1ssZQZ3Y9WbZSe.html</x:v>
      </x:c>
      <x:c r="R918" s="48" t="str">
        <x:v>2026-08-13</x:v>
      </x:c>
    </x:row>
    <x:row r="919">
      <x:c r="A919" s="48" t="str">
        <x:v>南海中心</x:v>
      </x:c>
      <x:c r="B919" s="48" t="str">
        <x:v>南海中心</x:v>
      </x:c>
      <x:c r="C919" s="48" t="str">
        <x:v>晒布</x:v>
      </x:c>
      <x:c r="D919" s="56" t="n">
        <x:v>2.8</x:v>
      </x:c>
      <x:c r="E919" s="61" t="n">
        <x:v>2480</x:v>
      </x:c>
      <x:c r="F919" s="61" t="n">
        <x:v>18</x:v>
      </x:c>
      <x:c r="G919" s="61" t="n">
        <x:v>137.8</x:v>
      </x:c>
      <x:c r="H919" s="48" t="str">
        <x:v>1室0厅1</x:v>
      </x:c>
      <x:c r="I919" s="48" t="str">
        <x:v>北</x:v>
      </x:c>
      <x:c r="J919" s="48" t="str">
        <x:v>普装</x:v>
      </x:c>
      <x:c r="K919" s="48" t="str">
        <x:v>普通住宅</x:v>
      </x:c>
      <x:c r="L919" s="48" t="str">
        <x:v>是</x:v>
      </x:c>
      <x:c r="M919" s="48" t="str">
        <x:v>保留</x:v>
      </x:c>
      <x:c r="N919" s="48" t="str">
        <x:v>南海中心|1室0厅1|18|2480|北</x:v>
      </x:c>
      <x:c r="O919" s="48"/>
      <x:c r="P919" s="48" t="str">
        <x:v>未知（未逐条补齐）</x:v>
      </x:c>
      <x:c r="Q919" s="48" t="str">
        <x:v>https://shenzhen.leyoujia.com/zf/detail/BPBjHthHaudcEerARg6h1E.html</x:v>
      </x:c>
      <x:c r="R919" s="48" t="str">
        <x:v>2026-08-13</x:v>
      </x:c>
    </x:row>
    <x:row r="920">
      <x:c r="A920" s="48" t="str">
        <x:v>南海中心</x:v>
      </x:c>
      <x:c r="B920" s="48" t="str">
        <x:v>南海中心</x:v>
      </x:c>
      <x:c r="C920" s="48" t="str">
        <x:v>晒布</x:v>
      </x:c>
      <x:c r="D920" s="56" t="n">
        <x:v>2.8</x:v>
      </x:c>
      <x:c r="E920" s="61" t="n">
        <x:v>2480</x:v>
      </x:c>
      <x:c r="F920" s="61" t="n">
        <x:v>20</x:v>
      </x:c>
      <x:c r="G920" s="61" t="n">
        <x:v>124</x:v>
      </x:c>
      <x:c r="H920" s="48" t="str">
        <x:v>1室0厅1</x:v>
      </x:c>
      <x:c r="I920" s="48" t="str">
        <x:v>东</x:v>
      </x:c>
      <x:c r="J920" s="48" t="str">
        <x:v>普装</x:v>
      </x:c>
      <x:c r="K920" s="48" t="str">
        <x:v>普通住宅</x:v>
      </x:c>
      <x:c r="L920" s="48" t="str">
        <x:v>是</x:v>
      </x:c>
      <x:c r="M920" s="48" t="str">
        <x:v>保留</x:v>
      </x:c>
      <x:c r="N920" s="48" t="str">
        <x:v>南海中心|1室0厅1|20|2480|东</x:v>
      </x:c>
      <x:c r="O920" s="48"/>
      <x:c r="P920" s="48" t="str">
        <x:v>未知（未逐条补齐）</x:v>
      </x:c>
      <x:c r="Q920" s="48" t="str">
        <x:v>https://shenzhen.leyoujia.com/zf/detail/6iSrAZDDQeMFSDBq51gKQk.html</x:v>
      </x:c>
      <x:c r="R920" s="48" t="str">
        <x:v>2026-08-13</x:v>
      </x:c>
    </x:row>
    <x:row r="921">
      <x:c r="A921" s="48" t="str">
        <x:v>南海中心</x:v>
      </x:c>
      <x:c r="B921" s="48" t="str">
        <x:v>南海中心</x:v>
      </x:c>
      <x:c r="C921" s="48" t="str">
        <x:v>晒布</x:v>
      </x:c>
      <x:c r="D921" s="56" t="n">
        <x:v>2.8</x:v>
      </x:c>
      <x:c r="E921" s="61" t="n">
        <x:v>2480</x:v>
      </x:c>
      <x:c r="F921" s="61" t="n">
        <x:v>25</x:v>
      </x:c>
      <x:c r="G921" s="61" t="n">
        <x:v>99.2</x:v>
      </x:c>
      <x:c r="H921" s="48" t="str">
        <x:v>1室0厅1</x:v>
      </x:c>
      <x:c r="I921" s="48" t="str">
        <x:v>东北</x:v>
      </x:c>
      <x:c r="J921" s="48" t="str">
        <x:v>普装</x:v>
      </x:c>
      <x:c r="K921" s="48" t="str">
        <x:v>普通住宅</x:v>
      </x:c>
      <x:c r="L921" s="48" t="str">
        <x:v>是</x:v>
      </x:c>
      <x:c r="M921" s="48" t="str">
        <x:v>保留</x:v>
      </x:c>
      <x:c r="N921" s="48" t="str">
        <x:v>南海中心|1室0厅1|25|2480|东北</x:v>
      </x:c>
      <x:c r="O921" s="48"/>
      <x:c r="P921" s="48" t="str">
        <x:v>未知（未逐条补齐）</x:v>
      </x:c>
      <x:c r="Q921" s="48" t="str">
        <x:v>https://shenzhen.leyoujia.com/zf/detail/Lhe3Adgt6UKebEiR51PgCH.html</x:v>
      </x:c>
      <x:c r="R921" s="48" t="str">
        <x:v>2026-08-13</x:v>
      </x:c>
    </x:row>
    <x:row r="922">
      <x:c r="A922" s="48" t="str">
        <x:v>南海中心</x:v>
      </x:c>
      <x:c r="B922" s="48" t="str">
        <x:v>南海中心</x:v>
      </x:c>
      <x:c r="C922" s="48" t="str">
        <x:v>晒布</x:v>
      </x:c>
      <x:c r="D922" s="56" t="n">
        <x:v>2.8</x:v>
      </x:c>
      <x:c r="E922" s="61" t="n">
        <x:v>2480</x:v>
      </x:c>
      <x:c r="F922" s="61" t="n">
        <x:v>25</x:v>
      </x:c>
      <x:c r="G922" s="61" t="n">
        <x:v>99.2</x:v>
      </x:c>
      <x:c r="H922" s="48" t="str">
        <x:v>1室0厅1</x:v>
      </x:c>
      <x:c r="I922" s="48" t="str">
        <x:v>北</x:v>
      </x:c>
      <x:c r="J922" s="48" t="str">
        <x:v>普装</x:v>
      </x:c>
      <x:c r="K922" s="48" t="str">
        <x:v>普通住宅</x:v>
      </x:c>
      <x:c r="L922" s="48" t="str">
        <x:v>是</x:v>
      </x:c>
      <x:c r="M922" s="48" t="str">
        <x:v>保留</x:v>
      </x:c>
      <x:c r="N922" s="48" t="str">
        <x:v>南海中心|1室0厅1|25|2480|北</x:v>
      </x:c>
      <x:c r="O922" s="48"/>
      <x:c r="P922" s="48" t="str">
        <x:v>未知（未逐条补齐）</x:v>
      </x:c>
      <x:c r="Q922" s="48" t="str">
        <x:v>https://shenzhen.leyoujia.com/zf/detail/NJkdWUVy9YcsDqNmp4ioim.html</x:v>
      </x:c>
      <x:c r="R922" s="48" t="str">
        <x:v>2026-08-13</x:v>
      </x:c>
    </x:row>
    <x:row r="923">
      <x:c r="A923" s="48" t="str">
        <x:v>南海中心</x:v>
      </x:c>
      <x:c r="B923" s="48" t="str">
        <x:v>南海中心</x:v>
      </x:c>
      <x:c r="C923" s="48" t="str">
        <x:v>晒布</x:v>
      </x:c>
      <x:c r="D923" s="56" t="n">
        <x:v>2.8</x:v>
      </x:c>
      <x:c r="E923" s="61" t="n">
        <x:v>2500</x:v>
      </x:c>
      <x:c r="F923" s="61" t="n">
        <x:v>25</x:v>
      </x:c>
      <x:c r="G923" s="61" t="n">
        <x:v>100</x:v>
      </x:c>
      <x:c r="H923" s="48" t="str">
        <x:v>1室0厅1</x:v>
      </x:c>
      <x:c r="I923" s="48" t="str">
        <x:v>北</x:v>
      </x:c>
      <x:c r="J923" s="48" t="str">
        <x:v>普装</x:v>
      </x:c>
      <x:c r="K923" s="48" t="str">
        <x:v>普通住宅</x:v>
      </x:c>
      <x:c r="L923" s="48" t="str">
        <x:v>是</x:v>
      </x:c>
      <x:c r="M923" s="48" t="str">
        <x:v>保留</x:v>
      </x:c>
      <x:c r="N923" s="48" t="str">
        <x:v>南海中心|1室0厅1|25|2500|北</x:v>
      </x:c>
      <x:c r="O923" s="48"/>
      <x:c r="P923" s="48" t="str">
        <x:v>未知（未逐条补齐）</x:v>
      </x:c>
      <x:c r="Q923" s="48" t="str">
        <x:v>https://shenzhen.leyoujia.com/zf/detail/RaaoYBJms5yQNBifR14Skq.html</x:v>
      </x:c>
      <x:c r="R923" s="48" t="str">
        <x:v>2026-08-13</x:v>
      </x:c>
    </x:row>
    <x:row r="924">
      <x:c r="A924" s="48" t="str">
        <x:v>南海中心</x:v>
      </x:c>
      <x:c r="B924" s="48" t="str">
        <x:v>南海中心</x:v>
      </x:c>
      <x:c r="C924" s="48" t="str">
        <x:v>晒布</x:v>
      </x:c>
      <x:c r="D924" s="56" t="n">
        <x:v>2.8</x:v>
      </x:c>
      <x:c r="E924" s="61" t="n">
        <x:v>2580</x:v>
      </x:c>
      <x:c r="F924" s="61" t="n">
        <x:v>25</x:v>
      </x:c>
      <x:c r="G924" s="61" t="n">
        <x:v>103.2</x:v>
      </x:c>
      <x:c r="H924" s="48" t="str">
        <x:v>1室0厅1</x:v>
      </x:c>
      <x:c r="I924" s="48" t="str">
        <x:v>东</x:v>
      </x:c>
      <x:c r="J924" s="48" t="str">
        <x:v>待核</x:v>
      </x:c>
      <x:c r="K924" s="48" t="str">
        <x:v>住宅</x:v>
      </x:c>
      <x:c r="L924" s="48" t="str">
        <x:v>是</x:v>
      </x:c>
      <x:c r="M924" s="48" t="str">
        <x:v>保留</x:v>
      </x:c>
      <x:c r="N924" s="48" t="str">
        <x:v>南海中心|1室0厅1|25|2580|东</x:v>
      </x:c>
      <x:c r="O924" s="48"/>
      <x:c r="P924" s="48" t="str">
        <x:v>未知（未逐条补齐）</x:v>
      </x:c>
      <x:c r="Q924" s="48" t="str">
        <x:v>https://shenzhen.leyoujia.com/zf/detail/5EQXJGuRH8JXkhf1q9oMDa.html</x:v>
      </x:c>
      <x:c r="R924" s="48" t="str">
        <x:v>2026-08-13</x:v>
      </x:c>
    </x:row>
    <x:row r="925">
      <x:c r="A925" s="48" t="str">
        <x:v>南海中心</x:v>
      </x:c>
      <x:c r="B925" s="48" t="str">
        <x:v>南海中心</x:v>
      </x:c>
      <x:c r="C925" s="48" t="str">
        <x:v>晒布</x:v>
      </x:c>
      <x:c r="D925" s="56" t="n">
        <x:v>2.8</x:v>
      </x:c>
      <x:c r="E925" s="61" t="n">
        <x:v>2580</x:v>
      </x:c>
      <x:c r="F925" s="61" t="n">
        <x:v>18</x:v>
      </x:c>
      <x:c r="G925" s="61" t="n">
        <x:v>143.3</x:v>
      </x:c>
      <x:c r="H925" s="48" t="str">
        <x:v>1室0厅0</x:v>
      </x:c>
      <x:c r="I925" s="48" t="str">
        <x:v>西</x:v>
      </x:c>
      <x:c r="J925" s="48" t="str">
        <x:v>待核</x:v>
      </x:c>
      <x:c r="K925" s="48" t="str">
        <x:v>住宅</x:v>
      </x:c>
      <x:c r="L925" s="48" t="str">
        <x:v>是</x:v>
      </x:c>
      <x:c r="M925" s="48" t="str">
        <x:v>保留</x:v>
      </x:c>
      <x:c r="N925" s="48" t="str">
        <x:v>南海中心|1室0厅0|18|2580|西</x:v>
      </x:c>
      <x:c r="O925" s="48"/>
      <x:c r="P925" s="48" t="str">
        <x:v>未知（未逐条补齐）</x:v>
      </x:c>
      <x:c r="Q925" s="48" t="str">
        <x:v>https://shenzhen.leyoujia.com/zf/detail/WKhS5PPcPMXgFwXUcuL97.html</x:v>
      </x:c>
      <x:c r="R925" s="48" t="str">
        <x:v>2026-08-13</x:v>
      </x:c>
    </x:row>
    <x:row r="926">
      <x:c r="A926" s="48" t="str">
        <x:v>南海中心</x:v>
      </x:c>
      <x:c r="B926" s="48" t="str">
        <x:v>南海中心</x:v>
      </x:c>
      <x:c r="C926" s="48" t="str">
        <x:v>晒布</x:v>
      </x:c>
      <x:c r="D926" s="56" t="n">
        <x:v>2.8</x:v>
      </x:c>
      <x:c r="E926" s="61" t="n">
        <x:v>2680</x:v>
      </x:c>
      <x:c r="F926" s="61" t="n">
        <x:v>20</x:v>
      </x:c>
      <x:c r="G926" s="61" t="n">
        <x:v>134</x:v>
      </x:c>
      <x:c r="H926" s="48" t="str">
        <x:v>1室0厅1</x:v>
      </x:c>
      <x:c r="I926" s="48" t="str">
        <x:v>西</x:v>
      </x:c>
      <x:c r="J926" s="48" t="str">
        <x:v>普装</x:v>
      </x:c>
      <x:c r="K926" s="48" t="str">
        <x:v>普通住宅</x:v>
      </x:c>
      <x:c r="L926" s="48" t="str">
        <x:v>是</x:v>
      </x:c>
      <x:c r="M926" s="48" t="str">
        <x:v>保留</x:v>
      </x:c>
      <x:c r="N926" s="48" t="str">
        <x:v>南海中心|1室0厅1|20|2680|西</x:v>
      </x:c>
      <x:c r="O926" s="48"/>
      <x:c r="P926" s="48" t="str">
        <x:v>未知（未逐条补齐）</x:v>
      </x:c>
      <x:c r="Q926" s="48" t="str">
        <x:v>https://shenzhen.leyoujia.com/zf/detail/UYLJvznsyJcUNwi2ZYmxQP.html</x:v>
      </x:c>
      <x:c r="R926" s="48" t="str">
        <x:v>2026-08-13</x:v>
      </x:c>
    </x:row>
    <x:row r="927">
      <x:c r="A927" s="48" t="str">
        <x:v>南海中心</x:v>
      </x:c>
      <x:c r="B927" s="48" t="str">
        <x:v>南海中心</x:v>
      </x:c>
      <x:c r="C927" s="48" t="str">
        <x:v>晒布</x:v>
      </x:c>
      <x:c r="D927" s="56" t="n">
        <x:v>2.8</x:v>
      </x:c>
      <x:c r="E927" s="61" t="n">
        <x:v>2780</x:v>
      </x:c>
      <x:c r="F927" s="61" t="n">
        <x:v>15</x:v>
      </x:c>
      <x:c r="G927" s="61" t="n">
        <x:v>185.3</x:v>
      </x:c>
      <x:c r="H927" s="48" t="str">
        <x:v>1室0厅1</x:v>
      </x:c>
      <x:c r="I927" s="48" t="str">
        <x:v>西</x:v>
      </x:c>
      <x:c r="J927" s="48" t="str">
        <x:v>待核</x:v>
      </x:c>
      <x:c r="K927" s="48" t="str">
        <x:v>住宅</x:v>
      </x:c>
      <x:c r="L927" s="48" t="str">
        <x:v>是</x:v>
      </x:c>
      <x:c r="M927" s="48" t="str">
        <x:v>保留</x:v>
      </x:c>
      <x:c r="N927" s="48" t="str">
        <x:v>南海中心|1室0厅1|15|2780|西</x:v>
      </x:c>
      <x:c r="O927" s="48"/>
      <x:c r="P927" s="48" t="str">
        <x:v>未知（未逐条补齐）</x:v>
      </x:c>
      <x:c r="Q927" s="48" t="str">
        <x:v>https://shenzhen.leyoujia.com/zf/detail/Vu8ocFiZjdioGgr4pvJ9tc.html</x:v>
      </x:c>
      <x:c r="R927" s="48" t="str">
        <x:v>2026-08-13</x:v>
      </x:c>
    </x:row>
    <x:row r="928">
      <x:c r="A928" s="48" t="str">
        <x:v>南海中心</x:v>
      </x:c>
      <x:c r="B928" s="48" t="str">
        <x:v>南海中心</x:v>
      </x:c>
      <x:c r="C928" s="48" t="str">
        <x:v>晒布</x:v>
      </x:c>
      <x:c r="D928" s="56" t="n">
        <x:v>2.8</x:v>
      </x:c>
      <x:c r="E928" s="61" t="n">
        <x:v>2880</x:v>
      </x:c>
      <x:c r="F928" s="61" t="n">
        <x:v>40</x:v>
      </x:c>
      <x:c r="G928" s="61" t="n">
        <x:v>72</x:v>
      </x:c>
      <x:c r="H928" s="48" t="str">
        <x:v>1室1厅1</x:v>
      </x:c>
      <x:c r="I928" s="48" t="str">
        <x:v>南</x:v>
      </x:c>
      <x:c r="J928" s="48" t="str">
        <x:v>普装</x:v>
      </x:c>
      <x:c r="K928" s="48" t="str">
        <x:v>普通住宅</x:v>
      </x:c>
      <x:c r="L928" s="48" t="str">
        <x:v>是</x:v>
      </x:c>
      <x:c r="M928" s="48" t="str">
        <x:v>保留</x:v>
      </x:c>
      <x:c r="N928" s="48" t="str">
        <x:v>南海中心|1室1厅1|40|2880|南</x:v>
      </x:c>
      <x:c r="O928" s="48"/>
      <x:c r="P928" s="48" t="str">
        <x:v>未知（未逐条补齐）</x:v>
      </x:c>
      <x:c r="Q928" s="48" t="str">
        <x:v>https://shenzhen.leyoujia.com/zf/detail/RY52vvfghMwrmk5ZCJvayW.html</x:v>
      </x:c>
      <x:c r="R928" s="48" t="str">
        <x:v>2026-08-13</x:v>
      </x:c>
    </x:row>
    <x:row r="929">
      <x:c r="A929" s="48" t="str">
        <x:v>南海中心</x:v>
      </x:c>
      <x:c r="B929" s="48" t="str">
        <x:v>南海中心</x:v>
      </x:c>
      <x:c r="C929" s="48" t="str">
        <x:v>晒布</x:v>
      </x:c>
      <x:c r="D929" s="56" t="n">
        <x:v>2.8</x:v>
      </x:c>
      <x:c r="E929" s="61" t="n">
        <x:v>2880</x:v>
      </x:c>
      <x:c r="F929" s="61" t="n">
        <x:v>20</x:v>
      </x:c>
      <x:c r="G929" s="61" t="n">
        <x:v>144</x:v>
      </x:c>
      <x:c r="H929" s="48" t="str">
        <x:v>1室0厅1</x:v>
      </x:c>
      <x:c r="I929" s="48" t="str">
        <x:v>东南</x:v>
      </x:c>
      <x:c r="J929" s="48" t="str">
        <x:v>待核</x:v>
      </x:c>
      <x:c r="K929" s="48" t="str">
        <x:v>普通住宅</x:v>
      </x:c>
      <x:c r="L929" s="48" t="str">
        <x:v>是</x:v>
      </x:c>
      <x:c r="M929" s="48" t="str">
        <x:v>保留</x:v>
      </x:c>
      <x:c r="N929" s="48" t="str">
        <x:v>南海中心|1室0厅1|20|2880|东南</x:v>
      </x:c>
      <x:c r="O929" s="48"/>
      <x:c r="P929" s="48" t="str">
        <x:v>未知（未逐条补齐）</x:v>
      </x:c>
      <x:c r="Q929" s="48" t="str">
        <x:v>https://shenzhen.leyoujia.com/zf/detail/CnSv9FHCZ63cuGGBKeSgHa.html</x:v>
      </x:c>
      <x:c r="R929" s="48" t="str">
        <x:v>2026-08-13</x:v>
      </x:c>
    </x:row>
    <x:row r="930">
      <x:c r="A930" s="48" t="str">
        <x:v>南海中心</x:v>
      </x:c>
      <x:c r="B930" s="48" t="str">
        <x:v>南海中心</x:v>
      </x:c>
      <x:c r="C930" s="48" t="str">
        <x:v>晒布</x:v>
      </x:c>
      <x:c r="D930" s="56" t="n">
        <x:v>2.8</x:v>
      </x:c>
      <x:c r="E930" s="61" t="n">
        <x:v>2880</x:v>
      </x:c>
      <x:c r="F930" s="61" t="n">
        <x:v>26</x:v>
      </x:c>
      <x:c r="G930" s="61" t="n">
        <x:v>110.8</x:v>
      </x:c>
      <x:c r="H930" s="48" t="str">
        <x:v>1室0厅1</x:v>
      </x:c>
      <x:c r="I930" s="48" t="str">
        <x:v>西</x:v>
      </x:c>
      <x:c r="J930" s="48" t="str">
        <x:v>普装</x:v>
      </x:c>
      <x:c r="K930" s="48" t="str">
        <x:v>普通住宅</x:v>
      </x:c>
      <x:c r="L930" s="48" t="str">
        <x:v>是</x:v>
      </x:c>
      <x:c r="M930" s="48" t="str">
        <x:v>保留</x:v>
      </x:c>
      <x:c r="N930" s="48" t="str">
        <x:v>南海中心|1室0厅1|26|2880|西</x:v>
      </x:c>
      <x:c r="O930" s="48"/>
      <x:c r="P930" s="48" t="str">
        <x:v>未知（未逐条补齐）</x:v>
      </x:c>
      <x:c r="Q930" s="48" t="str">
        <x:v>https://shenzhen.leyoujia.com/zf/detail/ReVbY67oXma6RyeJ4VyRjd.html</x:v>
      </x:c>
      <x:c r="R930" s="48" t="str">
        <x:v>2026-08-13</x:v>
      </x:c>
    </x:row>
    <x:row r="931">
      <x:c r="A931" s="48" t="str">
        <x:v>南海中心</x:v>
      </x:c>
      <x:c r="B931" s="48" t="str">
        <x:v>南海中心</x:v>
      </x:c>
      <x:c r="C931" s="48" t="str">
        <x:v>晒布</x:v>
      </x:c>
      <x:c r="D931" s="56" t="n">
        <x:v>2.8</x:v>
      </x:c>
      <x:c r="E931" s="61" t="n">
        <x:v>2880</x:v>
      </x:c>
      <x:c r="F931" s="61" t="n">
        <x:v>30</x:v>
      </x:c>
      <x:c r="G931" s="61" t="n">
        <x:v>96</x:v>
      </x:c>
      <x:c r="H931" s="48" t="str">
        <x:v>1室0厅1</x:v>
      </x:c>
      <x:c r="I931" s="48" t="str">
        <x:v>东南</x:v>
      </x:c>
      <x:c r="J931" s="48" t="str">
        <x:v>普装</x:v>
      </x:c>
      <x:c r="K931" s="48" t="str">
        <x:v>普通住宅</x:v>
      </x:c>
      <x:c r="L931" s="48" t="str">
        <x:v>是</x:v>
      </x:c>
      <x:c r="M931" s="48" t="str">
        <x:v>保留</x:v>
      </x:c>
      <x:c r="N931" s="48" t="str">
        <x:v>南海中心|1室0厅1|30|2880|东南</x:v>
      </x:c>
      <x:c r="O931" s="48"/>
      <x:c r="P931" s="48" t="str">
        <x:v>未知（未逐条补齐）</x:v>
      </x:c>
      <x:c r="Q931" s="48" t="str">
        <x:v>https://shenzhen.leyoujia.com/zf/detail/4PGtUDgWtZJSYzR1QJ7Swn.html</x:v>
      </x:c>
      <x:c r="R931" s="48" t="str">
        <x:v>2026-08-13</x:v>
      </x:c>
    </x:row>
    <x:row r="932">
      <x:c r="A932" s="48" t="str">
        <x:v>南海中心</x:v>
      </x:c>
      <x:c r="B932" s="48" t="str">
        <x:v>南海中心</x:v>
      </x:c>
      <x:c r="C932" s="48" t="str">
        <x:v>晒布</x:v>
      </x:c>
      <x:c r="D932" s="56" t="n">
        <x:v>2.8</x:v>
      </x:c>
      <x:c r="E932" s="61" t="n">
        <x:v>2880</x:v>
      </x:c>
      <x:c r="F932" s="61" t="n">
        <x:v>30</x:v>
      </x:c>
      <x:c r="G932" s="61" t="n">
        <x:v>96</x:v>
      </x:c>
      <x:c r="H932" s="48" t="str">
        <x:v>1室1厅1</x:v>
      </x:c>
      <x:c r="I932" s="48" t="str">
        <x:v>南</x:v>
      </x:c>
      <x:c r="J932" s="48" t="str">
        <x:v>普装</x:v>
      </x:c>
      <x:c r="K932" s="48" t="str">
        <x:v>普通住宅</x:v>
      </x:c>
      <x:c r="L932" s="48" t="str">
        <x:v>是</x:v>
      </x:c>
      <x:c r="M932" s="48" t="str">
        <x:v>保留</x:v>
      </x:c>
      <x:c r="N932" s="48" t="str">
        <x:v>南海中心|1室1厅1|30|2880|南</x:v>
      </x:c>
      <x:c r="O932" s="48"/>
      <x:c r="P932" s="48" t="str">
        <x:v>未知（未逐条补齐）</x:v>
      </x:c>
      <x:c r="Q932" s="48" t="str">
        <x:v>https://shenzhen.leyoujia.com/zf/detail/8SuzhzzXUKvraZ9NCdjypZ.html</x:v>
      </x:c>
      <x:c r="R932" s="48" t="str">
        <x:v>2026-08-13</x:v>
      </x:c>
    </x:row>
    <x:row r="933">
      <x:c r="A933" s="48" t="str">
        <x:v>立新花园(人民北路)</x:v>
      </x:c>
      <x:c r="B933" s="48" t="str">
        <x:v>立新花园</x:v>
      </x:c>
      <x:c r="C933" s="48" t="str">
        <x:v>晒布</x:v>
      </x:c>
      <x:c r="D933" s="56" t="n">
        <x:v>3.9</x:v>
      </x:c>
      <x:c r="E933" s="61" t="n">
        <x:v>2780</x:v>
      </x:c>
      <x:c r="F933" s="61" t="n">
        <x:v>35</x:v>
      </x:c>
      <x:c r="G933" s="61" t="n">
        <x:v>79.4</x:v>
      </x:c>
      <x:c r="H933" s="48" t="str">
        <x:v>1室0厅1</x:v>
      </x:c>
      <x:c r="I933" s="48" t="str">
        <x:v>南</x:v>
      </x:c>
      <x:c r="J933" s="48" t="str">
        <x:v>普装</x:v>
      </x:c>
      <x:c r="K933" s="48" t="str">
        <x:v>普通住宅</x:v>
      </x:c>
      <x:c r="L933" s="48" t="str">
        <x:v>是</x:v>
      </x:c>
      <x:c r="M933" s="48" t="str">
        <x:v>保留</x:v>
      </x:c>
      <x:c r="N933" s="48" t="str">
        <x:v>立新花园|1室0厅1|35|2780|南</x:v>
      </x:c>
      <x:c r="O933" s="48"/>
      <x:c r="P933" s="48" t="str">
        <x:v>未知（未逐条补齐）</x:v>
      </x:c>
      <x:c r="Q933" s="48" t="str">
        <x:v>https://shenzhen.leyoujia.com/zf/detail/6zPhqpUWLoWFMiMJiKa9Du.html</x:v>
      </x:c>
      <x:c r="R933" s="48" t="str">
        <x:v>2026-08-13</x:v>
      </x:c>
    </x:row>
    <x:row r="934">
      <x:c r="A934" s="48" t="str">
        <x:v>园林宿舍</x:v>
      </x:c>
      <x:c r="B934" s="48" t="str">
        <x:v>园林宿舍</x:v>
      </x:c>
      <x:c r="C934" s="48" t="str">
        <x:v>晒布</x:v>
      </x:c>
      <x:c r="D934" s="56" t="n">
        <x:v>5.5</x:v>
      </x:c>
      <x:c r="E934" s="61" t="n">
        <x:v>2800</x:v>
      </x:c>
      <x:c r="F934" s="61" t="n">
        <x:v>22</x:v>
      </x:c>
      <x:c r="G934" s="61" t="n">
        <x:v>127.3</x:v>
      </x:c>
      <x:c r="H934" s="48" t="str">
        <x:v>1室0厅1</x:v>
      </x:c>
      <x:c r="I934" s="48" t="str">
        <x:v>东</x:v>
      </x:c>
      <x:c r="J934" s="48" t="str">
        <x:v>待核</x:v>
      </x:c>
      <x:c r="K934" s="48" t="str">
        <x:v>住宅</x:v>
      </x:c>
      <x:c r="L934" s="48" t="str">
        <x:v>是</x:v>
      </x:c>
      <x:c r="M934" s="48" t="str">
        <x:v>保留</x:v>
      </x:c>
      <x:c r="N934" s="48" t="str">
        <x:v>园林宿舍|1室0厅1|22|2800|东</x:v>
      </x:c>
      <x:c r="O934" s="48"/>
      <x:c r="P934" s="48" t="str">
        <x:v>未知（未逐条补齐）</x:v>
      </x:c>
      <x:c r="Q934" s="48" t="str">
        <x:v>https://shenzhen.leyoujia.com/zf/detail/HbF8Zg6irjueXrqpJMgWmm.html</x:v>
      </x:c>
      <x:c r="R934" s="48" t="str">
        <x:v>2026-08-13</x:v>
      </x:c>
    </x:row>
    <x:row r="935">
      <x:c r="A935" s="48" t="str">
        <x:v>园林宿舍</x:v>
      </x:c>
      <x:c r="B935" s="48" t="str">
        <x:v>园林宿舍</x:v>
      </x:c>
      <x:c r="C935" s="48" t="str">
        <x:v>晒布</x:v>
      </x:c>
      <x:c r="D935" s="56" t="n">
        <x:v>5.5</x:v>
      </x:c>
      <x:c r="E935" s="61" t="n">
        <x:v>2980</x:v>
      </x:c>
      <x:c r="F935" s="61" t="n">
        <x:v>20</x:v>
      </x:c>
      <x:c r="G935" s="61" t="n">
        <x:v>149</x:v>
      </x:c>
      <x:c r="H935" s="48" t="str">
        <x:v>1室0厅1</x:v>
      </x:c>
      <x:c r="I935" s="48" t="str">
        <x:v>南</x:v>
      </x:c>
      <x:c r="J935" s="48" t="str">
        <x:v>精装</x:v>
      </x:c>
      <x:c r="K935" s="48" t="str">
        <x:v>公寓</x:v>
      </x:c>
      <x:c r="L935" s="48" t="str">
        <x:v>是</x:v>
      </x:c>
      <x:c r="M935" s="48" t="str">
        <x:v>保留</x:v>
      </x:c>
      <x:c r="N935" s="48" t="str">
        <x:v>园林宿舍|1室0厅1|20|2980|南</x:v>
      </x:c>
      <x:c r="O935" s="48"/>
      <x:c r="P935" s="48" t="str">
        <x:v>未知（未逐条补齐）</x:v>
      </x:c>
      <x:c r="Q935" s="48" t="str">
        <x:v>https://shenzhen.leyoujia.com/zf/detail/44PpoP3jwF5XGugTpgouJ5.html</x:v>
      </x:c>
      <x:c r="R935" s="48" t="str">
        <x:v>2026-08-13</x:v>
      </x:c>
    </x:row>
    <x:row r="936">
      <x:c r="A936" s="48" t="str">
        <x:v>世濠大厦</x:v>
      </x:c>
      <x:c r="B936" s="48" t="str">
        <x:v>世濠大厦</x:v>
      </x:c>
      <x:c r="C936" s="48" t="str">
        <x:v>晒布</x:v>
      </x:c>
      <x:c r="D936" s="56" t="n">
        <x:v>6.7</x:v>
      </x:c>
      <x:c r="E936" s="61" t="n">
        <x:v>2450</x:v>
      </x:c>
      <x:c r="F936" s="61" t="n">
        <x:v>30.6</x:v>
      </x:c>
      <x:c r="G936" s="61" t="n">
        <x:v>80.1</x:v>
      </x:c>
      <x:c r="H936" s="48" t="str">
        <x:v>1室0厅1</x:v>
      </x:c>
      <x:c r="I936" s="48" t="str">
        <x:v>南</x:v>
      </x:c>
      <x:c r="J936" s="48" t="str">
        <x:v>普装</x:v>
      </x:c>
      <x:c r="K936" s="48" t="str">
        <x:v>普通住宅</x:v>
      </x:c>
      <x:c r="L936" s="48" t="str">
        <x:v>否</x:v>
      </x:c>
      <x:c r="M936" s="48" t="str">
        <x:v>异常低价待核</x:v>
      </x:c>
      <x:c r="N936" s="48" t="str">
        <x:v>世濠大厦|1室0厅1|31|2450|南</x:v>
      </x:c>
      <x:c r="O936" s="48"/>
      <x:c r="P936" s="48" t="str">
        <x:v>未知（未逐条补齐）</x:v>
      </x:c>
      <x:c r="Q936" s="48" t="str">
        <x:v>https://shenzhen.leyoujia.com/zf/detail/DMhWZtgfcgSZDocGk66yu8.html</x:v>
      </x:c>
      <x:c r="R936" s="48" t="str">
        <x:v>2026-08-13</x:v>
      </x:c>
    </x:row>
    <x:row r="937">
      <x:c r="A937" s="48" t="str">
        <x:v>世濠大厦</x:v>
      </x:c>
      <x:c r="B937" s="48" t="str">
        <x:v>世濠大厦</x:v>
      </x:c>
      <x:c r="C937" s="48" t="str">
        <x:v>晒布</x:v>
      </x:c>
      <x:c r="D937" s="56" t="n">
        <x:v>6.7</x:v>
      </x:c>
      <x:c r="E937" s="61" t="n">
        <x:v>2925</x:v>
      </x:c>
      <x:c r="F937" s="61" t="n">
        <x:v>23</x:v>
      </x:c>
      <x:c r="G937" s="61" t="n">
        <x:v>127.2</x:v>
      </x:c>
      <x:c r="H937" s="48" t="str">
        <x:v>1室0厅1</x:v>
      </x:c>
      <x:c r="I937" s="48" t="str">
        <x:v>北</x:v>
      </x:c>
      <x:c r="J937" s="48" t="str">
        <x:v>普装</x:v>
      </x:c>
      <x:c r="K937" s="48" t="str">
        <x:v>普通住宅</x:v>
      </x:c>
      <x:c r="L937" s="48" t="str">
        <x:v>否</x:v>
      </x:c>
      <x:c r="M937" s="48" t="str">
        <x:v>异常低价待核</x:v>
      </x:c>
      <x:c r="N937" s="48" t="str">
        <x:v>世濠大厦|1室0厅1|23|2925|北</x:v>
      </x:c>
      <x:c r="O937" s="48"/>
      <x:c r="P937" s="48" t="str">
        <x:v>未知（未逐条补齐）</x:v>
      </x:c>
      <x:c r="Q937" s="48" t="str">
        <x:v>https://shenzhen.leyoujia.com/zf/detail/AN8ZQkgSNfyupXFnftPRBJ.html</x:v>
      </x:c>
      <x:c r="R937" s="48" t="str">
        <x:v>2026-08-13</x:v>
      </x:c>
    </x:row>
    <x:row r="938">
      <x:c r="A938" s="48" t="str">
        <x:v>世濠大厦</x:v>
      </x:c>
      <x:c r="B938" s="48" t="str">
        <x:v>世濠大厦</x:v>
      </x:c>
      <x:c r="C938" s="48" t="str">
        <x:v>晒布</x:v>
      </x:c>
      <x:c r="D938" s="56" t="n">
        <x:v>6.7</x:v>
      </x:c>
      <x:c r="E938" s="61" t="n">
        <x:v>2925</x:v>
      </x:c>
      <x:c r="F938" s="61" t="n">
        <x:v>24</x:v>
      </x:c>
      <x:c r="G938" s="61" t="n">
        <x:v>121.9</x:v>
      </x:c>
      <x:c r="H938" s="48" t="str">
        <x:v>1室0厅1</x:v>
      </x:c>
      <x:c r="I938" s="48" t="str">
        <x:v>东</x:v>
      </x:c>
      <x:c r="J938" s="48" t="str">
        <x:v>普装</x:v>
      </x:c>
      <x:c r="K938" s="48" t="str">
        <x:v>普通住宅</x:v>
      </x:c>
      <x:c r="L938" s="48" t="str">
        <x:v>否</x:v>
      </x:c>
      <x:c r="M938" s="48" t="str">
        <x:v>异常低价待核</x:v>
      </x:c>
      <x:c r="N938" s="48" t="str">
        <x:v>世濠大厦|1室0厅1|24|2925|东</x:v>
      </x:c>
      <x:c r="O938" s="48"/>
      <x:c r="P938" s="48" t="str">
        <x:v>未知（未逐条补齐）</x:v>
      </x:c>
      <x:c r="Q938" s="48" t="str">
        <x:v>https://shenzhen.leyoujia.com/zf/detail/vLEdMvBQxSQq4unJRg2oQ.html</x:v>
      </x:c>
      <x:c r="R938" s="48" t="str">
        <x:v>2026-08-13</x:v>
      </x:c>
    </x:row>
    <x:row r="939">
      <x:c r="A939" s="48" t="str">
        <x:v>世濠大厦</x:v>
      </x:c>
      <x:c r="B939" s="48" t="str">
        <x:v>世濠大厦</x:v>
      </x:c>
      <x:c r="C939" s="48" t="str">
        <x:v>晒布</x:v>
      </x:c>
      <x:c r="D939" s="56" t="n">
        <x:v>6.7</x:v>
      </x:c>
      <x:c r="E939" s="61" t="n">
        <x:v>3056</x:v>
      </x:c>
      <x:c r="F939" s="61" t="n">
        <x:v>22</x:v>
      </x:c>
      <x:c r="G939" s="61" t="n">
        <x:v>138.9</x:v>
      </x:c>
      <x:c r="H939" s="48" t="str">
        <x:v>1室0厅1</x:v>
      </x:c>
      <x:c r="I939" s="48" t="str">
        <x:v>南</x:v>
      </x:c>
      <x:c r="J939" s="48" t="str">
        <x:v>普装</x:v>
      </x:c>
      <x:c r="K939" s="48" t="str">
        <x:v>普通住宅</x:v>
      </x:c>
      <x:c r="L939" s="48" t="str">
        <x:v>否</x:v>
      </x:c>
      <x:c r="M939" s="48" t="str">
        <x:v>异常低价待核</x:v>
      </x:c>
      <x:c r="N939" s="48" t="str">
        <x:v>世濠大厦|1室0厅1|22|3056|南</x:v>
      </x:c>
      <x:c r="O939" s="48"/>
      <x:c r="P939" s="48" t="str">
        <x:v>未知（未逐条补齐）</x:v>
      </x:c>
      <x:c r="Q939" s="48" t="str">
        <x:v>https://shenzhen.leyoujia.com/zf/detail/EvEvqz4DSSpWLGvGix6Lui.html</x:v>
      </x:c>
      <x:c r="R939" s="48" t="str">
        <x:v>2026-08-13</x:v>
      </x:c>
    </x:row>
    <x:row r="940">
      <x:c r="A940" s="48" t="str">
        <x:v>世濠大厦</x:v>
      </x:c>
      <x:c r="B940" s="48" t="str">
        <x:v>世濠大厦</x:v>
      </x:c>
      <x:c r="C940" s="48" t="str">
        <x:v>晒布</x:v>
      </x:c>
      <x:c r="D940" s="56" t="n">
        <x:v>6.7</x:v>
      </x:c>
      <x:c r="E940" s="61" t="n">
        <x:v>3080</x:v>
      </x:c>
      <x:c r="F940" s="61" t="n">
        <x:v>35.68</x:v>
      </x:c>
      <x:c r="G940" s="61" t="n">
        <x:v>86.3</x:v>
      </x:c>
      <x:c r="H940" s="48" t="str">
        <x:v>1室0厅1</x:v>
      </x:c>
      <x:c r="I940" s="48" t="str">
        <x:v>东</x:v>
      </x:c>
      <x:c r="J940" s="48" t="str">
        <x:v>普装</x:v>
      </x:c>
      <x:c r="K940" s="48" t="str">
        <x:v>普通住宅</x:v>
      </x:c>
      <x:c r="L940" s="48" t="str">
        <x:v>是</x:v>
      </x:c>
      <x:c r="M940" s="48" t="str">
        <x:v>保留</x:v>
      </x:c>
      <x:c r="N940" s="48" t="str">
        <x:v>世濠大厦|1室0厅1|36|3080|东</x:v>
      </x:c>
      <x:c r="O940" s="48"/>
      <x:c r="P940" s="48" t="str">
        <x:v>未知（未逐条补齐）</x:v>
      </x:c>
      <x:c r="Q940" s="48" t="str">
        <x:v>https://shenzhen.leyoujia.com/zf/detail/QegFtuf6yTrKV5zrSqwSny.html</x:v>
      </x:c>
      <x:c r="R940" s="48" t="str">
        <x:v>2026-08-13</x:v>
      </x:c>
    </x:row>
    <x:row r="941">
      <x:c r="A941" s="48" t="str">
        <x:v>世濠大厦</x:v>
      </x:c>
      <x:c r="B941" s="48" t="str">
        <x:v>世濠大厦</x:v>
      </x:c>
      <x:c r="C941" s="48" t="str">
        <x:v>晒布</x:v>
      </x:c>
      <x:c r="D941" s="56" t="n">
        <x:v>6.7</x:v>
      </x:c>
      <x:c r="E941" s="61" t="n">
        <x:v>3080</x:v>
      </x:c>
      <x:c r="F941" s="61" t="n">
        <x:v>36.38</x:v>
      </x:c>
      <x:c r="G941" s="61" t="n">
        <x:v>84.7</x:v>
      </x:c>
      <x:c r="H941" s="48" t="str">
        <x:v>1室0厅1</x:v>
      </x:c>
      <x:c r="I941" s="48" t="str">
        <x:v>西</x:v>
      </x:c>
      <x:c r="J941" s="48" t="str">
        <x:v>精装</x:v>
      </x:c>
      <x:c r="K941" s="48" t="str">
        <x:v>普通住宅</x:v>
      </x:c>
      <x:c r="L941" s="48" t="str">
        <x:v>是</x:v>
      </x:c>
      <x:c r="M941" s="48" t="str">
        <x:v>保留</x:v>
      </x:c>
      <x:c r="N941" s="48" t="str">
        <x:v>世濠大厦|1室0厅1|36|3080|西</x:v>
      </x:c>
      <x:c r="O941" s="48"/>
      <x:c r="P941" s="48" t="str">
        <x:v>未知（未逐条补齐）</x:v>
      </x:c>
      <x:c r="Q941" s="48" t="str">
        <x:v>https://shenzhen.leyoujia.com/zf/detail/XjjfrfSjyScDqU9dowsEsb.html</x:v>
      </x:c>
      <x:c r="R941" s="48" t="str">
        <x:v>2026-08-13</x:v>
      </x:c>
    </x:row>
    <x:row r="942">
      <x:c r="A942" s="48" t="str">
        <x:v>世濠大厦</x:v>
      </x:c>
      <x:c r="B942" s="48" t="str">
        <x:v>世濠大厦</x:v>
      </x:c>
      <x:c r="C942" s="48" t="str">
        <x:v>晒布</x:v>
      </x:c>
      <x:c r="D942" s="56" t="n">
        <x:v>6.7</x:v>
      </x:c>
      <x:c r="E942" s="61" t="n">
        <x:v>3080</x:v>
      </x:c>
      <x:c r="F942" s="61" t="n">
        <x:v>35.68</x:v>
      </x:c>
      <x:c r="G942" s="61" t="n">
        <x:v>86.3</x:v>
      </x:c>
      <x:c r="H942" s="48" t="str">
        <x:v>1室0厅1</x:v>
      </x:c>
      <x:c r="I942" s="48" t="str">
        <x:v>南</x:v>
      </x:c>
      <x:c r="J942" s="48" t="str">
        <x:v>精装</x:v>
      </x:c>
      <x:c r="K942" s="48" t="str">
        <x:v>普通住宅</x:v>
      </x:c>
      <x:c r="L942" s="48" t="str">
        <x:v>是</x:v>
      </x:c>
      <x:c r="M942" s="48" t="str">
        <x:v>保留</x:v>
      </x:c>
      <x:c r="N942" s="48" t="str">
        <x:v>世濠大厦|1室0厅1|36|3080|南</x:v>
      </x:c>
      <x:c r="O942" s="48"/>
      <x:c r="P942" s="48" t="str">
        <x:v>未知（未逐条补齐）</x:v>
      </x:c>
      <x:c r="Q942" s="48" t="str">
        <x:v>https://shenzhen.leyoujia.com/zf/detail/UHdkurLTYpbxgJVcShmMom.html</x:v>
      </x:c>
      <x:c r="R942" s="48" t="str">
        <x:v>2026-08-13</x:v>
      </x:c>
    </x:row>
    <x:row r="943">
      <x:c r="A943" s="48" t="str">
        <x:v>世濠大厦</x:v>
      </x:c>
      <x:c r="B943" s="48" t="str">
        <x:v>世濠大厦</x:v>
      </x:c>
      <x:c r="C943" s="48" t="str">
        <x:v>晒布</x:v>
      </x:c>
      <x:c r="D943" s="56" t="n">
        <x:v>6.7</x:v>
      </x:c>
      <x:c r="E943" s="61" t="n">
        <x:v>3080</x:v>
      </x:c>
      <x:c r="F943" s="61" t="n">
        <x:v>35.68</x:v>
      </x:c>
      <x:c r="G943" s="61" t="n">
        <x:v>86.3</x:v>
      </x:c>
      <x:c r="H943" s="48" t="str">
        <x:v>1室0厅1</x:v>
      </x:c>
      <x:c r="I943" s="48" t="str">
        <x:v>东</x:v>
      </x:c>
      <x:c r="J943" s="48" t="str">
        <x:v>精装</x:v>
      </x:c>
      <x:c r="K943" s="48" t="str">
        <x:v>公寓</x:v>
      </x:c>
      <x:c r="L943" s="48" t="str">
        <x:v>否</x:v>
      </x:c>
      <x:c r="M943" s="48" t="str">
        <x:v>疑似重复挂牌</x:v>
      </x:c>
      <x:c r="N943" s="48" t="str">
        <x:v>世濠大厦|1室0厅1|36|3080|东</x:v>
      </x:c>
      <x:c r="O943" s="48"/>
      <x:c r="P943" s="48" t="str">
        <x:v>未知（未逐条补齐）</x:v>
      </x:c>
      <x:c r="Q943" s="48" t="str">
        <x:v>https://shenzhen.leyoujia.com/zf/detail/XHt8JDFh24tdcTpbqHFWDX.html</x:v>
      </x:c>
      <x:c r="R943" s="48" t="str">
        <x:v>2026-08-13</x:v>
      </x:c>
    </x:row>
    <x:row r="944">
      <x:c r="A944" s="48" t="str">
        <x:v>世濠大厦</x:v>
      </x:c>
      <x:c r="B944" s="48" t="str">
        <x:v>世濠大厦</x:v>
      </x:c>
      <x:c r="C944" s="48" t="str">
        <x:v>晒布</x:v>
      </x:c>
      <x:c r="D944" s="56" t="n">
        <x:v>6.7</x:v>
      </x:c>
      <x:c r="E944" s="61" t="n">
        <x:v>3080</x:v>
      </x:c>
      <x:c r="F944" s="61" t="n">
        <x:v>35.68</x:v>
      </x:c>
      <x:c r="G944" s="61" t="n">
        <x:v>86.3</x:v>
      </x:c>
      <x:c r="H944" s="48" t="str">
        <x:v>1室0厅1</x:v>
      </x:c>
      <x:c r="I944" s="48" t="str">
        <x:v>东</x:v>
      </x:c>
      <x:c r="J944" s="48" t="str">
        <x:v>精装</x:v>
      </x:c>
      <x:c r="K944" s="48" t="str">
        <x:v>普通住宅</x:v>
      </x:c>
      <x:c r="L944" s="48" t="str">
        <x:v>否</x:v>
      </x:c>
      <x:c r="M944" s="48" t="str">
        <x:v>疑似重复挂牌</x:v>
      </x:c>
      <x:c r="N944" s="48" t="str">
        <x:v>世濠大厦|1室0厅1|36|3080|东</x:v>
      </x:c>
      <x:c r="O944" s="48"/>
      <x:c r="P944" s="48" t="str">
        <x:v>未知（未逐条补齐）</x:v>
      </x:c>
      <x:c r="Q944" s="48" t="str">
        <x:v>https://shenzhen.leyoujia.com/zf/detail/YV2eYMQtKKwKYLw5vpREMZ.html</x:v>
      </x:c>
      <x:c r="R944" s="48" t="str">
        <x:v>2026-08-13</x:v>
      </x:c>
    </x:row>
    <x:row r="945">
      <x:c r="A945" s="48" t="str">
        <x:v>世濠大厦</x:v>
      </x:c>
      <x:c r="B945" s="48" t="str">
        <x:v>世濠大厦</x:v>
      </x:c>
      <x:c r="C945" s="48" t="str">
        <x:v>晒布</x:v>
      </x:c>
      <x:c r="D945" s="56" t="n">
        <x:v>6.7</x:v>
      </x:c>
      <x:c r="E945" s="61" t="n">
        <x:v>3080</x:v>
      </x:c>
      <x:c r="F945" s="61" t="n">
        <x:v>35.68</x:v>
      </x:c>
      <x:c r="G945" s="61" t="n">
        <x:v>86.3</x:v>
      </x:c>
      <x:c r="H945" s="48" t="str">
        <x:v>1室0厅1</x:v>
      </x:c>
      <x:c r="I945" s="48" t="str">
        <x:v>南</x:v>
      </x:c>
      <x:c r="J945" s="48" t="str">
        <x:v>精装</x:v>
      </x:c>
      <x:c r="K945" s="48" t="str">
        <x:v>普通住宅</x:v>
      </x:c>
      <x:c r="L945" s="48" t="str">
        <x:v>否</x:v>
      </x:c>
      <x:c r="M945" s="48" t="str">
        <x:v>疑似重复挂牌</x:v>
      </x:c>
      <x:c r="N945" s="48" t="str">
        <x:v>世濠大厦|1室0厅1|36|3080|南</x:v>
      </x:c>
      <x:c r="O945" s="48"/>
      <x:c r="P945" s="48" t="str">
        <x:v>未知（未逐条补齐）</x:v>
      </x:c>
      <x:c r="Q945" s="48" t="str">
        <x:v>https://shenzhen.leyoujia.com/zf/detail/WUmQeSvAkCCdm2M1AVedkz.html</x:v>
      </x:c>
      <x:c r="R945" s="48" t="str">
        <x:v>2026-08-13</x:v>
      </x:c>
    </x:row>
    <x:row r="946">
      <x:c r="A946" s="48" t="str">
        <x:v>世濠大厦</x:v>
      </x:c>
      <x:c r="B946" s="48" t="str">
        <x:v>世濠大厦</x:v>
      </x:c>
      <x:c r="C946" s="48" t="str">
        <x:v>晒布</x:v>
      </x:c>
      <x:c r="D946" s="56" t="n">
        <x:v>6.7</x:v>
      </x:c>
      <x:c r="E946" s="61" t="n">
        <x:v>3080</x:v>
      </x:c>
      <x:c r="F946" s="61" t="n">
        <x:v>35.68</x:v>
      </x:c>
      <x:c r="G946" s="61" t="n">
        <x:v>86.3</x:v>
      </x:c>
      <x:c r="H946" s="48" t="str">
        <x:v>1室0厅1</x:v>
      </x:c>
      <x:c r="I946" s="48" t="str">
        <x:v>西</x:v>
      </x:c>
      <x:c r="J946" s="48" t="str">
        <x:v>精装</x:v>
      </x:c>
      <x:c r="K946" s="48" t="str">
        <x:v>普通住宅</x:v>
      </x:c>
      <x:c r="L946" s="48" t="str">
        <x:v>否</x:v>
      </x:c>
      <x:c r="M946" s="48" t="str">
        <x:v>疑似重复挂牌</x:v>
      </x:c>
      <x:c r="N946" s="48" t="str">
        <x:v>世濠大厦|1室0厅1|36|3080|西</x:v>
      </x:c>
      <x:c r="O946" s="48"/>
      <x:c r="P946" s="48" t="str">
        <x:v>未知（未逐条补齐）</x:v>
      </x:c>
      <x:c r="Q946" s="48" t="str">
        <x:v>https://shenzhen.leyoujia.com/zf/detail/SXLBed4sTLainceKYfkujt.html</x:v>
      </x:c>
      <x:c r="R946" s="48" t="str">
        <x:v>2026-08-13</x:v>
      </x:c>
    </x:row>
    <x:row r="947">
      <x:c r="A947" s="48" t="str">
        <x:v>世濠大厦</x:v>
      </x:c>
      <x:c r="B947" s="48" t="str">
        <x:v>世濠大厦</x:v>
      </x:c>
      <x:c r="C947" s="48" t="str">
        <x:v>晒布</x:v>
      </x:c>
      <x:c r="D947" s="56" t="n">
        <x:v>6.7</x:v>
      </x:c>
      <x:c r="E947" s="61" t="n">
        <x:v>3080</x:v>
      </x:c>
      <x:c r="F947" s="61" t="n">
        <x:v>35.68</x:v>
      </x:c>
      <x:c r="G947" s="61" t="n">
        <x:v>86.3</x:v>
      </x:c>
      <x:c r="H947" s="48" t="str">
        <x:v>1室0厅1</x:v>
      </x:c>
      <x:c r="I947" s="48" t="str">
        <x:v>南</x:v>
      </x:c>
      <x:c r="J947" s="48" t="str">
        <x:v>精装</x:v>
      </x:c>
      <x:c r="K947" s="48" t="str">
        <x:v>公寓</x:v>
      </x:c>
      <x:c r="L947" s="48" t="str">
        <x:v>否</x:v>
      </x:c>
      <x:c r="M947" s="48" t="str">
        <x:v>疑似重复挂牌</x:v>
      </x:c>
      <x:c r="N947" s="48" t="str">
        <x:v>世濠大厦|1室0厅1|36|3080|南</x:v>
      </x:c>
      <x:c r="O947" s="48"/>
      <x:c r="P947" s="48" t="str">
        <x:v>未知（未逐条补齐）</x:v>
      </x:c>
      <x:c r="Q947" s="48" t="str">
        <x:v>https://shenzhen.leyoujia.com/zf/detail/XXGhyEH7JrPuZYtVWnaTqB.html</x:v>
      </x:c>
      <x:c r="R947" s="48" t="str">
        <x:v>2026-08-13</x:v>
      </x:c>
    </x:row>
    <x:row r="948">
      <x:c r="A948" s="48" t="str">
        <x:v>世濠大厦</x:v>
      </x:c>
      <x:c r="B948" s="48" t="str">
        <x:v>世濠大厦</x:v>
      </x:c>
      <x:c r="C948" s="48" t="str">
        <x:v>晒布</x:v>
      </x:c>
      <x:c r="D948" s="56" t="n">
        <x:v>6.7</x:v>
      </x:c>
      <x:c r="E948" s="61" t="n">
        <x:v>3080</x:v>
      </x:c>
      <x:c r="F948" s="61" t="n">
        <x:v>36.38</x:v>
      </x:c>
      <x:c r="G948" s="61" t="n">
        <x:v>84.7</x:v>
      </x:c>
      <x:c r="H948" s="48" t="str">
        <x:v>1室0厅1</x:v>
      </x:c>
      <x:c r="I948" s="48" t="str">
        <x:v>南</x:v>
      </x:c>
      <x:c r="J948" s="48" t="str">
        <x:v>精装</x:v>
      </x:c>
      <x:c r="K948" s="48" t="str">
        <x:v>普通住宅</x:v>
      </x:c>
      <x:c r="L948" s="48" t="str">
        <x:v>否</x:v>
      </x:c>
      <x:c r="M948" s="48" t="str">
        <x:v>疑似重复挂牌</x:v>
      </x:c>
      <x:c r="N948" s="48" t="str">
        <x:v>世濠大厦|1室0厅1|36|3080|南</x:v>
      </x:c>
      <x:c r="O948" s="48"/>
      <x:c r="P948" s="48" t="str">
        <x:v>未知（未逐条补齐）</x:v>
      </x:c>
      <x:c r="Q948" s="48" t="str">
        <x:v>https://shenzhen.leyoujia.com/zf/detail/5uH6LeUdXeygXY7RHGCTvP.html</x:v>
      </x:c>
      <x:c r="R948" s="48" t="str">
        <x:v>2026-08-13</x:v>
      </x:c>
    </x:row>
    <x:row r="949">
      <x:c r="A949" s="48" t="str">
        <x:v>世濠大厦</x:v>
      </x:c>
      <x:c r="B949" s="48" t="str">
        <x:v>世濠大厦</x:v>
      </x:c>
      <x:c r="C949" s="48" t="str">
        <x:v>晒布</x:v>
      </x:c>
      <x:c r="D949" s="56" t="n">
        <x:v>6.7</x:v>
      </x:c>
      <x:c r="E949" s="61" t="n">
        <x:v>3080</x:v>
      </x:c>
      <x:c r="F949" s="61" t="n">
        <x:v>35.68</x:v>
      </x:c>
      <x:c r="G949" s="61" t="n">
        <x:v>86.3</x:v>
      </x:c>
      <x:c r="H949" s="48" t="str">
        <x:v>1室0厅1</x:v>
      </x:c>
      <x:c r="I949" s="48" t="str">
        <x:v>东</x:v>
      </x:c>
      <x:c r="J949" s="48" t="str">
        <x:v>精装</x:v>
      </x:c>
      <x:c r="K949" s="48" t="str">
        <x:v>普通住宅</x:v>
      </x:c>
      <x:c r="L949" s="48" t="str">
        <x:v>否</x:v>
      </x:c>
      <x:c r="M949" s="48" t="str">
        <x:v>疑似重复挂牌</x:v>
      </x:c>
      <x:c r="N949" s="48" t="str">
        <x:v>世濠大厦|1室0厅1|36|3080|东</x:v>
      </x:c>
      <x:c r="O949" s="48"/>
      <x:c r="P949" s="48" t="str">
        <x:v>未知（未逐条补齐）</x:v>
      </x:c>
      <x:c r="Q949" s="48" t="str">
        <x:v>https://shenzhen.leyoujia.com/zf/detail/X9BaPysW1XbBAU1i2JUGAu.html</x:v>
      </x:c>
      <x:c r="R949" s="48" t="str">
        <x:v>2026-08-13</x:v>
      </x:c>
    </x:row>
    <x:row r="950">
      <x:c r="A950" s="48" t="str">
        <x:v>世濠大厦</x:v>
      </x:c>
      <x:c r="B950" s="48" t="str">
        <x:v>世濠大厦</x:v>
      </x:c>
      <x:c r="C950" s="48" t="str">
        <x:v>晒布</x:v>
      </x:c>
      <x:c r="D950" s="56" t="n">
        <x:v>6.7</x:v>
      </x:c>
      <x:c r="E950" s="61" t="n">
        <x:v>3080</x:v>
      </x:c>
      <x:c r="F950" s="61" t="n">
        <x:v>36.38</x:v>
      </x:c>
      <x:c r="G950" s="61" t="n">
        <x:v>84.7</x:v>
      </x:c>
      <x:c r="H950" s="48" t="str">
        <x:v>1室0厅1</x:v>
      </x:c>
      <x:c r="I950" s="48" t="str">
        <x:v>南</x:v>
      </x:c>
      <x:c r="J950" s="48" t="str">
        <x:v>精装</x:v>
      </x:c>
      <x:c r="K950" s="48" t="str">
        <x:v>普通住宅</x:v>
      </x:c>
      <x:c r="L950" s="48" t="str">
        <x:v>否</x:v>
      </x:c>
      <x:c r="M950" s="48" t="str">
        <x:v>疑似重复挂牌</x:v>
      </x:c>
      <x:c r="N950" s="48" t="str">
        <x:v>世濠大厦|1室0厅1|36|3080|南</x:v>
      </x:c>
      <x:c r="O950" s="48"/>
      <x:c r="P950" s="48" t="str">
        <x:v>未知（未逐条补齐）</x:v>
      </x:c>
      <x:c r="Q950" s="48" t="str">
        <x:v>https://shenzhen.leyoujia.com/zf/detail/UqHqxLrbfSvdBCHTWS3tnt.html</x:v>
      </x:c>
      <x:c r="R950" s="48" t="str">
        <x:v>2026-08-13</x:v>
      </x:c>
    </x:row>
    <x:row r="951">
      <x:c r="A951" s="48" t="str">
        <x:v>世濠大厦</x:v>
      </x:c>
      <x:c r="B951" s="48" t="str">
        <x:v>世濠大厦</x:v>
      </x:c>
      <x:c r="C951" s="48" t="str">
        <x:v>晒布</x:v>
      </x:c>
      <x:c r="D951" s="56" t="n">
        <x:v>6.7</x:v>
      </x:c>
      <x:c r="E951" s="61" t="n">
        <x:v>3080</x:v>
      </x:c>
      <x:c r="F951" s="61" t="n">
        <x:v>27</x:v>
      </x:c>
      <x:c r="G951" s="61" t="n">
        <x:v>114.1</x:v>
      </x:c>
      <x:c r="H951" s="48" t="str">
        <x:v>1室0厅1</x:v>
      </x:c>
      <x:c r="I951" s="48" t="str">
        <x:v>东</x:v>
      </x:c>
      <x:c r="J951" s="48" t="str">
        <x:v>普装</x:v>
      </x:c>
      <x:c r="K951" s="48" t="str">
        <x:v>普通住宅</x:v>
      </x:c>
      <x:c r="L951" s="48" t="str">
        <x:v>是</x:v>
      </x:c>
      <x:c r="M951" s="48" t="str">
        <x:v>保留</x:v>
      </x:c>
      <x:c r="N951" s="48" t="str">
        <x:v>世濠大厦|1室0厅1|27|3080|东</x:v>
      </x:c>
      <x:c r="O951" s="48"/>
      <x:c r="P951" s="48" t="str">
        <x:v>未知（未逐条补齐）</x:v>
      </x:c>
      <x:c r="Q951" s="48" t="str">
        <x:v>https://shenzhen.leyoujia.com/zf/detail/4KnER7yxwt1Zi1b3sEzVBC.html</x:v>
      </x:c>
      <x:c r="R951" s="48" t="str">
        <x:v>2026-08-13</x:v>
      </x:c>
    </x:row>
    <x:row r="952">
      <x:c r="A952" s="48" t="str">
        <x:v>世濠大厦</x:v>
      </x:c>
      <x:c r="B952" s="48" t="str">
        <x:v>世濠大厦</x:v>
      </x:c>
      <x:c r="C952" s="48" t="str">
        <x:v>晒布</x:v>
      </x:c>
      <x:c r="D952" s="56" t="n">
        <x:v>6.7</x:v>
      </x:c>
      <x:c r="E952" s="61" t="n">
        <x:v>3080</x:v>
      </x:c>
      <x:c r="F952" s="61" t="n">
        <x:v>35.68</x:v>
      </x:c>
      <x:c r="G952" s="61" t="n">
        <x:v>86.3</x:v>
      </x:c>
      <x:c r="H952" s="48" t="str">
        <x:v>1室0厅1</x:v>
      </x:c>
      <x:c r="I952" s="48" t="str">
        <x:v>南</x:v>
      </x:c>
      <x:c r="J952" s="48" t="str">
        <x:v>精装</x:v>
      </x:c>
      <x:c r="K952" s="48" t="str">
        <x:v>普通住宅</x:v>
      </x:c>
      <x:c r="L952" s="48" t="str">
        <x:v>否</x:v>
      </x:c>
      <x:c r="M952" s="48" t="str">
        <x:v>疑似重复挂牌</x:v>
      </x:c>
      <x:c r="N952" s="48" t="str">
        <x:v>世濠大厦|1室0厅1|36|3080|南</x:v>
      </x:c>
      <x:c r="O952" s="48"/>
      <x:c r="P952" s="48" t="str">
        <x:v>未知（未逐条补齐）</x:v>
      </x:c>
      <x:c r="Q952" s="48" t="str">
        <x:v>https://shenzhen.leyoujia.com/zf/detail/7Upcw3uxvdLi7HspgQ2YEN.html</x:v>
      </x:c>
      <x:c r="R952" s="48" t="str">
        <x:v>2026-08-13</x:v>
      </x:c>
    </x:row>
    <x:row r="953">
      <x:c r="A953" s="48" t="str">
        <x:v>世濠大厦</x:v>
      </x:c>
      <x:c r="B953" s="48" t="str">
        <x:v>世濠大厦</x:v>
      </x:c>
      <x:c r="C953" s="48" t="str">
        <x:v>晒布</x:v>
      </x:c>
      <x:c r="D953" s="56" t="n">
        <x:v>6.7</x:v>
      </x:c>
      <x:c r="E953" s="61" t="n">
        <x:v>3080</x:v>
      </x:c>
      <x:c r="F953" s="61" t="n">
        <x:v>36.38</x:v>
      </x:c>
      <x:c r="G953" s="61" t="n">
        <x:v>84.7</x:v>
      </x:c>
      <x:c r="H953" s="48" t="str">
        <x:v>1室0厅1</x:v>
      </x:c>
      <x:c r="I953" s="48" t="str">
        <x:v>东</x:v>
      </x:c>
      <x:c r="J953" s="48" t="str">
        <x:v>精装</x:v>
      </x:c>
      <x:c r="K953" s="48" t="str">
        <x:v>普通住宅</x:v>
      </x:c>
      <x:c r="L953" s="48" t="str">
        <x:v>否</x:v>
      </x:c>
      <x:c r="M953" s="48" t="str">
        <x:v>疑似重复挂牌</x:v>
      </x:c>
      <x:c r="N953" s="48" t="str">
        <x:v>世濠大厦|1室0厅1|36|3080|东</x:v>
      </x:c>
      <x:c r="O953" s="48"/>
      <x:c r="P953" s="48" t="str">
        <x:v>未知（未逐条补齐）</x:v>
      </x:c>
      <x:c r="Q953" s="48" t="str">
        <x:v>https://shenzhen.leyoujia.com/zf/detail/Unsb8R1KzXkjaFHjUccnym.html</x:v>
      </x:c>
      <x:c r="R953" s="48" t="str">
        <x:v>2026-08-13</x:v>
      </x:c>
    </x:row>
    <x:row r="954">
      <x:c r="A954" s="48" t="str">
        <x:v>世濠大厦</x:v>
      </x:c>
      <x:c r="B954" s="48" t="str">
        <x:v>世濠大厦</x:v>
      </x:c>
      <x:c r="C954" s="48" t="str">
        <x:v>晒布</x:v>
      </x:c>
      <x:c r="D954" s="56" t="n">
        <x:v>6.7</x:v>
      </x:c>
      <x:c r="E954" s="61" t="n">
        <x:v>3280</x:v>
      </x:c>
      <x:c r="F954" s="61" t="n">
        <x:v>24.15</x:v>
      </x:c>
      <x:c r="G954" s="61" t="n">
        <x:v>135.8</x:v>
      </x:c>
      <x:c r="H954" s="48" t="str">
        <x:v>1室0厅1</x:v>
      </x:c>
      <x:c r="I954" s="48" t="str">
        <x:v>南</x:v>
      </x:c>
      <x:c r="J954" s="48" t="str">
        <x:v>普装</x:v>
      </x:c>
      <x:c r="K954" s="48" t="str">
        <x:v>普通住宅</x:v>
      </x:c>
      <x:c r="L954" s="48" t="str">
        <x:v>否</x:v>
      </x:c>
      <x:c r="M954" s="48" t="str">
        <x:v>异常高价</x:v>
      </x:c>
      <x:c r="N954" s="48" t="str">
        <x:v>世濠大厦|1室0厅1|24|3280|南</x:v>
      </x:c>
      <x:c r="O954" s="48"/>
      <x:c r="P954" s="48" t="str">
        <x:v>未知（未逐条补齐）</x:v>
      </x:c>
      <x:c r="Q954" s="48" t="str">
        <x:v>https://shenzhen.leyoujia.com/zf/detail/AgWSsbJ4kSoqYxRxGffKxx.html</x:v>
      </x:c>
      <x:c r="R954" s="48" t="str">
        <x:v>2026-08-13</x:v>
      </x:c>
    </x:row>
    <x:row r="955">
      <x:c r="A955" s="48" t="str">
        <x:v>世濠大厦</x:v>
      </x:c>
      <x:c r="B955" s="48" t="str">
        <x:v>世濠大厦</x:v>
      </x:c>
      <x:c r="C955" s="48" t="str">
        <x:v>晒布</x:v>
      </x:c>
      <x:c r="D955" s="56" t="n">
        <x:v>6.7</x:v>
      </x:c>
      <x:c r="E955" s="61" t="n">
        <x:v>3625</x:v>
      </x:c>
      <x:c r="F955" s="61" t="n">
        <x:v>33</x:v>
      </x:c>
      <x:c r="G955" s="61" t="n">
        <x:v>109.8</x:v>
      </x:c>
      <x:c r="H955" s="48" t="str">
        <x:v>1室0厅1</x:v>
      </x:c>
      <x:c r="I955" s="48" t="str">
        <x:v>南</x:v>
      </x:c>
      <x:c r="J955" s="48" t="str">
        <x:v>普装</x:v>
      </x:c>
      <x:c r="K955" s="48" t="str">
        <x:v>普通住宅</x:v>
      </x:c>
      <x:c r="L955" s="48" t="str">
        <x:v>否</x:v>
      </x:c>
      <x:c r="M955" s="48" t="str">
        <x:v>异常高价</x:v>
      </x:c>
      <x:c r="N955" s="48" t="str">
        <x:v>世濠大厦|1室0厅1|33|3625|南</x:v>
      </x:c>
      <x:c r="O955" s="48"/>
      <x:c r="P955" s="48" t="str">
        <x:v>未知（未逐条补齐）</x:v>
      </x:c>
      <x:c r="Q955" s="48" t="str">
        <x:v>https://shenzhen.leyoujia.com/zf/detail/71a5K7TYDMgCPiDohWMDof.html</x:v>
      </x:c>
      <x:c r="R955" s="48" t="str">
        <x:v>2026-08-13</x:v>
      </x:c>
    </x:row>
    <x:row r="956">
      <x:c r="A956" s="48" t="str">
        <x:v>世濠大厦</x:v>
      </x:c>
      <x:c r="B956" s="48" t="str">
        <x:v>世濠大厦</x:v>
      </x:c>
      <x:c r="C956" s="48" t="str">
        <x:v>晒布</x:v>
      </x:c>
      <x:c r="D956" s="56" t="n">
        <x:v>6.7</x:v>
      </x:c>
      <x:c r="E956" s="61" t="n">
        <x:v>3625</x:v>
      </x:c>
      <x:c r="F956" s="61" t="n">
        <x:v>33</x:v>
      </x:c>
      <x:c r="G956" s="61" t="n">
        <x:v>109.8</x:v>
      </x:c>
      <x:c r="H956" s="48" t="str">
        <x:v>1室0厅1</x:v>
      </x:c>
      <x:c r="I956" s="48" t="str">
        <x:v>南</x:v>
      </x:c>
      <x:c r="J956" s="48" t="str">
        <x:v>普装</x:v>
      </x:c>
      <x:c r="K956" s="48" t="str">
        <x:v>普通住宅</x:v>
      </x:c>
      <x:c r="L956" s="48" t="str">
        <x:v>否</x:v>
      </x:c>
      <x:c r="M956" s="48" t="str">
        <x:v>疑似重复挂牌；异常高价</x:v>
      </x:c>
      <x:c r="N956" s="48" t="str">
        <x:v>世濠大厦|1室0厅1|33|3625|南</x:v>
      </x:c>
      <x:c r="O956" s="48"/>
      <x:c r="P956" s="48" t="str">
        <x:v>未知（未逐条补齐）</x:v>
      </x:c>
      <x:c r="Q956" s="48" t="str">
        <x:v>https://shenzhen.leyoujia.com/zf/detail/JXbiAhiYx4AD6BUXnF5f2x.html</x:v>
      </x:c>
      <x:c r="R956" s="48" t="str">
        <x:v>2026-08-13</x:v>
      </x:c>
    </x:row>
    <x:row r="957">
      <x:c r="A957" s="48" t="str">
        <x:v>世濠大厦</x:v>
      </x:c>
      <x:c r="B957" s="48" t="str">
        <x:v>世濠大厦</x:v>
      </x:c>
      <x:c r="C957" s="48" t="str">
        <x:v>晒布</x:v>
      </x:c>
      <x:c r="D957" s="56" t="n">
        <x:v>6.7</x:v>
      </x:c>
      <x:c r="E957" s="61" t="n">
        <x:v>3680</x:v>
      </x:c>
      <x:c r="F957" s="61" t="n">
        <x:v>32.24</x:v>
      </x:c>
      <x:c r="G957" s="61" t="n">
        <x:v>114.1</x:v>
      </x:c>
      <x:c r="H957" s="48" t="str">
        <x:v>1室0厅1</x:v>
      </x:c>
      <x:c r="I957" s="48" t="str">
        <x:v>西南</x:v>
      </x:c>
      <x:c r="J957" s="48" t="str">
        <x:v>普装</x:v>
      </x:c>
      <x:c r="K957" s="48" t="str">
        <x:v>普通住宅</x:v>
      </x:c>
      <x:c r="L957" s="48" t="str">
        <x:v>否</x:v>
      </x:c>
      <x:c r="M957" s="48" t="str">
        <x:v>异常高价</x:v>
      </x:c>
      <x:c r="N957" s="48" t="str">
        <x:v>世濠大厦|1室0厅1|32|3680|西南</x:v>
      </x:c>
      <x:c r="O957" s="48"/>
      <x:c r="P957" s="48" t="str">
        <x:v>未知（未逐条补齐）</x:v>
      </x:c>
      <x:c r="Q957" s="48" t="str">
        <x:v>https://shenzhen.leyoujia.com/zf/detail/RjACvgXuevy7Wm8iFbK9vK.html</x:v>
      </x:c>
      <x:c r="R957" s="48" t="str">
        <x:v>2026-08-13</x:v>
      </x:c>
    </x:row>
    <x:row r="958">
      <x:c r="A958" s="48" t="str">
        <x:v>都心名苑</x:v>
      </x:c>
      <x:c r="B958" s="48" t="str">
        <x:v>都心名苑</x:v>
      </x:c>
      <x:c r="C958" s="48" t="str">
        <x:v>晒布</x:v>
      </x:c>
      <x:c r="D958" s="56" t="n">
        <x:v>7.9</x:v>
      </x:c>
      <x:c r="E958" s="61" t="n">
        <x:v>3900</x:v>
      </x:c>
      <x:c r="F958" s="61" t="n">
        <x:v>40.01</x:v>
      </x:c>
      <x:c r="G958" s="61" t="n">
        <x:v>97.5</x:v>
      </x:c>
      <x:c r="H958" s="48" t="str">
        <x:v>1室1厅1</x:v>
      </x:c>
      <x:c r="I958" s="48" t="str">
        <x:v>南</x:v>
      </x:c>
      <x:c r="J958" s="48" t="str">
        <x:v>精装</x:v>
      </x:c>
      <x:c r="K958" s="48" t="str">
        <x:v>普通住宅</x:v>
      </x:c>
      <x:c r="L958" s="48" t="str">
        <x:v>是</x:v>
      </x:c>
      <x:c r="M958" s="48" t="str">
        <x:v>保留</x:v>
      </x:c>
      <x:c r="N958" s="48" t="str">
        <x:v>都心名苑|1室1厅1|40|3900|南</x:v>
      </x:c>
      <x:c r="O958" s="48"/>
      <x:c r="P958" s="48" t="str">
        <x:v>未知（未逐条补齐）</x:v>
      </x:c>
      <x:c r="Q958" s="48" t="str">
        <x:v>https://shenzhen.leyoujia.com/zf/detail/MFcFzd8kfdqHpv44A53V3f.html</x:v>
      </x:c>
      <x:c r="R958" s="48" t="str">
        <x:v>2026-08-13</x:v>
      </x:c>
    </x:row>
    <x:row r="959">
      <x:c r="A959" s="48" t="str">
        <x:v>都心名苑</x:v>
      </x:c>
      <x:c r="B959" s="48" t="str">
        <x:v>都心名苑</x:v>
      </x:c>
      <x:c r="C959" s="48" t="str">
        <x:v>晒布</x:v>
      </x:c>
      <x:c r="D959" s="56" t="n">
        <x:v>7.9</x:v>
      </x:c>
      <x:c r="E959" s="61" t="n">
        <x:v>4500</x:v>
      </x:c>
      <x:c r="F959" s="61" t="n">
        <x:v>41</x:v>
      </x:c>
      <x:c r="G959" s="61" t="n">
        <x:v>109.8</x:v>
      </x:c>
      <x:c r="H959" s="48" t="str">
        <x:v>1室1厅1</x:v>
      </x:c>
      <x:c r="I959" s="48" t="str">
        <x:v>北</x:v>
      </x:c>
      <x:c r="J959" s="48" t="str">
        <x:v>精装</x:v>
      </x:c>
      <x:c r="K959" s="48" t="str">
        <x:v>普通住宅</x:v>
      </x:c>
      <x:c r="L959" s="48" t="str">
        <x:v>是</x:v>
      </x:c>
      <x:c r="M959" s="48" t="str">
        <x:v>保留</x:v>
      </x:c>
      <x:c r="N959" s="48" t="str">
        <x:v>都心名苑|1室1厅1|41|4500|北</x:v>
      </x:c>
      <x:c r="O959" s="48"/>
      <x:c r="P959" s="48" t="str">
        <x:v>未知（未逐条补齐）</x:v>
      </x:c>
      <x:c r="Q959" s="48" t="str">
        <x:v>https://shenzhen.leyoujia.com/zf/detail/EFdWmoJuWKeETkE8dDJiko.html</x:v>
      </x:c>
      <x:c r="R959" s="48" t="str">
        <x:v>2026-08-13</x:v>
      </x:c>
    </x:row>
    <x:row r="960">
      <x:c r="A960" s="48" t="str">
        <x:v>好年华大厦</x:v>
      </x:c>
      <x:c r="B960" s="48" t="str">
        <x:v>好年华大厦</x:v>
      </x:c>
      <x:c r="C960" s="48" t="str">
        <x:v>晒布</x:v>
      </x:c>
      <x:c r="D960" s="56" t="n">
        <x:v>7</x:v>
      </x:c>
      <x:c r="E960" s="61" t="n">
        <x:v>2800</x:v>
      </x:c>
      <x:c r="F960" s="61" t="n">
        <x:v>29.04</x:v>
      </x:c>
      <x:c r="G960" s="61" t="n">
        <x:v>96.4</x:v>
      </x:c>
      <x:c r="H960" s="48" t="str">
        <x:v>1室1厅1</x:v>
      </x:c>
      <x:c r="I960" s="48" t="str">
        <x:v>东北</x:v>
      </x:c>
      <x:c r="J960" s="48" t="str">
        <x:v>精装</x:v>
      </x:c>
      <x:c r="K960" s="48" t="str">
        <x:v>普通住宅</x:v>
      </x:c>
      <x:c r="L960" s="48" t="str">
        <x:v>是</x:v>
      </x:c>
      <x:c r="M960" s="48" t="str">
        <x:v>保留</x:v>
      </x:c>
      <x:c r="N960" s="48" t="str">
        <x:v>好年华大厦|1室1厅1|29|2800|东北</x:v>
      </x:c>
      <x:c r="O960" s="48"/>
      <x:c r="P960" s="48" t="str">
        <x:v>未知（未逐条补齐）</x:v>
      </x:c>
      <x:c r="Q960" s="48" t="str">
        <x:v>https://shenzhen.leyoujia.com/zf/detail/XkqMra5EvLAnBUYDkE5F7C.html</x:v>
      </x:c>
      <x:c r="R960" s="48" t="str">
        <x:v>2026-08-13</x:v>
      </x:c>
    </x:row>
    <x:row r="961">
      <x:c r="A961" s="48" t="str">
        <x:v>好年华大厦</x:v>
      </x:c>
      <x:c r="B961" s="48" t="str">
        <x:v>好年华大厦</x:v>
      </x:c>
      <x:c r="C961" s="48" t="str">
        <x:v>晒布</x:v>
      </x:c>
      <x:c r="D961" s="56" t="n">
        <x:v>7</x:v>
      </x:c>
      <x:c r="E961" s="61" t="n">
        <x:v>2800</x:v>
      </x:c>
      <x:c r="F961" s="61" t="n">
        <x:v>28.35</x:v>
      </x:c>
      <x:c r="G961" s="61" t="n">
        <x:v>98.8</x:v>
      </x:c>
      <x:c r="H961" s="48" t="str">
        <x:v>1室0厅1</x:v>
      </x:c>
      <x:c r="I961" s="48" t="str">
        <x:v>东</x:v>
      </x:c>
      <x:c r="J961" s="48" t="str">
        <x:v>普装</x:v>
      </x:c>
      <x:c r="K961" s="48" t="str">
        <x:v>普通住宅</x:v>
      </x:c>
      <x:c r="L961" s="48" t="str">
        <x:v>是</x:v>
      </x:c>
      <x:c r="M961" s="48" t="str">
        <x:v>保留</x:v>
      </x:c>
      <x:c r="N961" s="48" t="str">
        <x:v>好年华大厦|1室0厅1|28|2800|东</x:v>
      </x:c>
      <x:c r="O961" s="48"/>
      <x:c r="P961" s="48" t="str">
        <x:v>未知（未逐条补齐）</x:v>
      </x:c>
      <x:c r="Q961" s="48" t="str">
        <x:v>https://shenzhen.leyoujia.com/zf/detail/4HFQJezQ8xZcGHRwFfg3NK.html</x:v>
      </x:c>
      <x:c r="R961" s="48" t="str">
        <x:v>2026-08-13</x:v>
      </x:c>
    </x:row>
    <x:row r="962">
      <x:c r="A962" s="48" t="str">
        <x:v>好年华大厦</x:v>
      </x:c>
      <x:c r="B962" s="48" t="str">
        <x:v>好年华大厦</x:v>
      </x:c>
      <x:c r="C962" s="48" t="str">
        <x:v>晒布</x:v>
      </x:c>
      <x:c r="D962" s="56" t="n">
        <x:v>7</x:v>
      </x:c>
      <x:c r="E962" s="61" t="n">
        <x:v>3000</x:v>
      </x:c>
      <x:c r="F962" s="61" t="n">
        <x:v>35.14</x:v>
      </x:c>
      <x:c r="G962" s="61" t="n">
        <x:v>85.4</x:v>
      </x:c>
      <x:c r="H962" s="48" t="str">
        <x:v>1室0厅1</x:v>
      </x:c>
      <x:c r="I962" s="48" t="str">
        <x:v>北</x:v>
      </x:c>
      <x:c r="J962" s="48" t="str">
        <x:v>普装</x:v>
      </x:c>
      <x:c r="K962" s="48" t="str">
        <x:v>普通住宅</x:v>
      </x:c>
      <x:c r="L962" s="48" t="str">
        <x:v>是</x:v>
      </x:c>
      <x:c r="M962" s="48" t="str">
        <x:v>保留</x:v>
      </x:c>
      <x:c r="N962" s="48" t="str">
        <x:v>好年华大厦|1室0厅1|35|3000|北</x:v>
      </x:c>
      <x:c r="O962" s="48"/>
      <x:c r="P962" s="48" t="str">
        <x:v>未知（未逐条补齐）</x:v>
      </x:c>
      <x:c r="Q962" s="48" t="str">
        <x:v>https://shenzhen.leyoujia.com/zf/detail/5eDZDhPqrRDH5KcrgMjftB.html</x:v>
      </x:c>
      <x:c r="R962" s="48" t="str">
        <x:v>2026-08-13</x:v>
      </x:c>
    </x:row>
    <x:row r="963">
      <x:c r="A963" s="48" t="str">
        <x:v>好年华大厦</x:v>
      </x:c>
      <x:c r="B963" s="48" t="str">
        <x:v>好年华大厦</x:v>
      </x:c>
      <x:c r="C963" s="48" t="str">
        <x:v>晒布</x:v>
      </x:c>
      <x:c r="D963" s="56" t="n">
        <x:v>7</x:v>
      </x:c>
      <x:c r="E963" s="61" t="n">
        <x:v>3200</x:v>
      </x:c>
      <x:c r="F963" s="61" t="n">
        <x:v>33.11</x:v>
      </x:c>
      <x:c r="G963" s="61" t="n">
        <x:v>96.6</x:v>
      </x:c>
      <x:c r="H963" s="48" t="str">
        <x:v>1室0厅1</x:v>
      </x:c>
      <x:c r="I963" s="48" t="str">
        <x:v>西南</x:v>
      </x:c>
      <x:c r="J963" s="48" t="str">
        <x:v>普装</x:v>
      </x:c>
      <x:c r="K963" s="48" t="str">
        <x:v>普通住宅</x:v>
      </x:c>
      <x:c r="L963" s="48" t="str">
        <x:v>是</x:v>
      </x:c>
      <x:c r="M963" s="48" t="str">
        <x:v>保留</x:v>
      </x:c>
      <x:c r="N963" s="48" t="str">
        <x:v>好年华大厦|1室0厅1|33|3200|西南</x:v>
      </x:c>
      <x:c r="O963" s="48"/>
      <x:c r="P963" s="48" t="str">
        <x:v>未知（未逐条补齐）</x:v>
      </x:c>
      <x:c r="Q963" s="48" t="str">
        <x:v>https://shenzhen.leyoujia.com/zf/detail/VK9VjFVw9iwXB6jFe2LvGk.html</x:v>
      </x:c>
      <x:c r="R963" s="48" t="str">
        <x:v>2026-08-13</x:v>
      </x:c>
    </x:row>
    <x:row r="964">
      <x:c r="A964" s="48" t="str">
        <x:v>好年华大厦</x:v>
      </x:c>
      <x:c r="B964" s="48" t="str">
        <x:v>好年华大厦</x:v>
      </x:c>
      <x:c r="C964" s="48" t="str">
        <x:v>晒布</x:v>
      </x:c>
      <x:c r="D964" s="56" t="n">
        <x:v>7</x:v>
      </x:c>
      <x:c r="E964" s="61" t="n">
        <x:v>3300</x:v>
      </x:c>
      <x:c r="F964" s="61" t="n">
        <x:v>29.62</x:v>
      </x:c>
      <x:c r="G964" s="61" t="n">
        <x:v>111.4</x:v>
      </x:c>
      <x:c r="H964" s="48" t="str">
        <x:v>1室0厅1</x:v>
      </x:c>
      <x:c r="I964" s="48" t="str">
        <x:v>西</x:v>
      </x:c>
      <x:c r="J964" s="48" t="str">
        <x:v>精装</x:v>
      </x:c>
      <x:c r="K964" s="48" t="str">
        <x:v>普通住宅</x:v>
      </x:c>
      <x:c r="L964" s="48" t="str">
        <x:v>是</x:v>
      </x:c>
      <x:c r="M964" s="48" t="str">
        <x:v>保留</x:v>
      </x:c>
      <x:c r="N964" s="48" t="str">
        <x:v>好年华大厦|1室0厅1|30|3300|西</x:v>
      </x:c>
      <x:c r="O964" s="48"/>
      <x:c r="P964" s="48" t="str">
        <x:v>未知（未逐条补齐）</x:v>
      </x:c>
      <x:c r="Q964" s="48" t="str">
        <x:v>https://shenzhen.leyoujia.com/zf/detail/4tes2MtsRMiuwygM2qDm4j.html</x:v>
      </x:c>
      <x:c r="R964" s="48" t="str">
        <x:v>2026-08-13</x:v>
      </x:c>
    </x:row>
    <x:row r="965">
      <x:c r="A965" s="48" t="str">
        <x:v>好年华大厦</x:v>
      </x:c>
      <x:c r="B965" s="48" t="str">
        <x:v>好年华大厦</x:v>
      </x:c>
      <x:c r="C965" s="48" t="str">
        <x:v>晒布</x:v>
      </x:c>
      <x:c r="D965" s="56" t="n">
        <x:v>7</x:v>
      </x:c>
      <x:c r="E965" s="61" t="n">
        <x:v>3400</x:v>
      </x:c>
      <x:c r="F965" s="61" t="n">
        <x:v>34.13</x:v>
      </x:c>
      <x:c r="G965" s="61" t="n">
        <x:v>99.6</x:v>
      </x:c>
      <x:c r="H965" s="48" t="str">
        <x:v>1室1厅1</x:v>
      </x:c>
      <x:c r="I965" s="48" t="str">
        <x:v>西南</x:v>
      </x:c>
      <x:c r="J965" s="48" t="str">
        <x:v>精装</x:v>
      </x:c>
      <x:c r="K965" s="48" t="str">
        <x:v>普通住宅</x:v>
      </x:c>
      <x:c r="L965" s="48" t="str">
        <x:v>是</x:v>
      </x:c>
      <x:c r="M965" s="48" t="str">
        <x:v>保留</x:v>
      </x:c>
      <x:c r="N965" s="48" t="str">
        <x:v>好年华大厦|1室1厅1|34|3400|西南</x:v>
      </x:c>
      <x:c r="O965" s="48"/>
      <x:c r="P965" s="48" t="str">
        <x:v>未知（未逐条补齐）</x:v>
      </x:c>
      <x:c r="Q965" s="48" t="str">
        <x:v>https://shenzhen.leyoujia.com/zf/detail/4d5h5swG9uKmvuivyKnZ1n.html</x:v>
      </x:c>
      <x:c r="R965" s="48" t="str">
        <x:v>2026-08-13</x:v>
      </x:c>
    </x:row>
    <x:row r="966">
      <x:c r="A966" s="48" t="str">
        <x:v>好年华大厦</x:v>
      </x:c>
      <x:c r="B966" s="48" t="str">
        <x:v>好年华大厦</x:v>
      </x:c>
      <x:c r="C966" s="48" t="str">
        <x:v>晒布</x:v>
      </x:c>
      <x:c r="D966" s="56" t="n">
        <x:v>7</x:v>
      </x:c>
      <x:c r="E966" s="61" t="n">
        <x:v>3500</x:v>
      </x:c>
      <x:c r="F966" s="61" t="n">
        <x:v>44.95</x:v>
      </x:c>
      <x:c r="G966" s="61" t="n">
        <x:v>77.9</x:v>
      </x:c>
      <x:c r="H966" s="48" t="str">
        <x:v>1室0厅1</x:v>
      </x:c>
      <x:c r="I966" s="48" t="str">
        <x:v>东</x:v>
      </x:c>
      <x:c r="J966" s="48" t="str">
        <x:v>精装</x:v>
      </x:c>
      <x:c r="K966" s="48" t="str">
        <x:v>普通住宅</x:v>
      </x:c>
      <x:c r="L966" s="48" t="str">
        <x:v>是</x:v>
      </x:c>
      <x:c r="M966" s="48" t="str">
        <x:v>保留</x:v>
      </x:c>
      <x:c r="N966" s="48" t="str">
        <x:v>好年华大厦|1室0厅1|45|3500|东</x:v>
      </x:c>
      <x:c r="O966" s="48"/>
      <x:c r="P966" s="48" t="str">
        <x:v>未知（未逐条补齐）</x:v>
      </x:c>
      <x:c r="Q966" s="48" t="str">
        <x:v>https://shenzhen.leyoujia.com/zf/detail/QLwTwfzV8hne6or1A4SL4T.html</x:v>
      </x:c>
      <x:c r="R966" s="48" t="str">
        <x:v>2026-08-13</x:v>
      </x:c>
    </x:row>
    <x:row r="967">
      <x:c r="A967" s="48" t="str">
        <x:v>好年华大厦</x:v>
      </x:c>
      <x:c r="B967" s="48" t="str">
        <x:v>好年华大厦</x:v>
      </x:c>
      <x:c r="C967" s="48" t="str">
        <x:v>晒布</x:v>
      </x:c>
      <x:c r="D967" s="56" t="n">
        <x:v>7</x:v>
      </x:c>
      <x:c r="E967" s="61" t="n">
        <x:v>3600</x:v>
      </x:c>
      <x:c r="F967" s="61" t="n">
        <x:v>37.5</x:v>
      </x:c>
      <x:c r="G967" s="61" t="n">
        <x:v>96</x:v>
      </x:c>
      <x:c r="H967" s="48" t="str">
        <x:v>1室1厅1</x:v>
      </x:c>
      <x:c r="I967" s="48" t="str">
        <x:v>西南</x:v>
      </x:c>
      <x:c r="J967" s="48" t="str">
        <x:v>普装</x:v>
      </x:c>
      <x:c r="K967" s="48" t="str">
        <x:v>普通住宅</x:v>
      </x:c>
      <x:c r="L967" s="48" t="str">
        <x:v>是</x:v>
      </x:c>
      <x:c r="M967" s="48" t="str">
        <x:v>保留</x:v>
      </x:c>
      <x:c r="N967" s="48" t="str">
        <x:v>好年华大厦|1室1厅1|38|3600|西南</x:v>
      </x:c>
      <x:c r="O967" s="48"/>
      <x:c r="P967" s="48" t="str">
        <x:v>未知（未逐条补齐）</x:v>
      </x:c>
      <x:c r="Q967" s="48" t="str">
        <x:v>https://shenzhen.leyoujia.com/zf/detail/TmJCaMtphRs5ga7VJ7jCgn.html</x:v>
      </x:c>
      <x:c r="R967" s="48" t="str">
        <x:v>2026-08-13</x:v>
      </x:c>
    </x:row>
    <x:row r="968">
      <x:c r="A968" s="48" t="str">
        <x:v>好年华大厦</x:v>
      </x:c>
      <x:c r="B968" s="48" t="str">
        <x:v>好年华大厦</x:v>
      </x:c>
      <x:c r="C968" s="48" t="str">
        <x:v>晒布</x:v>
      </x:c>
      <x:c r="D968" s="56" t="n">
        <x:v>7</x:v>
      </x:c>
      <x:c r="E968" s="61" t="n">
        <x:v>3800</x:v>
      </x:c>
      <x:c r="F968" s="61" t="n">
        <x:v>33.11</x:v>
      </x:c>
      <x:c r="G968" s="61" t="n">
        <x:v>114.8</x:v>
      </x:c>
      <x:c r="H968" s="48" t="str">
        <x:v>1室0厅1</x:v>
      </x:c>
      <x:c r="I968" s="48" t="str">
        <x:v>西南</x:v>
      </x:c>
      <x:c r="J968" s="48" t="str">
        <x:v>精装</x:v>
      </x:c>
      <x:c r="K968" s="48" t="str">
        <x:v>普通住宅</x:v>
      </x:c>
      <x:c r="L968" s="48" t="str">
        <x:v>是</x:v>
      </x:c>
      <x:c r="M968" s="48" t="str">
        <x:v>保留</x:v>
      </x:c>
      <x:c r="N968" s="48" t="str">
        <x:v>好年华大厦|1室0厅1|33|3800|西南</x:v>
      </x:c>
      <x:c r="O968" s="48"/>
      <x:c r="P968" s="48" t="str">
        <x:v>未知（未逐条补齐）</x:v>
      </x:c>
      <x:c r="Q968" s="48" t="str">
        <x:v>https://shenzhen.leyoujia.com/zf/detail/JYp14M3LD6aR17V6ghp1Ds.html</x:v>
      </x:c>
      <x:c r="R968" s="48" t="str">
        <x:v>2026-08-13</x:v>
      </x:c>
    </x:row>
    <x:row r="969">
      <x:c r="A969" s="48" t="str">
        <x:v>好年华大厦</x:v>
      </x:c>
      <x:c r="B969" s="48" t="str">
        <x:v>好年华大厦</x:v>
      </x:c>
      <x:c r="C969" s="48" t="str">
        <x:v>晒布</x:v>
      </x:c>
      <x:c r="D969" s="56" t="n">
        <x:v>7</x:v>
      </x:c>
      <x:c r="E969" s="61" t="n">
        <x:v>4000</x:v>
      </x:c>
      <x:c r="F969" s="61" t="n">
        <x:v>37</x:v>
      </x:c>
      <x:c r="G969" s="61" t="n">
        <x:v>108.1</x:v>
      </x:c>
      <x:c r="H969" s="48" t="str">
        <x:v>1室1厅1</x:v>
      </x:c>
      <x:c r="I969" s="48" t="str">
        <x:v>东北</x:v>
      </x:c>
      <x:c r="J969" s="48" t="str">
        <x:v>普装</x:v>
      </x:c>
      <x:c r="K969" s="48" t="str">
        <x:v>普通住宅</x:v>
      </x:c>
      <x:c r="L969" s="48" t="str">
        <x:v>是</x:v>
      </x:c>
      <x:c r="M969" s="48" t="str">
        <x:v>保留</x:v>
      </x:c>
      <x:c r="N969" s="48" t="str">
        <x:v>好年华大厦|1室1厅1|37|4000|东北</x:v>
      </x:c>
      <x:c r="O969" s="48"/>
      <x:c r="P969" s="48" t="str">
        <x:v>未知（未逐条补齐）</x:v>
      </x:c>
      <x:c r="Q969" s="48" t="str">
        <x:v>https://shenzhen.leyoujia.com/zf/detail/6c3Fpn9GR26n7cA7iRV2zK.html</x:v>
      </x:c>
      <x:c r="R969" s="48" t="str">
        <x:v>2026-08-13</x:v>
      </x:c>
    </x:row>
    <x:row r="970">
      <x:c r="A970" s="48" t="str">
        <x:v>好年华大厦</x:v>
      </x:c>
      <x:c r="B970" s="48" t="str">
        <x:v>好年华大厦</x:v>
      </x:c>
      <x:c r="C970" s="48" t="str">
        <x:v>晒布</x:v>
      </x:c>
      <x:c r="D970" s="56" t="n">
        <x:v>7</x:v>
      </x:c>
      <x:c r="E970" s="61" t="n">
        <x:v>4700</x:v>
      </x:c>
      <x:c r="F970" s="61" t="n">
        <x:v>37.38</x:v>
      </x:c>
      <x:c r="G970" s="61" t="n">
        <x:v>125.7</x:v>
      </x:c>
      <x:c r="H970" s="48" t="str">
        <x:v>1室1厅1</x:v>
      </x:c>
      <x:c r="I970" s="48" t="str">
        <x:v>西南</x:v>
      </x:c>
      <x:c r="J970" s="48" t="str">
        <x:v>精装</x:v>
      </x:c>
      <x:c r="K970" s="48" t="str">
        <x:v>普通住宅</x:v>
      </x:c>
      <x:c r="L970" s="48" t="str">
        <x:v>否</x:v>
      </x:c>
      <x:c r="M970" s="48" t="str">
        <x:v>异常高价</x:v>
      </x:c>
      <x:c r="N970" s="48" t="str">
        <x:v>好年华大厦|1室1厅1|37|4700|西南</x:v>
      </x:c>
      <x:c r="O970" s="48"/>
      <x:c r="P970" s="48" t="str">
        <x:v>未知（未逐条补齐）</x:v>
      </x:c>
      <x:c r="Q970" s="48" t="str">
        <x:v>https://shenzhen.leyoujia.com/zf/detail/ERfqDcbw2NaFTyhPDiCEJN.html</x:v>
      </x:c>
      <x:c r="R970" s="48" t="str">
        <x:v>2026-08-13</x:v>
      </x:c>
    </x:row>
    <x:row r="971">
      <x:c r="A971" s="48" t="str">
        <x:v>缤纷时代家园</x:v>
      </x:c>
      <x:c r="B971" s="48" t="str">
        <x:v>缤纷时代家园</x:v>
      </x:c>
      <x:c r="C971" s="48" t="str">
        <x:v>晒布</x:v>
      </x:c>
      <x:c r="D971" s="56" t="n">
        <x:v>6.2</x:v>
      </x:c>
      <x:c r="E971" s="61" t="n">
        <x:v>3300</x:v>
      </x:c>
      <x:c r="F971" s="61" t="n">
        <x:v>25.83</x:v>
      </x:c>
      <x:c r="G971" s="61" t="n">
        <x:v>127.8</x:v>
      </x:c>
      <x:c r="H971" s="48" t="str">
        <x:v>1室0厅1</x:v>
      </x:c>
      <x:c r="I971" s="48" t="str">
        <x:v>西北</x:v>
      </x:c>
      <x:c r="J971" s="48" t="str">
        <x:v>普装</x:v>
      </x:c>
      <x:c r="K971" s="48" t="str">
        <x:v>普通住宅</x:v>
      </x:c>
      <x:c r="L971" s="48" t="str">
        <x:v>是</x:v>
      </x:c>
      <x:c r="M971" s="48" t="str">
        <x:v>保留</x:v>
      </x:c>
      <x:c r="N971" s="48" t="str">
        <x:v>缤纷时代家园|1室0厅1|26|3300|西北</x:v>
      </x:c>
      <x:c r="O971" s="48"/>
      <x:c r="P971" s="48" t="str">
        <x:v>未知（未逐条补齐）</x:v>
      </x:c>
      <x:c r="Q971" s="48" t="str">
        <x:v>https://shenzhen.leyoujia.com/zf/detail/QwrRZBrNJUfP7KYb76dsns.html</x:v>
      </x:c>
      <x:c r="R971" s="48" t="str">
        <x:v>2026-08-13</x:v>
      </x:c>
    </x:row>
    <x:row r="972">
      <x:c r="A972" s="48" t="str">
        <x:v>缤纷时代家园</x:v>
      </x:c>
      <x:c r="B972" s="48" t="str">
        <x:v>缤纷时代家园</x:v>
      </x:c>
      <x:c r="C972" s="48" t="str">
        <x:v>晒布</x:v>
      </x:c>
      <x:c r="D972" s="56" t="n">
        <x:v>6.2</x:v>
      </x:c>
      <x:c r="E972" s="61" t="n">
        <x:v>3300</x:v>
      </x:c>
      <x:c r="F972" s="61" t="n">
        <x:v>28.72</x:v>
      </x:c>
      <x:c r="G972" s="61" t="n">
        <x:v>114.9</x:v>
      </x:c>
      <x:c r="H972" s="48" t="str">
        <x:v>1室1厅1</x:v>
      </x:c>
      <x:c r="I972" s="48" t="str">
        <x:v>西北</x:v>
      </x:c>
      <x:c r="J972" s="48" t="str">
        <x:v>精装</x:v>
      </x:c>
      <x:c r="K972" s="48" t="str">
        <x:v>普通住宅</x:v>
      </x:c>
      <x:c r="L972" s="48" t="str">
        <x:v>是</x:v>
      </x:c>
      <x:c r="M972" s="48" t="str">
        <x:v>保留</x:v>
      </x:c>
      <x:c r="N972" s="48" t="str">
        <x:v>缤纷时代家园|1室1厅1|29|3300|西北</x:v>
      </x:c>
      <x:c r="O972" s="48"/>
      <x:c r="P972" s="48" t="str">
        <x:v>未知（未逐条补齐）</x:v>
      </x:c>
      <x:c r="Q972" s="48" t="str">
        <x:v>https://shenzhen.leyoujia.com/zf/detail/VQinrt8t8spprZS4y2Sy5Z.html</x:v>
      </x:c>
      <x:c r="R972" s="48" t="str">
        <x:v>2026-08-13</x:v>
      </x:c>
    </x:row>
    <x:row r="973">
      <x:c r="A973" s="48" t="str">
        <x:v>缤纷时代家园</x:v>
      </x:c>
      <x:c r="B973" s="48" t="str">
        <x:v>缤纷时代家园</x:v>
      </x:c>
      <x:c r="C973" s="48" t="str">
        <x:v>晒布</x:v>
      </x:c>
      <x:c r="D973" s="56" t="n">
        <x:v>6.2</x:v>
      </x:c>
      <x:c r="E973" s="61" t="n">
        <x:v>4200</x:v>
      </x:c>
      <x:c r="F973" s="61" t="n">
        <x:v>36.59</x:v>
      </x:c>
      <x:c r="G973" s="61" t="n">
        <x:v>114.8</x:v>
      </x:c>
      <x:c r="H973" s="48" t="str">
        <x:v>1室0厅1</x:v>
      </x:c>
      <x:c r="I973" s="48" t="str">
        <x:v>北</x:v>
      </x:c>
      <x:c r="J973" s="48" t="str">
        <x:v>精装</x:v>
      </x:c>
      <x:c r="K973" s="48" t="str">
        <x:v>普通住宅</x:v>
      </x:c>
      <x:c r="L973" s="48" t="str">
        <x:v>是</x:v>
      </x:c>
      <x:c r="M973" s="48" t="str">
        <x:v>保留</x:v>
      </x:c>
      <x:c r="N973" s="48" t="str">
        <x:v>缤纷时代家园|1室0厅1|37|4200|北</x:v>
      </x:c>
      <x:c r="O973" s="48"/>
      <x:c r="P973" s="48" t="str">
        <x:v>未知（未逐条补齐）</x:v>
      </x:c>
      <x:c r="Q973" s="48" t="str">
        <x:v>https://shenzhen.leyoujia.com/zf/detail/RQKLMHNzm41yg9bkK9aEHb.html</x:v>
      </x:c>
      <x:c r="R973" s="48" t="str">
        <x:v>2026-08-13</x:v>
      </x:c>
    </x:row>
    <x:row r="974">
      <x:c r="A974" s="48" t="str">
        <x:v>方海商苑</x:v>
      </x:c>
      <x:c r="B974" s="48" t="str">
        <x:v>方海商苑</x:v>
      </x:c>
      <x:c r="C974" s="48" t="str">
        <x:v>晒布</x:v>
      </x:c>
      <x:c r="D974" s="56" t="n">
        <x:v>6.8</x:v>
      </x:c>
      <x:c r="E974" s="61" t="n">
        <x:v>2600</x:v>
      </x:c>
      <x:c r="F974" s="61" t="n">
        <x:v>40</x:v>
      </x:c>
      <x:c r="G974" s="61" t="n">
        <x:v>65</x:v>
      </x:c>
      <x:c r="H974" s="48" t="str">
        <x:v>1室1厅1</x:v>
      </x:c>
      <x:c r="I974" s="48" t="str">
        <x:v>东</x:v>
      </x:c>
      <x:c r="J974" s="48" t="str">
        <x:v>普装</x:v>
      </x:c>
      <x:c r="K974" s="48" t="str">
        <x:v>普通住宅</x:v>
      </x:c>
      <x:c r="L974" s="48" t="str">
        <x:v>是</x:v>
      </x:c>
      <x:c r="M974" s="48" t="str">
        <x:v>保留</x:v>
      </x:c>
      <x:c r="N974" s="48" t="str">
        <x:v>方海商苑|1室1厅1|40|2600|东</x:v>
      </x:c>
      <x:c r="O974" s="48"/>
      <x:c r="P974" s="48" t="str">
        <x:v>未知（未逐条补齐）</x:v>
      </x:c>
      <x:c r="Q974" s="48" t="str">
        <x:v>https://shenzhen.leyoujia.com/zf/detail/RQZ3S3e4M8PG9Ck9BeGAdt.html</x:v>
      </x:c>
      <x:c r="R974" s="48" t="str">
        <x:v>2026-08-13</x:v>
      </x:c>
    </x:row>
    <x:row r="975">
      <x:c r="A975" s="48" t="str">
        <x:v>华隆园</x:v>
      </x:c>
      <x:c r="B975" s="48" t="str">
        <x:v>华隆园</x:v>
      </x:c>
      <x:c r="C975" s="48" t="str">
        <x:v>晒布</x:v>
      </x:c>
      <x:c r="D975" s="56" t="n">
        <x:v>8.9</x:v>
      </x:c>
      <x:c r="E975" s="61" t="n">
        <x:v>2450</x:v>
      </x:c>
      <x:c r="F975" s="61" t="n">
        <x:v>29.2</x:v>
      </x:c>
      <x:c r="G975" s="61" t="n">
        <x:v>83.9</x:v>
      </x:c>
      <x:c r="H975" s="48" t="str">
        <x:v>1室0厅1</x:v>
      </x:c>
      <x:c r="I975" s="48" t="str">
        <x:v>东</x:v>
      </x:c>
      <x:c r="J975" s="48" t="str">
        <x:v>精装</x:v>
      </x:c>
      <x:c r="K975" s="48" t="str">
        <x:v>普通住宅</x:v>
      </x:c>
      <x:c r="L975" s="48" t="str">
        <x:v>是</x:v>
      </x:c>
      <x:c r="M975" s="48" t="str">
        <x:v>保留</x:v>
      </x:c>
      <x:c r="N975" s="48" t="str">
        <x:v>华隆园|1室0厅1|29|2450|东</x:v>
      </x:c>
      <x:c r="O975" s="48"/>
      <x:c r="P975" s="48" t="str">
        <x:v>未知（未逐条补齐）</x:v>
      </x:c>
      <x:c r="Q975" s="48" t="str">
        <x:v>https://shenzhen.leyoujia.com/zf/detail/NMU9BkYXEb5zzFsbEwGkf5.html</x:v>
      </x:c>
      <x:c r="R975" s="48" t="str">
        <x:v>2026-08-13</x:v>
      </x:c>
    </x:row>
    <x:row r="976">
      <x:c r="A976" s="48" t="str">
        <x:v>华隆园</x:v>
      </x:c>
      <x:c r="B976" s="48" t="str">
        <x:v>华隆园</x:v>
      </x:c>
      <x:c r="C976" s="48" t="str">
        <x:v>晒布</x:v>
      </x:c>
      <x:c r="D976" s="56" t="n">
        <x:v>8.9</x:v>
      </x:c>
      <x:c r="E976" s="61" t="n">
        <x:v>2500</x:v>
      </x:c>
      <x:c r="F976" s="61" t="n">
        <x:v>30</x:v>
      </x:c>
      <x:c r="G976" s="61" t="n">
        <x:v>83.3</x:v>
      </x:c>
      <x:c r="H976" s="48" t="str">
        <x:v>1室1厅1</x:v>
      </x:c>
      <x:c r="I976" s="48" t="str">
        <x:v>南</x:v>
      </x:c>
      <x:c r="J976" s="48" t="str">
        <x:v>普装</x:v>
      </x:c>
      <x:c r="K976" s="48" t="str">
        <x:v>普通住宅</x:v>
      </x:c>
      <x:c r="L976" s="48" t="str">
        <x:v>是</x:v>
      </x:c>
      <x:c r="M976" s="48" t="str">
        <x:v>保留</x:v>
      </x:c>
      <x:c r="N976" s="48" t="str">
        <x:v>华隆园|1室1厅1|30|2500|南</x:v>
      </x:c>
      <x:c r="O976" s="48"/>
      <x:c r="P976" s="48" t="str">
        <x:v>未知（未逐条补齐）</x:v>
      </x:c>
      <x:c r="Q976" s="48" t="str">
        <x:v>https://shenzhen.leyoujia.com/zf/detail/DkUpKbpckbwh9B3EuNY9y1.html</x:v>
      </x:c>
      <x:c r="R976" s="48" t="str">
        <x:v>2026-08-13</x:v>
      </x:c>
    </x:row>
    <x:row r="977">
      <x:c r="A977" s="48" t="str">
        <x:v>华隆园</x:v>
      </x:c>
      <x:c r="B977" s="48" t="str">
        <x:v>华隆园</x:v>
      </x:c>
      <x:c r="C977" s="48" t="str">
        <x:v>晒布</x:v>
      </x:c>
      <x:c r="D977" s="56" t="n">
        <x:v>8.9</x:v>
      </x:c>
      <x:c r="E977" s="61" t="n">
        <x:v>2500</x:v>
      </x:c>
      <x:c r="F977" s="61" t="n">
        <x:v>30</x:v>
      </x:c>
      <x:c r="G977" s="61" t="n">
        <x:v>83.3</x:v>
      </x:c>
      <x:c r="H977" s="48" t="str">
        <x:v>1室1厅1</x:v>
      </x:c>
      <x:c r="I977" s="48" t="str">
        <x:v>东</x:v>
      </x:c>
      <x:c r="J977" s="48" t="str">
        <x:v>普装</x:v>
      </x:c>
      <x:c r="K977" s="48" t="str">
        <x:v>普通住宅</x:v>
      </x:c>
      <x:c r="L977" s="48" t="str">
        <x:v>是</x:v>
      </x:c>
      <x:c r="M977" s="48" t="str">
        <x:v>保留</x:v>
      </x:c>
      <x:c r="N977" s="48" t="str">
        <x:v>华隆园|1室1厅1|30|2500|东</x:v>
      </x:c>
      <x:c r="O977" s="48"/>
      <x:c r="P977" s="48" t="str">
        <x:v>未知（未逐条补齐）</x:v>
      </x:c>
      <x:c r="Q977" s="48" t="str">
        <x:v>https://shenzhen.leyoujia.com/zf/detail/HfowX1bB3F1tXoJdHu8Pkz.html</x:v>
      </x:c>
      <x:c r="R977" s="48" t="str">
        <x:v>2026-08-13</x:v>
      </x:c>
    </x:row>
    <x:row r="978">
      <x:c r="A978" s="48" t="str">
        <x:v>华隆园</x:v>
      </x:c>
      <x:c r="B978" s="48" t="str">
        <x:v>华隆园</x:v>
      </x:c>
      <x:c r="C978" s="48" t="str">
        <x:v>晒布</x:v>
      </x:c>
      <x:c r="D978" s="56" t="n">
        <x:v>8.9</x:v>
      </x:c>
      <x:c r="E978" s="61" t="n">
        <x:v>2500</x:v>
      </x:c>
      <x:c r="F978" s="61" t="n">
        <x:v>20</x:v>
      </x:c>
      <x:c r="G978" s="61" t="n">
        <x:v>125</x:v>
      </x:c>
      <x:c r="H978" s="48" t="str">
        <x:v>1室0厅1</x:v>
      </x:c>
      <x:c r="I978" s="48" t="str">
        <x:v>东</x:v>
      </x:c>
      <x:c r="J978" s="48" t="str">
        <x:v>普装</x:v>
      </x:c>
      <x:c r="K978" s="48" t="str">
        <x:v>普通住宅</x:v>
      </x:c>
      <x:c r="L978" s="48" t="str">
        <x:v>是</x:v>
      </x:c>
      <x:c r="M978" s="48" t="str">
        <x:v>保留</x:v>
      </x:c>
      <x:c r="N978" s="48" t="str">
        <x:v>华隆园|1室0厅1|20|2500|东</x:v>
      </x:c>
      <x:c r="O978" s="48"/>
      <x:c r="P978" s="48" t="str">
        <x:v>未知（未逐条补齐）</x:v>
      </x:c>
      <x:c r="Q978" s="48" t="str">
        <x:v>https://shenzhen.leyoujia.com/zf/detail/BMMM4yKeocY79WQnnD6XPo.html</x:v>
      </x:c>
      <x:c r="R978" s="48" t="str">
        <x:v>2026-08-13</x:v>
      </x:c>
    </x:row>
    <x:row r="979">
      <x:c r="A979" s="48" t="str">
        <x:v>华隆园</x:v>
      </x:c>
      <x:c r="B979" s="48" t="str">
        <x:v>华隆园</x:v>
      </x:c>
      <x:c r="C979" s="48" t="str">
        <x:v>晒布</x:v>
      </x:c>
      <x:c r="D979" s="56" t="n">
        <x:v>8.9</x:v>
      </x:c>
      <x:c r="E979" s="61" t="n">
        <x:v>2500</x:v>
      </x:c>
      <x:c r="F979" s="61" t="n">
        <x:v>30</x:v>
      </x:c>
      <x:c r="G979" s="61" t="n">
        <x:v>83.3</x:v>
      </x:c>
      <x:c r="H979" s="48" t="str">
        <x:v>1室1厅1</x:v>
      </x:c>
      <x:c r="I979" s="48" t="str">
        <x:v>南</x:v>
      </x:c>
      <x:c r="J979" s="48" t="str">
        <x:v>普装</x:v>
      </x:c>
      <x:c r="K979" s="48" t="str">
        <x:v>普通住宅</x:v>
      </x:c>
      <x:c r="L979" s="48" t="str">
        <x:v>否</x:v>
      </x:c>
      <x:c r="M979" s="48" t="str">
        <x:v>疑似重复挂牌</x:v>
      </x:c>
      <x:c r="N979" s="48" t="str">
        <x:v>华隆园|1室1厅1|30|2500|南</x:v>
      </x:c>
      <x:c r="O979" s="48"/>
      <x:c r="P979" s="48" t="str">
        <x:v>未知（未逐条补齐）</x:v>
      </x:c>
      <x:c r="Q979" s="48" t="str">
        <x:v>https://shenzhen.leyoujia.com/zf/detail/EbC9Z2iPNg2SNLwxmir1Hu.html</x:v>
      </x:c>
      <x:c r="R979" s="48" t="str">
        <x:v>2026-08-13</x:v>
      </x:c>
    </x:row>
    <x:row r="980">
      <x:c r="A980" s="48" t="str">
        <x:v>华隆园</x:v>
      </x:c>
      <x:c r="B980" s="48" t="str">
        <x:v>华隆园</x:v>
      </x:c>
      <x:c r="C980" s="48" t="str">
        <x:v>晒布</x:v>
      </x:c>
      <x:c r="D980" s="56" t="n">
        <x:v>8.9</x:v>
      </x:c>
      <x:c r="E980" s="61" t="n">
        <x:v>2500</x:v>
      </x:c>
      <x:c r="F980" s="61" t="n">
        <x:v>20</x:v>
      </x:c>
      <x:c r="G980" s="61" t="n">
        <x:v>125</x:v>
      </x:c>
      <x:c r="H980" s="48" t="str">
        <x:v>1室0厅1</x:v>
      </x:c>
      <x:c r="I980" s="48" t="str">
        <x:v>南</x:v>
      </x:c>
      <x:c r="J980" s="48" t="str">
        <x:v>普装</x:v>
      </x:c>
      <x:c r="K980" s="48" t="str">
        <x:v>普通住宅</x:v>
      </x:c>
      <x:c r="L980" s="48" t="str">
        <x:v>是</x:v>
      </x:c>
      <x:c r="M980" s="48" t="str">
        <x:v>保留</x:v>
      </x:c>
      <x:c r="N980" s="48" t="str">
        <x:v>华隆园|1室0厅1|20|2500|南</x:v>
      </x:c>
      <x:c r="O980" s="48"/>
      <x:c r="P980" s="48" t="str">
        <x:v>未知（未逐条补齐）</x:v>
      </x:c>
      <x:c r="Q980" s="48" t="str">
        <x:v>https://shenzhen.leyoujia.com/zf/detail/K1nxPaj989N6PucKyJ2Uy1.html</x:v>
      </x:c>
      <x:c r="R980" s="48" t="str">
        <x:v>2026-08-13</x:v>
      </x:c>
    </x:row>
    <x:row r="981">
      <x:c r="A981" s="48" t="str">
        <x:v>华隆园</x:v>
      </x:c>
      <x:c r="B981" s="48" t="str">
        <x:v>华隆园</x:v>
      </x:c>
      <x:c r="C981" s="48" t="str">
        <x:v>晒布</x:v>
      </x:c>
      <x:c r="D981" s="56" t="n">
        <x:v>8.9</x:v>
      </x:c>
      <x:c r="E981" s="61" t="n">
        <x:v>2500</x:v>
      </x:c>
      <x:c r="F981" s="61" t="n">
        <x:v>30</x:v>
      </x:c>
      <x:c r="G981" s="61" t="n">
        <x:v>83.3</x:v>
      </x:c>
      <x:c r="H981" s="48" t="str">
        <x:v>1室1厅1</x:v>
      </x:c>
      <x:c r="I981" s="48" t="str">
        <x:v>东</x:v>
      </x:c>
      <x:c r="J981" s="48" t="str">
        <x:v>待核</x:v>
      </x:c>
      <x:c r="K981" s="48" t="str">
        <x:v>住宅</x:v>
      </x:c>
      <x:c r="L981" s="48" t="str">
        <x:v>否</x:v>
      </x:c>
      <x:c r="M981" s="48" t="str">
        <x:v>疑似重复挂牌</x:v>
      </x:c>
      <x:c r="N981" s="48" t="str">
        <x:v>华隆园|1室1厅1|30|2500|东</x:v>
      </x:c>
      <x:c r="O981" s="48"/>
      <x:c r="P981" s="48" t="str">
        <x:v>未知（未逐条补齐）</x:v>
      </x:c>
      <x:c r="Q981" s="48" t="str">
        <x:v>https://shenzhen.leyoujia.com/zf/detail/YY2PQSku3a9morHgmHGLes.html</x:v>
      </x:c>
      <x:c r="R981" s="48" t="str">
        <x:v>2026-08-13</x:v>
      </x:c>
    </x:row>
    <x:row r="982">
      <x:c r="A982" s="48" t="str">
        <x:v>华隆园</x:v>
      </x:c>
      <x:c r="B982" s="48" t="str">
        <x:v>华隆园</x:v>
      </x:c>
      <x:c r="C982" s="48" t="str">
        <x:v>晒布</x:v>
      </x:c>
      <x:c r="D982" s="56" t="n">
        <x:v>8.9</x:v>
      </x:c>
      <x:c r="E982" s="61" t="n">
        <x:v>2500</x:v>
      </x:c>
      <x:c r="F982" s="61" t="n">
        <x:v>20</x:v>
      </x:c>
      <x:c r="G982" s="61" t="n">
        <x:v>125</x:v>
      </x:c>
      <x:c r="H982" s="48" t="str">
        <x:v>1室1厅1</x:v>
      </x:c>
      <x:c r="I982" s="48" t="str">
        <x:v>南</x:v>
      </x:c>
      <x:c r="J982" s="48" t="str">
        <x:v>普装</x:v>
      </x:c>
      <x:c r="K982" s="48" t="str">
        <x:v>普通住宅</x:v>
      </x:c>
      <x:c r="L982" s="48" t="str">
        <x:v>是</x:v>
      </x:c>
      <x:c r="M982" s="48" t="str">
        <x:v>保留</x:v>
      </x:c>
      <x:c r="N982" s="48" t="str">
        <x:v>华隆园|1室1厅1|20|2500|南</x:v>
      </x:c>
      <x:c r="O982" s="48"/>
      <x:c r="P982" s="48" t="str">
        <x:v>未知（未逐条补齐）</x:v>
      </x:c>
      <x:c r="Q982" s="48" t="str">
        <x:v>https://shenzhen.leyoujia.com/zf/detail/6Yyb9QYMbmNJamTY2YQKsN.html</x:v>
      </x:c>
      <x:c r="R982" s="48" t="str">
        <x:v>2026-08-13</x:v>
      </x:c>
    </x:row>
    <x:row r="983">
      <x:c r="A983" s="48" t="str">
        <x:v>华隆园</x:v>
      </x:c>
      <x:c r="B983" s="48" t="str">
        <x:v>华隆园</x:v>
      </x:c>
      <x:c r="C983" s="48" t="str">
        <x:v>晒布</x:v>
      </x:c>
      <x:c r="D983" s="56" t="n">
        <x:v>8.9</x:v>
      </x:c>
      <x:c r="E983" s="61" t="n">
        <x:v>2500</x:v>
      </x:c>
      <x:c r="F983" s="61" t="n">
        <x:v>30</x:v>
      </x:c>
      <x:c r="G983" s="61" t="n">
        <x:v>83.3</x:v>
      </x:c>
      <x:c r="H983" s="48" t="str">
        <x:v>1室1厅1</x:v>
      </x:c>
      <x:c r="I983" s="48" t="str">
        <x:v>东</x:v>
      </x:c>
      <x:c r="J983" s="48" t="str">
        <x:v>普装</x:v>
      </x:c>
      <x:c r="K983" s="48" t="str">
        <x:v>普通住宅</x:v>
      </x:c>
      <x:c r="L983" s="48" t="str">
        <x:v>否</x:v>
      </x:c>
      <x:c r="M983" s="48" t="str">
        <x:v>疑似重复挂牌</x:v>
      </x:c>
      <x:c r="N983" s="48" t="str">
        <x:v>华隆园|1室1厅1|30|2500|东</x:v>
      </x:c>
      <x:c r="O983" s="48"/>
      <x:c r="P983" s="48" t="str">
        <x:v>未知（未逐条补齐）</x:v>
      </x:c>
      <x:c r="Q983" s="48" t="str">
        <x:v>https://shenzhen.leyoujia.com/zf/detail/Wp8mUJNRuk6gHdEfWch9QF.html</x:v>
      </x:c>
      <x:c r="R983" s="48" t="str">
        <x:v>2026-08-13</x:v>
      </x:c>
    </x:row>
    <x:row r="984">
      <x:c r="A984" s="48" t="str">
        <x:v>华隆园</x:v>
      </x:c>
      <x:c r="B984" s="48" t="str">
        <x:v>华隆园</x:v>
      </x:c>
      <x:c r="C984" s="48" t="str">
        <x:v>晒布</x:v>
      </x:c>
      <x:c r="D984" s="56" t="n">
        <x:v>8.9</x:v>
      </x:c>
      <x:c r="E984" s="61" t="n">
        <x:v>2500</x:v>
      </x:c>
      <x:c r="F984" s="61" t="n">
        <x:v>30</x:v>
      </x:c>
      <x:c r="G984" s="61" t="n">
        <x:v>83.3</x:v>
      </x:c>
      <x:c r="H984" s="48" t="str">
        <x:v>1室1厅1</x:v>
      </x:c>
      <x:c r="I984" s="48" t="str">
        <x:v>南</x:v>
      </x:c>
      <x:c r="J984" s="48" t="str">
        <x:v>精装</x:v>
      </x:c>
      <x:c r="K984" s="48" t="str">
        <x:v>普通住宅</x:v>
      </x:c>
      <x:c r="L984" s="48" t="str">
        <x:v>否</x:v>
      </x:c>
      <x:c r="M984" s="48" t="str">
        <x:v>疑似重复挂牌</x:v>
      </x:c>
      <x:c r="N984" s="48" t="str">
        <x:v>华隆园|1室1厅1|30|2500|南</x:v>
      </x:c>
      <x:c r="O984" s="48"/>
      <x:c r="P984" s="48" t="str">
        <x:v>未知（未逐条补齐）</x:v>
      </x:c>
      <x:c r="Q984" s="48" t="str">
        <x:v>https://shenzhen.leyoujia.com/zf/detail/XhZUSr51MNWy5NuztVhsoo.html</x:v>
      </x:c>
      <x:c r="R984" s="48" t="str">
        <x:v>2026-08-13</x:v>
      </x:c>
    </x:row>
    <x:row r="985">
      <x:c r="A985" s="48" t="str">
        <x:v>华隆园</x:v>
      </x:c>
      <x:c r="B985" s="48" t="str">
        <x:v>华隆园</x:v>
      </x:c>
      <x:c r="C985" s="48" t="str">
        <x:v>晒布</x:v>
      </x:c>
      <x:c r="D985" s="56" t="n">
        <x:v>8.9</x:v>
      </x:c>
      <x:c r="E985" s="61" t="n">
        <x:v>2500</x:v>
      </x:c>
      <x:c r="F985" s="61" t="n">
        <x:v>29.92</x:v>
      </x:c>
      <x:c r="G985" s="61" t="n">
        <x:v>83.6</x:v>
      </x:c>
      <x:c r="H985" s="48" t="str">
        <x:v>1室0厅2</x:v>
      </x:c>
      <x:c r="I985" s="48" t="str">
        <x:v>西</x:v>
      </x:c>
      <x:c r="J985" s="48" t="str">
        <x:v>普装</x:v>
      </x:c>
      <x:c r="K985" s="48" t="str">
        <x:v>普通住宅</x:v>
      </x:c>
      <x:c r="L985" s="48" t="str">
        <x:v>是</x:v>
      </x:c>
      <x:c r="M985" s="48" t="str">
        <x:v>保留</x:v>
      </x:c>
      <x:c r="N985" s="48" t="str">
        <x:v>华隆园|1室0厅2|30|2500|西</x:v>
      </x:c>
      <x:c r="O985" s="48"/>
      <x:c r="P985" s="48" t="str">
        <x:v>未知（未逐条补齐）</x:v>
      </x:c>
      <x:c r="Q985" s="48" t="str">
        <x:v>https://shenzhen.leyoujia.com/zf/detail/W325EotYQ9KJhukdwjVhCk.html</x:v>
      </x:c>
      <x:c r="R985" s="48" t="str">
        <x:v>2026-08-13</x:v>
      </x:c>
    </x:row>
    <x:row r="986">
      <x:c r="A986" s="48" t="str">
        <x:v>华隆园</x:v>
      </x:c>
      <x:c r="B986" s="48" t="str">
        <x:v>华隆园</x:v>
      </x:c>
      <x:c r="C986" s="48" t="str">
        <x:v>晒布</x:v>
      </x:c>
      <x:c r="D986" s="56" t="n">
        <x:v>8.9</x:v>
      </x:c>
      <x:c r="E986" s="61" t="n">
        <x:v>2500</x:v>
      </x:c>
      <x:c r="F986" s="61" t="n">
        <x:v>30</x:v>
      </x:c>
      <x:c r="G986" s="61" t="n">
        <x:v>83.3</x:v>
      </x:c>
      <x:c r="H986" s="48" t="str">
        <x:v>1室1厅1</x:v>
      </x:c>
      <x:c r="I986" s="48" t="str">
        <x:v>东</x:v>
      </x:c>
      <x:c r="J986" s="48" t="str">
        <x:v>普装</x:v>
      </x:c>
      <x:c r="K986" s="48" t="str">
        <x:v>普通住宅</x:v>
      </x:c>
      <x:c r="L986" s="48" t="str">
        <x:v>否</x:v>
      </x:c>
      <x:c r="M986" s="48" t="str">
        <x:v>疑似重复挂牌</x:v>
      </x:c>
      <x:c r="N986" s="48" t="str">
        <x:v>华隆园|1室1厅1|30|2500|东</x:v>
      </x:c>
      <x:c r="O986" s="48"/>
      <x:c r="P986" s="48" t="str">
        <x:v>未知（未逐条补齐）</x:v>
      </x:c>
      <x:c r="Q986" s="48" t="str">
        <x:v>https://shenzhen.leyoujia.com/zf/detail/3YvqX8KH2aCCxbhHKvAHKZ.html</x:v>
      </x:c>
      <x:c r="R986" s="48" t="str">
        <x:v>2026-08-13</x:v>
      </x:c>
    </x:row>
    <x:row r="987">
      <x:c r="A987" s="48" t="str">
        <x:v>华隆园</x:v>
      </x:c>
      <x:c r="B987" s="48" t="str">
        <x:v>华隆园</x:v>
      </x:c>
      <x:c r="C987" s="48" t="str">
        <x:v>晒布</x:v>
      </x:c>
      <x:c r="D987" s="56" t="n">
        <x:v>8.9</x:v>
      </x:c>
      <x:c r="E987" s="61" t="n">
        <x:v>2500</x:v>
      </x:c>
      <x:c r="F987" s="61" t="n">
        <x:v>20</x:v>
      </x:c>
      <x:c r="G987" s="61" t="n">
        <x:v>125</x:v>
      </x:c>
      <x:c r="H987" s="48" t="str">
        <x:v>1室0厅1</x:v>
      </x:c>
      <x:c r="I987" s="48" t="str">
        <x:v>西南</x:v>
      </x:c>
      <x:c r="J987" s="48" t="str">
        <x:v>精装</x:v>
      </x:c>
      <x:c r="K987" s="48" t="str">
        <x:v>公寓</x:v>
      </x:c>
      <x:c r="L987" s="48" t="str">
        <x:v>是</x:v>
      </x:c>
      <x:c r="M987" s="48" t="str">
        <x:v>保留</x:v>
      </x:c>
      <x:c r="N987" s="48" t="str">
        <x:v>华隆园|1室0厅1|20|2500|西南</x:v>
      </x:c>
      <x:c r="O987" s="48"/>
      <x:c r="P987" s="48" t="str">
        <x:v>未知（未逐条补齐）</x:v>
      </x:c>
      <x:c r="Q987" s="48" t="str">
        <x:v>https://shenzhen.leyoujia.com/zf/detail/FRynfA46ksi49AYXQYULjV.html</x:v>
      </x:c>
      <x:c r="R987" s="48" t="str">
        <x:v>2026-08-13</x:v>
      </x:c>
    </x:row>
    <x:row r="988">
      <x:c r="A988" s="48" t="str">
        <x:v>华隆园</x:v>
      </x:c>
      <x:c r="B988" s="48" t="str">
        <x:v>华隆园</x:v>
      </x:c>
      <x:c r="C988" s="48" t="str">
        <x:v>晒布</x:v>
      </x:c>
      <x:c r="D988" s="56" t="n">
        <x:v>8.9</x:v>
      </x:c>
      <x:c r="E988" s="61" t="n">
        <x:v>2500</x:v>
      </x:c>
      <x:c r="F988" s="61" t="n">
        <x:v>20</x:v>
      </x:c>
      <x:c r="G988" s="61" t="n">
        <x:v>125</x:v>
      </x:c>
      <x:c r="H988" s="48" t="str">
        <x:v>1室1厅1</x:v>
      </x:c>
      <x:c r="I988" s="48" t="str">
        <x:v>南</x:v>
      </x:c>
      <x:c r="J988" s="48" t="str">
        <x:v>普装</x:v>
      </x:c>
      <x:c r="K988" s="48" t="str">
        <x:v>普通住宅</x:v>
      </x:c>
      <x:c r="L988" s="48" t="str">
        <x:v>否</x:v>
      </x:c>
      <x:c r="M988" s="48" t="str">
        <x:v>疑似重复挂牌</x:v>
      </x:c>
      <x:c r="N988" s="48" t="str">
        <x:v>华隆园|1室1厅1|20|2500|南</x:v>
      </x:c>
      <x:c r="O988" s="48"/>
      <x:c r="P988" s="48" t="str">
        <x:v>未知（未逐条补齐）</x:v>
      </x:c>
      <x:c r="Q988" s="48" t="str">
        <x:v>https://shenzhen.leyoujia.com/zf/detail/GSD8t68zcW2ypzoY5Euwv1.html</x:v>
      </x:c>
      <x:c r="R988" s="48" t="str">
        <x:v>2026-08-13</x:v>
      </x:c>
    </x:row>
    <x:row r="989">
      <x:c r="A989" s="48" t="str">
        <x:v>华隆园</x:v>
      </x:c>
      <x:c r="B989" s="48" t="str">
        <x:v>华隆园</x:v>
      </x:c>
      <x:c r="C989" s="48" t="str">
        <x:v>晒布</x:v>
      </x:c>
      <x:c r="D989" s="56" t="n">
        <x:v>8.9</x:v>
      </x:c>
      <x:c r="E989" s="61" t="n">
        <x:v>2500</x:v>
      </x:c>
      <x:c r="F989" s="61" t="n">
        <x:v>30</x:v>
      </x:c>
      <x:c r="G989" s="61" t="n">
        <x:v>83.3</x:v>
      </x:c>
      <x:c r="H989" s="48" t="str">
        <x:v>1室1厅1</x:v>
      </x:c>
      <x:c r="I989" s="48" t="str">
        <x:v>西</x:v>
      </x:c>
      <x:c r="J989" s="48" t="str">
        <x:v>精装</x:v>
      </x:c>
      <x:c r="K989" s="48" t="str">
        <x:v>普通住宅</x:v>
      </x:c>
      <x:c r="L989" s="48" t="str">
        <x:v>是</x:v>
      </x:c>
      <x:c r="M989" s="48" t="str">
        <x:v>保留</x:v>
      </x:c>
      <x:c r="N989" s="48" t="str">
        <x:v>华隆园|1室1厅1|30|2500|西</x:v>
      </x:c>
      <x:c r="O989" s="48"/>
      <x:c r="P989" s="48" t="str">
        <x:v>未知（未逐条补齐）</x:v>
      </x:c>
      <x:c r="Q989" s="48" t="str">
        <x:v>https://shenzhen.leyoujia.com/zf/detail/SFxJF2MpN2zpnmKASaegaw.html</x:v>
      </x:c>
      <x:c r="R989" s="48" t="str">
        <x:v>2026-08-13</x:v>
      </x:c>
    </x:row>
    <x:row r="990">
      <x:c r="A990" s="48" t="str">
        <x:v>华隆园</x:v>
      </x:c>
      <x:c r="B990" s="48" t="str">
        <x:v>华隆园</x:v>
      </x:c>
      <x:c r="C990" s="48" t="str">
        <x:v>晒布</x:v>
      </x:c>
      <x:c r="D990" s="56" t="n">
        <x:v>8.9</x:v>
      </x:c>
      <x:c r="E990" s="61" t="n">
        <x:v>2500</x:v>
      </x:c>
      <x:c r="F990" s="61" t="n">
        <x:v>30</x:v>
      </x:c>
      <x:c r="G990" s="61" t="n">
        <x:v>83.3</x:v>
      </x:c>
      <x:c r="H990" s="48" t="str">
        <x:v>1室1厅1</x:v>
      </x:c>
      <x:c r="I990" s="48" t="str">
        <x:v>东</x:v>
      </x:c>
      <x:c r="J990" s="48" t="str">
        <x:v>待核</x:v>
      </x:c>
      <x:c r="K990" s="48" t="str">
        <x:v>住宅</x:v>
      </x:c>
      <x:c r="L990" s="48" t="str">
        <x:v>否</x:v>
      </x:c>
      <x:c r="M990" s="48" t="str">
        <x:v>疑似重复挂牌</x:v>
      </x:c>
      <x:c r="N990" s="48" t="str">
        <x:v>华隆园|1室1厅1|30|2500|东</x:v>
      </x:c>
      <x:c r="O990" s="48"/>
      <x:c r="P990" s="48" t="str">
        <x:v>未知（未逐条补齐）</x:v>
      </x:c>
      <x:c r="Q990" s="48" t="str">
        <x:v>https://shenzhen.leyoujia.com/zf/detail/TbyspG7U4megH7h4RQy1eU.html</x:v>
      </x:c>
      <x:c r="R990" s="48" t="str">
        <x:v>2026-08-13</x:v>
      </x:c>
    </x:row>
    <x:row r="991">
      <x:c r="A991" s="48" t="str">
        <x:v>华隆园</x:v>
      </x:c>
      <x:c r="B991" s="48" t="str">
        <x:v>华隆园</x:v>
      </x:c>
      <x:c r="C991" s="48" t="str">
        <x:v>晒布</x:v>
      </x:c>
      <x:c r="D991" s="56" t="n">
        <x:v>8.9</x:v>
      </x:c>
      <x:c r="E991" s="61" t="n">
        <x:v>2500</x:v>
      </x:c>
      <x:c r="F991" s="61" t="n">
        <x:v>30</x:v>
      </x:c>
      <x:c r="G991" s="61" t="n">
        <x:v>83.3</x:v>
      </x:c>
      <x:c r="H991" s="48" t="str">
        <x:v>1室1厅1</x:v>
      </x:c>
      <x:c r="I991" s="48" t="str">
        <x:v>南</x:v>
      </x:c>
      <x:c r="J991" s="48" t="str">
        <x:v>待核</x:v>
      </x:c>
      <x:c r="K991" s="48" t="str">
        <x:v>住宅</x:v>
      </x:c>
      <x:c r="L991" s="48" t="str">
        <x:v>否</x:v>
      </x:c>
      <x:c r="M991" s="48" t="str">
        <x:v>疑似重复挂牌</x:v>
      </x:c>
      <x:c r="N991" s="48" t="str">
        <x:v>华隆园|1室1厅1|30|2500|南</x:v>
      </x:c>
      <x:c r="O991" s="48"/>
      <x:c r="P991" s="48" t="str">
        <x:v>未知（未逐条补齐）</x:v>
      </x:c>
      <x:c r="Q991" s="48" t="str">
        <x:v>https://shenzhen.leyoujia.com/zf/detail/UCJEXdxKCCHoZ8ZtGDafRF.html</x:v>
      </x:c>
      <x:c r="R991" s="48" t="str">
        <x:v>2026-08-13</x:v>
      </x:c>
    </x:row>
    <x:row r="992">
      <x:c r="A992" s="48" t="str">
        <x:v>华隆园</x:v>
      </x:c>
      <x:c r="B992" s="48" t="str">
        <x:v>华隆园</x:v>
      </x:c>
      <x:c r="C992" s="48" t="str">
        <x:v>晒布</x:v>
      </x:c>
      <x:c r="D992" s="56" t="n">
        <x:v>8.9</x:v>
      </x:c>
      <x:c r="E992" s="61" t="n">
        <x:v>2600</x:v>
      </x:c>
      <x:c r="F992" s="61" t="n">
        <x:v>31.72</x:v>
      </x:c>
      <x:c r="G992" s="61" t="n">
        <x:v>82</x:v>
      </x:c>
      <x:c r="H992" s="48" t="str">
        <x:v>1室0厅1</x:v>
      </x:c>
      <x:c r="I992" s="48" t="str">
        <x:v>东</x:v>
      </x:c>
      <x:c r="J992" s="48" t="str">
        <x:v>精装</x:v>
      </x:c>
      <x:c r="K992" s="48" t="str">
        <x:v>普通住宅</x:v>
      </x:c>
      <x:c r="L992" s="48" t="str">
        <x:v>是</x:v>
      </x:c>
      <x:c r="M992" s="48" t="str">
        <x:v>保留</x:v>
      </x:c>
      <x:c r="N992" s="48" t="str">
        <x:v>华隆园|1室0厅1|32|2600|东</x:v>
      </x:c>
      <x:c r="O992" s="48"/>
      <x:c r="P992" s="48" t="str">
        <x:v>未知（未逐条补齐）</x:v>
      </x:c>
      <x:c r="Q992" s="48" t="str">
        <x:v>https://shenzhen.leyoujia.com/zf/detail/M96qYSfqEcksg1hw2rekwJ.html</x:v>
      </x:c>
      <x:c r="R992" s="48" t="str">
        <x:v>2026-08-13</x:v>
      </x:c>
    </x:row>
    <x:row r="993">
      <x:c r="A993" s="48" t="str">
        <x:v>华隆园</x:v>
      </x:c>
      <x:c r="B993" s="48" t="str">
        <x:v>华隆园</x:v>
      </x:c>
      <x:c r="C993" s="48" t="str">
        <x:v>晒布</x:v>
      </x:c>
      <x:c r="D993" s="56" t="n">
        <x:v>8.9</x:v>
      </x:c>
      <x:c r="E993" s="61" t="n">
        <x:v>2800</x:v>
      </x:c>
      <x:c r="F993" s="61" t="n">
        <x:v>30</x:v>
      </x:c>
      <x:c r="G993" s="61" t="n">
        <x:v>93.3</x:v>
      </x:c>
      <x:c r="H993" s="48" t="str">
        <x:v>1室1厅1</x:v>
      </x:c>
      <x:c r="I993" s="48" t="str">
        <x:v>西南</x:v>
      </x:c>
      <x:c r="J993" s="48" t="str">
        <x:v>普装</x:v>
      </x:c>
      <x:c r="K993" s="48" t="str">
        <x:v>普通住宅</x:v>
      </x:c>
      <x:c r="L993" s="48" t="str">
        <x:v>是</x:v>
      </x:c>
      <x:c r="M993" s="48" t="str">
        <x:v>保留</x:v>
      </x:c>
      <x:c r="N993" s="48" t="str">
        <x:v>华隆园|1室1厅1|30|2800|西南</x:v>
      </x:c>
      <x:c r="O993" s="48"/>
      <x:c r="P993" s="48" t="str">
        <x:v>未知（未逐条补齐）</x:v>
      </x:c>
      <x:c r="Q993" s="48" t="str">
        <x:v>https://shenzhen.leyoujia.com/zf/detail/AV1VBxAP38GbXwCQEVB8HZ.html</x:v>
      </x:c>
      <x:c r="R993" s="48" t="str">
        <x:v>2026-08-13</x:v>
      </x:c>
    </x:row>
    <x:row r="994">
      <x:c r="A994" s="48" t="str">
        <x:v>华隆园</x:v>
      </x:c>
      <x:c r="B994" s="48" t="str">
        <x:v>华隆园</x:v>
      </x:c>
      <x:c r="C994" s="48" t="str">
        <x:v>晒布</x:v>
      </x:c>
      <x:c r="D994" s="56" t="n">
        <x:v>8.9</x:v>
      </x:c>
      <x:c r="E994" s="61" t="n">
        <x:v>2800</x:v>
      </x:c>
      <x:c r="F994" s="61" t="n">
        <x:v>25</x:v>
      </x:c>
      <x:c r="G994" s="61" t="n">
        <x:v>112</x:v>
      </x:c>
      <x:c r="H994" s="48" t="str">
        <x:v>1室1厅1</x:v>
      </x:c>
      <x:c r="I994" s="48" t="str">
        <x:v>南</x:v>
      </x:c>
      <x:c r="J994" s="48" t="str">
        <x:v>精装</x:v>
      </x:c>
      <x:c r="K994" s="48" t="str">
        <x:v>普通住宅</x:v>
      </x:c>
      <x:c r="L994" s="48" t="str">
        <x:v>是</x:v>
      </x:c>
      <x:c r="M994" s="48" t="str">
        <x:v>保留</x:v>
      </x:c>
      <x:c r="N994" s="48" t="str">
        <x:v>华隆园|1室1厅1|25|2800|南</x:v>
      </x:c>
      <x:c r="O994" s="48"/>
      <x:c r="P994" s="48" t="str">
        <x:v>未知（未逐条补齐）</x:v>
      </x:c>
      <x:c r="Q994" s="48" t="str">
        <x:v>https://shenzhen.leyoujia.com/zf/detail/UbokoUQt6yguToy1J9UBZX.html</x:v>
      </x:c>
      <x:c r="R994" s="48" t="str">
        <x:v>2026-08-13</x:v>
      </x:c>
    </x:row>
    <x:row r="995">
      <x:c r="A995" s="48" t="str">
        <x:v>华隆园</x:v>
      </x:c>
      <x:c r="B995" s="48" t="str">
        <x:v>华隆园</x:v>
      </x:c>
      <x:c r="C995" s="48" t="str">
        <x:v>晒布</x:v>
      </x:c>
      <x:c r="D995" s="56" t="n">
        <x:v>8.9</x:v>
      </x:c>
      <x:c r="E995" s="61" t="n">
        <x:v>2800</x:v>
      </x:c>
      <x:c r="F995" s="61" t="n">
        <x:v>44.14</x:v>
      </x:c>
      <x:c r="G995" s="61" t="n">
        <x:v>63.4</x:v>
      </x:c>
      <x:c r="H995" s="48" t="str">
        <x:v>1室1厅1</x:v>
      </x:c>
      <x:c r="I995" s="48" t="str">
        <x:v>北</x:v>
      </x:c>
      <x:c r="J995" s="48" t="str">
        <x:v>待核</x:v>
      </x:c>
      <x:c r="K995" s="48" t="str">
        <x:v>住宅</x:v>
      </x:c>
      <x:c r="L995" s="48" t="str">
        <x:v>是</x:v>
      </x:c>
      <x:c r="M995" s="48" t="str">
        <x:v>保留</x:v>
      </x:c>
      <x:c r="N995" s="48" t="str">
        <x:v>华隆园|1室1厅1|44|2800|北</x:v>
      </x:c>
      <x:c r="O995" s="48"/>
      <x:c r="P995" s="48" t="str">
        <x:v>未知（未逐条补齐）</x:v>
      </x:c>
      <x:c r="Q995" s="48" t="str">
        <x:v>https://shenzhen.leyoujia.com/zf/detail/TEt8wUgn9GNprMn6e694Rn.html</x:v>
      </x:c>
      <x:c r="R995" s="48" t="str">
        <x:v>2026-08-13</x:v>
      </x:c>
    </x:row>
    <x:row r="996">
      <x:c r="A996" s="48" t="str">
        <x:v>华隆园</x:v>
      </x:c>
      <x:c r="B996" s="48" t="str">
        <x:v>华隆园</x:v>
      </x:c>
      <x:c r="C996" s="48" t="str">
        <x:v>晒布</x:v>
      </x:c>
      <x:c r="D996" s="56" t="n">
        <x:v>8.9</x:v>
      </x:c>
      <x:c r="E996" s="61" t="n">
        <x:v>2800</x:v>
      </x:c>
      <x:c r="F996" s="61" t="n">
        <x:v>41</x:v>
      </x:c>
      <x:c r="G996" s="61" t="n">
        <x:v>68.3</x:v>
      </x:c>
      <x:c r="H996" s="48" t="str">
        <x:v>1室1厅1</x:v>
      </x:c>
      <x:c r="I996" s="48" t="str">
        <x:v>东</x:v>
      </x:c>
      <x:c r="J996" s="48" t="str">
        <x:v>普装</x:v>
      </x:c>
      <x:c r="K996" s="48" t="str">
        <x:v>普通住宅</x:v>
      </x:c>
      <x:c r="L996" s="48" t="str">
        <x:v>是</x:v>
      </x:c>
      <x:c r="M996" s="48" t="str">
        <x:v>保留</x:v>
      </x:c>
      <x:c r="N996" s="48" t="str">
        <x:v>华隆园|1室1厅1|41|2800|东</x:v>
      </x:c>
      <x:c r="O996" s="48"/>
      <x:c r="P996" s="48" t="str">
        <x:v>未知（未逐条补齐）</x:v>
      </x:c>
      <x:c r="Q996" s="48" t="str">
        <x:v>https://shenzhen.leyoujia.com/zf/detail/FXum793NHrKY8EokniJWJo.html</x:v>
      </x:c>
      <x:c r="R996" s="48" t="str">
        <x:v>2026-08-13</x:v>
      </x:c>
    </x:row>
    <x:row r="997">
      <x:c r="A997" s="48" t="str">
        <x:v>华隆园</x:v>
      </x:c>
      <x:c r="B997" s="48" t="str">
        <x:v>华隆园</x:v>
      </x:c>
      <x:c r="C997" s="48" t="str">
        <x:v>晒布</x:v>
      </x:c>
      <x:c r="D997" s="56" t="n">
        <x:v>8.9</x:v>
      </x:c>
      <x:c r="E997" s="61" t="n">
        <x:v>3400</x:v>
      </x:c>
      <x:c r="F997" s="61" t="n">
        <x:v>40</x:v>
      </x:c>
      <x:c r="G997" s="61" t="n">
        <x:v>85</x:v>
      </x:c>
      <x:c r="H997" s="48" t="str">
        <x:v>1室1厅1</x:v>
      </x:c>
      <x:c r="I997" s="48" t="str">
        <x:v>东</x:v>
      </x:c>
      <x:c r="J997" s="48" t="str">
        <x:v>普装</x:v>
      </x:c>
      <x:c r="K997" s="48" t="str">
        <x:v>普通住宅</x:v>
      </x:c>
      <x:c r="L997" s="48" t="str">
        <x:v>是</x:v>
      </x:c>
      <x:c r="M997" s="48" t="str">
        <x:v>保留</x:v>
      </x:c>
      <x:c r="N997" s="48" t="str">
        <x:v>华隆园|1室1厅1|40|3400|东</x:v>
      </x:c>
      <x:c r="O997" s="48"/>
      <x:c r="P997" s="48" t="str">
        <x:v>未知（未逐条补齐）</x:v>
      </x:c>
      <x:c r="Q997" s="48" t="str">
        <x:v>https://shenzhen.leyoujia.com/zf/detail/UGpLszYhGVEVbGadLz2Mxt.html</x:v>
      </x:c>
      <x:c r="R997" s="48" t="str">
        <x:v>2026-08-13</x:v>
      </x:c>
    </x:row>
    <x:row r="998">
      <x:c r="A998" s="48" t="str">
        <x:v>华隆园</x:v>
      </x:c>
      <x:c r="B998" s="48" t="str">
        <x:v>华隆园</x:v>
      </x:c>
      <x:c r="C998" s="48" t="str">
        <x:v>晒布</x:v>
      </x:c>
      <x:c r="D998" s="56" t="n">
        <x:v>8.9</x:v>
      </x:c>
      <x:c r="E998" s="61" t="n">
        <x:v>3400</x:v>
      </x:c>
      <x:c r="F998" s="61" t="n">
        <x:v>40.23</x:v>
      </x:c>
      <x:c r="G998" s="61" t="n">
        <x:v>84.5</x:v>
      </x:c>
      <x:c r="H998" s="48" t="str">
        <x:v>1室1厅1</x:v>
      </x:c>
      <x:c r="I998" s="48" t="str">
        <x:v>西</x:v>
      </x:c>
      <x:c r="J998" s="48" t="str">
        <x:v>精装</x:v>
      </x:c>
      <x:c r="K998" s="48" t="str">
        <x:v>普通住宅</x:v>
      </x:c>
      <x:c r="L998" s="48" t="str">
        <x:v>是</x:v>
      </x:c>
      <x:c r="M998" s="48" t="str">
        <x:v>保留</x:v>
      </x:c>
      <x:c r="N998" s="48" t="str">
        <x:v>华隆园|1室1厅1|40|3400|西</x:v>
      </x:c>
      <x:c r="O998" s="48"/>
      <x:c r="P998" s="48" t="str">
        <x:v>未知（未逐条补齐）</x:v>
      </x:c>
      <x:c r="Q998" s="48" t="str">
        <x:v>https://shenzhen.leyoujia.com/zf/detail/KHmN5NwrK6ef2M4FiGd4QV.html</x:v>
      </x:c>
      <x:c r="R998" s="48" t="str">
        <x:v>2026-08-13</x:v>
      </x:c>
    </x:row>
    <x:row r="999">
      <x:c r="A999" s="48" t="str">
        <x:v>华隆园</x:v>
      </x:c>
      <x:c r="B999" s="48" t="str">
        <x:v>华隆园</x:v>
      </x:c>
      <x:c r="C999" s="48" t="str">
        <x:v>晒布</x:v>
      </x:c>
      <x:c r="D999" s="56" t="n">
        <x:v>8.9</x:v>
      </x:c>
      <x:c r="E999" s="61" t="n">
        <x:v>3400</x:v>
      </x:c>
      <x:c r="F999" s="61" t="n">
        <x:v>42.12</x:v>
      </x:c>
      <x:c r="G999" s="61" t="n">
        <x:v>80.7</x:v>
      </x:c>
      <x:c r="H999" s="48" t="str">
        <x:v>1室0厅1</x:v>
      </x:c>
      <x:c r="I999" s="48" t="str">
        <x:v>北</x:v>
      </x:c>
      <x:c r="J999" s="48" t="str">
        <x:v>精装</x:v>
      </x:c>
      <x:c r="K999" s="48" t="str">
        <x:v>普通住宅</x:v>
      </x:c>
      <x:c r="L999" s="48" t="str">
        <x:v>是</x:v>
      </x:c>
      <x:c r="M999" s="48" t="str">
        <x:v>保留</x:v>
      </x:c>
      <x:c r="N999" s="48" t="str">
        <x:v>华隆园|1室0厅1|42|3400|北</x:v>
      </x:c>
      <x:c r="O999" s="48"/>
      <x:c r="P999" s="48" t="str">
        <x:v>未知（未逐条补齐）</x:v>
      </x:c>
      <x:c r="Q999" s="48" t="str">
        <x:v>https://shenzhen.leyoujia.com/zf/detail/AoJf7yEMDsnu8kV5BFGXrr.html</x:v>
      </x:c>
      <x:c r="R999" s="48" t="str">
        <x:v>2026-08-13</x:v>
      </x:c>
    </x:row>
    <x:row r="1000">
      <x:c r="A1000" s="48" t="str">
        <x:v>华隆园</x:v>
      </x:c>
      <x:c r="B1000" s="48" t="str">
        <x:v>华隆园</x:v>
      </x:c>
      <x:c r="C1000" s="48" t="str">
        <x:v>晒布</x:v>
      </x:c>
      <x:c r="D1000" s="56" t="n">
        <x:v>8.9</x:v>
      </x:c>
      <x:c r="E1000" s="61" t="n">
        <x:v>3500</x:v>
      </x:c>
      <x:c r="F1000" s="61" t="n">
        <x:v>30</x:v>
      </x:c>
      <x:c r="G1000" s="61" t="n">
        <x:v>116.7</x:v>
      </x:c>
      <x:c r="H1000" s="48" t="str">
        <x:v>1室1厅1</x:v>
      </x:c>
      <x:c r="I1000" s="48" t="str">
        <x:v>东</x:v>
      </x:c>
      <x:c r="J1000" s="48" t="str">
        <x:v>普装</x:v>
      </x:c>
      <x:c r="K1000" s="48" t="str">
        <x:v>普通住宅</x:v>
      </x:c>
      <x:c r="L1000" s="48" t="str">
        <x:v>是</x:v>
      </x:c>
      <x:c r="M1000" s="48" t="str">
        <x:v>保留</x:v>
      </x:c>
      <x:c r="N1000" s="48" t="str">
        <x:v>华隆园|1室1厅1|30|3500|东</x:v>
      </x:c>
      <x:c r="O1000" s="48"/>
      <x:c r="P1000" s="48" t="str">
        <x:v>未知（未逐条补齐）</x:v>
      </x:c>
      <x:c r="Q1000" s="48" t="str">
        <x:v>https://shenzhen.leyoujia.com/zf/detail/NSopmVVC5SxhgVuqNeSoz7.html</x:v>
      </x:c>
      <x:c r="R1000" s="48" t="str">
        <x:v>2026-08-13</x:v>
      </x:c>
    </x:row>
    <x:row r="1001">
      <x:c r="A1001" s="48" t="str">
        <x:v>华隆园</x:v>
      </x:c>
      <x:c r="B1001" s="48" t="str">
        <x:v>华隆园</x:v>
      </x:c>
      <x:c r="C1001" s="48" t="str">
        <x:v>晒布</x:v>
      </x:c>
      <x:c r="D1001" s="56" t="n">
        <x:v>8.9</x:v>
      </x:c>
      <x:c r="E1001" s="61" t="n">
        <x:v>3600</x:v>
      </x:c>
      <x:c r="F1001" s="61" t="n">
        <x:v>30</x:v>
      </x:c>
      <x:c r="G1001" s="61" t="n">
        <x:v>120</x:v>
      </x:c>
      <x:c r="H1001" s="48" t="str">
        <x:v>1室1厅1</x:v>
      </x:c>
      <x:c r="I1001" s="48" t="str">
        <x:v>南</x:v>
      </x:c>
      <x:c r="J1001" s="48" t="str">
        <x:v>待核</x:v>
      </x:c>
      <x:c r="K1001" s="48" t="str">
        <x:v>住宅</x:v>
      </x:c>
      <x:c r="L1001" s="48" t="str">
        <x:v>是</x:v>
      </x:c>
      <x:c r="M1001" s="48" t="str">
        <x:v>保留</x:v>
      </x:c>
      <x:c r="N1001" s="48" t="str">
        <x:v>华隆园|1室1厅1|30|3600|南</x:v>
      </x:c>
      <x:c r="O1001" s="48"/>
      <x:c r="P1001" s="48" t="str">
        <x:v>未知（未逐条补齐）</x:v>
      </x:c>
      <x:c r="Q1001" s="48" t="str">
        <x:v>https://shenzhen.leyoujia.com/zf/detail/VDzsje5P9VEU2y4bDLS4Fm.html</x:v>
      </x:c>
      <x:c r="R1001" s="48" t="str">
        <x:v>2026-08-13</x:v>
      </x:c>
    </x:row>
    <x:row r="1002">
      <x:c r="A1002" s="48" t="str">
        <x:v>华隆园</x:v>
      </x:c>
      <x:c r="B1002" s="48" t="str">
        <x:v>华隆园</x:v>
      </x:c>
      <x:c r="C1002" s="48" t="str">
        <x:v>晒布</x:v>
      </x:c>
      <x:c r="D1002" s="56" t="n">
        <x:v>8.9</x:v>
      </x:c>
      <x:c r="E1002" s="61" t="n">
        <x:v>3600</x:v>
      </x:c>
      <x:c r="F1002" s="61" t="n">
        <x:v>40</x:v>
      </x:c>
      <x:c r="G1002" s="61" t="n">
        <x:v>90</x:v>
      </x:c>
      <x:c r="H1002" s="48" t="str">
        <x:v>1室1厅1</x:v>
      </x:c>
      <x:c r="I1002" s="48" t="str">
        <x:v>东</x:v>
      </x:c>
      <x:c r="J1002" s="48" t="str">
        <x:v>普装</x:v>
      </x:c>
      <x:c r="K1002" s="48" t="str">
        <x:v>普通住宅</x:v>
      </x:c>
      <x:c r="L1002" s="48" t="str">
        <x:v>是</x:v>
      </x:c>
      <x:c r="M1002" s="48" t="str">
        <x:v>保留</x:v>
      </x:c>
      <x:c r="N1002" s="48" t="str">
        <x:v>华隆园|1室1厅1|40|3600|东</x:v>
      </x:c>
      <x:c r="O1002" s="48"/>
      <x:c r="P1002" s="48" t="str">
        <x:v>未知（未逐条补齐）</x:v>
      </x:c>
      <x:c r="Q1002" s="48" t="str">
        <x:v>https://shenzhen.leyoujia.com/zf/detail/BFCC8SebZSCkWuH6LF9QHK.html</x:v>
      </x:c>
      <x:c r="R1002" s="48" t="str">
        <x:v>2026-08-13</x:v>
      </x:c>
    </x:row>
    <x:row r="1003">
      <x:c r="A1003" s="48" t="str">
        <x:v>华隆园</x:v>
      </x:c>
      <x:c r="B1003" s="48" t="str">
        <x:v>华隆园</x:v>
      </x:c>
      <x:c r="C1003" s="48" t="str">
        <x:v>晒布</x:v>
      </x:c>
      <x:c r="D1003" s="56" t="n">
        <x:v>8.9</x:v>
      </x:c>
      <x:c r="E1003" s="61" t="n">
        <x:v>3600</x:v>
      </x:c>
      <x:c r="F1003" s="61" t="n">
        <x:v>40.24</x:v>
      </x:c>
      <x:c r="G1003" s="61" t="n">
        <x:v>89.5</x:v>
      </x:c>
      <x:c r="H1003" s="48" t="str">
        <x:v>1室1厅1</x:v>
      </x:c>
      <x:c r="I1003" s="48" t="str">
        <x:v>东</x:v>
      </x:c>
      <x:c r="J1003" s="48" t="str">
        <x:v>普装</x:v>
      </x:c>
      <x:c r="K1003" s="48" t="str">
        <x:v>普通住宅</x:v>
      </x:c>
      <x:c r="L1003" s="48" t="str">
        <x:v>否</x:v>
      </x:c>
      <x:c r="M1003" s="48" t="str">
        <x:v>疑似重复挂牌</x:v>
      </x:c>
      <x:c r="N1003" s="48" t="str">
        <x:v>华隆园|1室1厅1|40|3600|东</x:v>
      </x:c>
      <x:c r="O1003" s="48"/>
      <x:c r="P1003" s="48" t="str">
        <x:v>未知（未逐条补齐）</x:v>
      </x:c>
      <x:c r="Q1003" s="48" t="str">
        <x:v>https://shenzhen.leyoujia.com/zf/detail/M35DosjvBdKM92NJAqap77.html</x:v>
      </x:c>
      <x:c r="R1003" s="48" t="str">
        <x:v>2026-08-13</x:v>
      </x:c>
    </x:row>
    <x:row r="1004">
      <x:c r="A1004" s="48" t="str">
        <x:v>华隆园</x:v>
      </x:c>
      <x:c r="B1004" s="48" t="str">
        <x:v>华隆园</x:v>
      </x:c>
      <x:c r="C1004" s="48" t="str">
        <x:v>晒布</x:v>
      </x:c>
      <x:c r="D1004" s="56" t="n">
        <x:v>8.9</x:v>
      </x:c>
      <x:c r="E1004" s="61" t="n">
        <x:v>3600</x:v>
      </x:c>
      <x:c r="F1004" s="61" t="n">
        <x:v>26</x:v>
      </x:c>
      <x:c r="G1004" s="61" t="n">
        <x:v>138.5</x:v>
      </x:c>
      <x:c r="H1004" s="48" t="str">
        <x:v>1室1厅1</x:v>
      </x:c>
      <x:c r="I1004" s="48" t="str">
        <x:v>南</x:v>
      </x:c>
      <x:c r="J1004" s="48" t="str">
        <x:v>普装</x:v>
      </x:c>
      <x:c r="K1004" s="48" t="str">
        <x:v>普通住宅</x:v>
      </x:c>
      <x:c r="L1004" s="48" t="str">
        <x:v>是</x:v>
      </x:c>
      <x:c r="M1004" s="48" t="str">
        <x:v>保留</x:v>
      </x:c>
      <x:c r="N1004" s="48" t="str">
        <x:v>华隆园|1室1厅1|26|3600|南</x:v>
      </x:c>
      <x:c r="O1004" s="48"/>
      <x:c r="P1004" s="48" t="str">
        <x:v>未知（未逐条补齐）</x:v>
      </x:c>
      <x:c r="Q1004" s="48" t="str">
        <x:v>https://shenzhen.leyoujia.com/zf/detail/XtSyqcBZpDaEZr37RUWahQ.html</x:v>
      </x:c>
      <x:c r="R1004" s="48" t="str">
        <x:v>2026-08-13</x:v>
      </x:c>
    </x:row>
    <x:row r="1005">
      <x:c r="A1005" s="48" t="str">
        <x:v>华隆园</x:v>
      </x:c>
      <x:c r="B1005" s="48" t="str">
        <x:v>华隆园</x:v>
      </x:c>
      <x:c r="C1005" s="48" t="str">
        <x:v>晒布</x:v>
      </x:c>
      <x:c r="D1005" s="56" t="n">
        <x:v>8.9</x:v>
      </x:c>
      <x:c r="E1005" s="61" t="n">
        <x:v>3600</x:v>
      </x:c>
      <x:c r="F1005" s="61" t="n">
        <x:v>40</x:v>
      </x:c>
      <x:c r="G1005" s="61" t="n">
        <x:v>90</x:v>
      </x:c>
      <x:c r="H1005" s="48" t="str">
        <x:v>1室1厅1</x:v>
      </x:c>
      <x:c r="I1005" s="48" t="str">
        <x:v>南</x:v>
      </x:c>
      <x:c r="J1005" s="48" t="str">
        <x:v>精装</x:v>
      </x:c>
      <x:c r="K1005" s="48" t="str">
        <x:v>普通住宅</x:v>
      </x:c>
      <x:c r="L1005" s="48" t="str">
        <x:v>是</x:v>
      </x:c>
      <x:c r="M1005" s="48" t="str">
        <x:v>保留</x:v>
      </x:c>
      <x:c r="N1005" s="48" t="str">
        <x:v>华隆园|1室1厅1|40|3600|南</x:v>
      </x:c>
      <x:c r="O1005" s="48"/>
      <x:c r="P1005" s="48" t="str">
        <x:v>未知（未逐条补齐）</x:v>
      </x:c>
      <x:c r="Q1005" s="48" t="str">
        <x:v>https://shenzhen.leyoujia.com/zf/detail/RSiKbc7HzSWXfPuZHo8Sti.html</x:v>
      </x:c>
      <x:c r="R1005" s="48" t="str">
        <x:v>2026-08-13</x:v>
      </x:c>
    </x:row>
    <x:row r="1006">
      <x:c r="A1006" s="48" t="str">
        <x:v>华隆园</x:v>
      </x:c>
      <x:c r="B1006" s="48" t="str">
        <x:v>华隆园</x:v>
      </x:c>
      <x:c r="C1006" s="48" t="str">
        <x:v>晒布</x:v>
      </x:c>
      <x:c r="D1006" s="56" t="n">
        <x:v>8.9</x:v>
      </x:c>
      <x:c r="E1006" s="61" t="n">
        <x:v>3600</x:v>
      </x:c>
      <x:c r="F1006" s="61" t="n">
        <x:v>30</x:v>
      </x:c>
      <x:c r="G1006" s="61" t="n">
        <x:v>120</x:v>
      </x:c>
      <x:c r="H1006" s="48" t="str">
        <x:v>1室1厅1</x:v>
      </x:c>
      <x:c r="I1006" s="48" t="str">
        <x:v>南</x:v>
      </x:c>
      <x:c r="J1006" s="48" t="str">
        <x:v>普装</x:v>
      </x:c>
      <x:c r="K1006" s="48" t="str">
        <x:v>普通住宅</x:v>
      </x:c>
      <x:c r="L1006" s="48" t="str">
        <x:v>否</x:v>
      </x:c>
      <x:c r="M1006" s="48" t="str">
        <x:v>疑似重复挂牌</x:v>
      </x:c>
      <x:c r="N1006" s="48" t="str">
        <x:v>华隆园|1室1厅1|30|3600|南</x:v>
      </x:c>
      <x:c r="O1006" s="48"/>
      <x:c r="P1006" s="48" t="str">
        <x:v>未知（未逐条补齐）</x:v>
      </x:c>
      <x:c r="Q1006" s="48" t="str">
        <x:v>https://shenzhen.leyoujia.com/zf/detail/RuQ5hF63xwYLxdfzyhXrB4.html</x:v>
      </x:c>
      <x:c r="R1006" s="48" t="str">
        <x:v>2026-08-13</x:v>
      </x:c>
    </x:row>
    <x:row r="1007">
      <x:c r="A1007" s="48" t="str">
        <x:v>华隆园</x:v>
      </x:c>
      <x:c r="B1007" s="48" t="str">
        <x:v>华隆园</x:v>
      </x:c>
      <x:c r="C1007" s="48" t="str">
        <x:v>晒布</x:v>
      </x:c>
      <x:c r="D1007" s="56" t="n">
        <x:v>8.9</x:v>
      </x:c>
      <x:c r="E1007" s="61" t="n">
        <x:v>3600</x:v>
      </x:c>
      <x:c r="F1007" s="61" t="n">
        <x:v>20</x:v>
      </x:c>
      <x:c r="G1007" s="61" t="n">
        <x:v>180</x:v>
      </x:c>
      <x:c r="H1007" s="48" t="str">
        <x:v>1室1厅1</x:v>
      </x:c>
      <x:c r="I1007" s="48" t="str">
        <x:v>南</x:v>
      </x:c>
      <x:c r="J1007" s="48" t="str">
        <x:v>待核</x:v>
      </x:c>
      <x:c r="K1007" s="48" t="str">
        <x:v>住宅</x:v>
      </x:c>
      <x:c r="L1007" s="48" t="str">
        <x:v>是</x:v>
      </x:c>
      <x:c r="M1007" s="48" t="str">
        <x:v>保留</x:v>
      </x:c>
      <x:c r="N1007" s="48" t="str">
        <x:v>华隆园|1室1厅1|20|3600|南</x:v>
      </x:c>
      <x:c r="O1007" s="48"/>
      <x:c r="P1007" s="48" t="str">
        <x:v>未知（未逐条补齐）</x:v>
      </x:c>
      <x:c r="Q1007" s="48" t="str">
        <x:v>https://shenzhen.leyoujia.com/zf/detail/XbdyNjrLEh1YVBYgChaSCv.html</x:v>
      </x:c>
      <x:c r="R1007" s="48" t="str">
        <x:v>2026-08-13</x:v>
      </x:c>
    </x:row>
    <x:row r="1008">
      <x:c r="A1008" s="48" t="str">
        <x:v>华隆园</x:v>
      </x:c>
      <x:c r="B1008" s="48" t="str">
        <x:v>华隆园</x:v>
      </x:c>
      <x:c r="C1008" s="48" t="str">
        <x:v>晒布</x:v>
      </x:c>
      <x:c r="D1008" s="56" t="n">
        <x:v>8.9</x:v>
      </x:c>
      <x:c r="E1008" s="61" t="n">
        <x:v>3700</x:v>
      </x:c>
      <x:c r="F1008" s="61" t="n">
        <x:v>41.61</x:v>
      </x:c>
      <x:c r="G1008" s="61" t="n">
        <x:v>88.9</x:v>
      </x:c>
      <x:c r="H1008" s="48" t="str">
        <x:v>1室1厅1</x:v>
      </x:c>
      <x:c r="I1008" s="48" t="str">
        <x:v>南</x:v>
      </x:c>
      <x:c r="J1008" s="48" t="str">
        <x:v>普装</x:v>
      </x:c>
      <x:c r="K1008" s="48" t="str">
        <x:v>普通住宅</x:v>
      </x:c>
      <x:c r="L1008" s="48" t="str">
        <x:v>是</x:v>
      </x:c>
      <x:c r="M1008" s="48" t="str">
        <x:v>保留</x:v>
      </x:c>
      <x:c r="N1008" s="48" t="str">
        <x:v>华隆园|1室1厅1|42|3700|南</x:v>
      </x:c>
      <x:c r="O1008" s="48"/>
      <x:c r="P1008" s="48" t="str">
        <x:v>未知（未逐条补齐）</x:v>
      </x:c>
      <x:c r="Q1008" s="48" t="str">
        <x:v>https://shenzhen.leyoujia.com/zf/detail/81X6DsxoQ9EzQnnQn78xUB.html</x:v>
      </x:c>
      <x:c r="R1008" s="48" t="str">
        <x:v>2026-08-13</x:v>
      </x:c>
    </x:row>
    <x:row r="1009">
      <x:c r="A1009" s="48" t="str">
        <x:v>华隆园</x:v>
      </x:c>
      <x:c r="B1009" s="48" t="str">
        <x:v>华隆园</x:v>
      </x:c>
      <x:c r="C1009" s="48" t="str">
        <x:v>晒布</x:v>
      </x:c>
      <x:c r="D1009" s="56" t="n">
        <x:v>8.9</x:v>
      </x:c>
      <x:c r="E1009" s="61" t="n">
        <x:v>4000</x:v>
      </x:c>
      <x:c r="F1009" s="61" t="n">
        <x:v>42.12</x:v>
      </x:c>
      <x:c r="G1009" s="61" t="n">
        <x:v>95</x:v>
      </x:c>
      <x:c r="H1009" s="48" t="str">
        <x:v>1室0厅1</x:v>
      </x:c>
      <x:c r="I1009" s="48" t="str">
        <x:v>北</x:v>
      </x:c>
      <x:c r="J1009" s="48" t="str">
        <x:v>普装</x:v>
      </x:c>
      <x:c r="K1009" s="48" t="str">
        <x:v>普通住宅</x:v>
      </x:c>
      <x:c r="L1009" s="48" t="str">
        <x:v>是</x:v>
      </x:c>
      <x:c r="M1009" s="48" t="str">
        <x:v>保留</x:v>
      </x:c>
      <x:c r="N1009" s="48" t="str">
        <x:v>华隆园|1室0厅1|42|4000|北</x:v>
      </x:c>
      <x:c r="O1009" s="48"/>
      <x:c r="P1009" s="48" t="str">
        <x:v>未知（未逐条补齐）</x:v>
      </x:c>
      <x:c r="Q1009" s="48" t="str">
        <x:v>https://shenzhen.leyoujia.com/zf/detail/Q88k4oLPMiqdgtkJrzSZDD.html</x:v>
      </x:c>
      <x:c r="R1009" s="48" t="str">
        <x:v>2026-08-13</x:v>
      </x:c>
    </x:row>
    <x:row r="1010">
      <x:c r="A1010" s="48" t="str">
        <x:v>华隆园</x:v>
      </x:c>
      <x:c r="B1010" s="48" t="str">
        <x:v>华隆园</x:v>
      </x:c>
      <x:c r="C1010" s="48" t="str">
        <x:v>晒布</x:v>
      </x:c>
      <x:c r="D1010" s="56" t="n">
        <x:v>8.9</x:v>
      </x:c>
      <x:c r="E1010" s="61" t="n">
        <x:v>4000</x:v>
      </x:c>
      <x:c r="F1010" s="61" t="n">
        <x:v>37.31</x:v>
      </x:c>
      <x:c r="G1010" s="61" t="n">
        <x:v>107.2</x:v>
      </x:c>
      <x:c r="H1010" s="48" t="str">
        <x:v>1室1厅1</x:v>
      </x:c>
      <x:c r="I1010" s="48" t="str">
        <x:v>南</x:v>
      </x:c>
      <x:c r="J1010" s="48" t="str">
        <x:v>精装</x:v>
      </x:c>
      <x:c r="K1010" s="48" t="str">
        <x:v>普通住宅</x:v>
      </x:c>
      <x:c r="L1010" s="48" t="str">
        <x:v>是</x:v>
      </x:c>
      <x:c r="M1010" s="48" t="str">
        <x:v>保留</x:v>
      </x:c>
      <x:c r="N1010" s="48" t="str">
        <x:v>华隆园|1室1厅1|37|4000|南</x:v>
      </x:c>
      <x:c r="O1010" s="48"/>
      <x:c r="P1010" s="48" t="str">
        <x:v>未知（未逐条补齐）</x:v>
      </x:c>
      <x:c r="Q1010" s="48" t="str">
        <x:v>https://shenzhen.leyoujia.com/zf/detail/J9xSvTkH98mQX2QiAU5rFq.html</x:v>
      </x:c>
      <x:c r="R1010" s="48" t="str">
        <x:v>2026-08-13</x:v>
      </x:c>
    </x:row>
    <x:row r="1011">
      <x:c r="A1011" s="48" t="str">
        <x:v>一品东门雅园</x:v>
      </x:c>
      <x:c r="B1011" s="48" t="str">
        <x:v>一品东门雅园</x:v>
      </x:c>
      <x:c r="C1011" s="48" t="str">
        <x:v>晒布</x:v>
      </x:c>
      <x:c r="D1011" s="56" t="n">
        <x:v>11.1</x:v>
      </x:c>
      <x:c r="E1011" s="61" t="n">
        <x:v>2400</x:v>
      </x:c>
      <x:c r="F1011" s="61" t="n">
        <x:v>27.73</x:v>
      </x:c>
      <x:c r="G1011" s="61" t="n">
        <x:v>86.5</x:v>
      </x:c>
      <x:c r="H1011" s="48" t="str">
        <x:v>1室0厅1</x:v>
      </x:c>
      <x:c r="I1011" s="48" t="str">
        <x:v>东北</x:v>
      </x:c>
      <x:c r="J1011" s="48" t="str">
        <x:v>普装</x:v>
      </x:c>
      <x:c r="K1011" s="48" t="str">
        <x:v>普通住宅</x:v>
      </x:c>
      <x:c r="L1011" s="48" t="str">
        <x:v>是</x:v>
      </x:c>
      <x:c r="M1011" s="48" t="str">
        <x:v>保留</x:v>
      </x:c>
      <x:c r="N1011" s="48" t="str">
        <x:v>一品东门雅园|1室0厅1|28|2400|东北</x:v>
      </x:c>
      <x:c r="O1011" s="48"/>
      <x:c r="P1011" s="48" t="str">
        <x:v>未知（未逐条补齐）</x:v>
      </x:c>
      <x:c r="Q1011" s="48" t="str">
        <x:v>https://shenzhen.leyoujia.com/zf/detail/Xe56c5ZCWuVfJ8DtGrH4w1.html</x:v>
      </x:c>
      <x:c r="R1011" s="48" t="str">
        <x:v>2026-08-13</x:v>
      </x:c>
    </x:row>
    <x:row r="1012">
      <x:c r="A1012" s="48" t="str">
        <x:v>一品东门雅园</x:v>
      </x:c>
      <x:c r="B1012" s="48" t="str">
        <x:v>一品东门雅园</x:v>
      </x:c>
      <x:c r="C1012" s="48" t="str">
        <x:v>晒布</x:v>
      </x:c>
      <x:c r="D1012" s="56" t="n">
        <x:v>11.1</x:v>
      </x:c>
      <x:c r="E1012" s="61" t="n">
        <x:v>2400</x:v>
      </x:c>
      <x:c r="F1012" s="61" t="n">
        <x:v>22.97</x:v>
      </x:c>
      <x:c r="G1012" s="61" t="n">
        <x:v>104.5</x:v>
      </x:c>
      <x:c r="H1012" s="48" t="str">
        <x:v>1室0厅1</x:v>
      </x:c>
      <x:c r="I1012" s="48" t="str">
        <x:v>西南</x:v>
      </x:c>
      <x:c r="J1012" s="48" t="str">
        <x:v>精装</x:v>
      </x:c>
      <x:c r="K1012" s="48" t="str">
        <x:v>普通住宅</x:v>
      </x:c>
      <x:c r="L1012" s="48" t="str">
        <x:v>是</x:v>
      </x:c>
      <x:c r="M1012" s="48" t="str">
        <x:v>保留</x:v>
      </x:c>
      <x:c r="N1012" s="48" t="str">
        <x:v>一品东门雅园|1室0厅1|23|2400|西南</x:v>
      </x:c>
      <x:c r="O1012" s="48"/>
      <x:c r="P1012" s="48" t="str">
        <x:v>未知（未逐条补齐）</x:v>
      </x:c>
      <x:c r="Q1012" s="48" t="str">
        <x:v>https://shenzhen.leyoujia.com/zf/detail/JZjvycUdzc2p6Bp36GqjAW.html</x:v>
      </x:c>
      <x:c r="R1012" s="48" t="str">
        <x:v>2026-08-13</x:v>
      </x:c>
    </x:row>
    <x:row r="1013">
      <x:c r="A1013" s="48" t="str">
        <x:v>一品东门雅园</x:v>
      </x:c>
      <x:c r="B1013" s="48" t="str">
        <x:v>一品东门雅园</x:v>
      </x:c>
      <x:c r="C1013" s="48" t="str">
        <x:v>晒布</x:v>
      </x:c>
      <x:c r="D1013" s="56" t="n">
        <x:v>11.1</x:v>
      </x:c>
      <x:c r="E1013" s="61" t="n">
        <x:v>2400</x:v>
      </x:c>
      <x:c r="F1013" s="61" t="n">
        <x:v>21.55</x:v>
      </x:c>
      <x:c r="G1013" s="61" t="n">
        <x:v>111.4</x:v>
      </x:c>
      <x:c r="H1013" s="48" t="str">
        <x:v>1室0厅1</x:v>
      </x:c>
      <x:c r="I1013" s="48" t="str">
        <x:v>东北</x:v>
      </x:c>
      <x:c r="J1013" s="48" t="str">
        <x:v>普装</x:v>
      </x:c>
      <x:c r="K1013" s="48" t="str">
        <x:v>普通住宅</x:v>
      </x:c>
      <x:c r="L1013" s="48" t="str">
        <x:v>是</x:v>
      </x:c>
      <x:c r="M1013" s="48" t="str">
        <x:v>保留</x:v>
      </x:c>
      <x:c r="N1013" s="48" t="str">
        <x:v>一品东门雅园|1室0厅1|22|2400|东北</x:v>
      </x:c>
      <x:c r="O1013" s="48"/>
      <x:c r="P1013" s="48" t="str">
        <x:v>未知（未逐条补齐）</x:v>
      </x:c>
      <x:c r="Q1013" s="48" t="str">
        <x:v>https://shenzhen.leyoujia.com/zf/detail/EyAZQZGXa8RoajFUev3KmV.html</x:v>
      </x:c>
      <x:c r="R1013" s="48" t="str">
        <x:v>2026-08-13</x:v>
      </x:c>
    </x:row>
    <x:row r="1014">
      <x:c r="A1014" s="48" t="str">
        <x:v>一品东门雅园</x:v>
      </x:c>
      <x:c r="B1014" s="48" t="str">
        <x:v>一品东门雅园</x:v>
      </x:c>
      <x:c r="C1014" s="48" t="str">
        <x:v>晒布</x:v>
      </x:c>
      <x:c r="D1014" s="56" t="n">
        <x:v>11.1</x:v>
      </x:c>
      <x:c r="E1014" s="61" t="n">
        <x:v>2400</x:v>
      </x:c>
      <x:c r="F1014" s="61" t="n">
        <x:v>23.08</x:v>
      </x:c>
      <x:c r="G1014" s="61" t="n">
        <x:v>104</x:v>
      </x:c>
      <x:c r="H1014" s="48" t="str">
        <x:v>1室0厅1</x:v>
      </x:c>
      <x:c r="I1014" s="48" t="str">
        <x:v>西</x:v>
      </x:c>
      <x:c r="J1014" s="48" t="str">
        <x:v>精装</x:v>
      </x:c>
      <x:c r="K1014" s="48" t="str">
        <x:v>普通住宅</x:v>
      </x:c>
      <x:c r="L1014" s="48" t="str">
        <x:v>是</x:v>
      </x:c>
      <x:c r="M1014" s="48" t="str">
        <x:v>保留</x:v>
      </x:c>
      <x:c r="N1014" s="48" t="str">
        <x:v>一品东门雅园|1室0厅1|23|2400|西</x:v>
      </x:c>
      <x:c r="O1014" s="48"/>
      <x:c r="P1014" s="48" t="str">
        <x:v>未知（未逐条补齐）</x:v>
      </x:c>
      <x:c r="Q1014" s="48" t="str">
        <x:v>https://shenzhen.leyoujia.com/zf/detail/Ddh817kiGDqUDnmqwbeuco.html</x:v>
      </x:c>
      <x:c r="R1014" s="48" t="str">
        <x:v>2026-08-13</x:v>
      </x:c>
    </x:row>
    <x:row r="1015">
      <x:c r="A1015" s="48" t="str">
        <x:v>一品东门雅园</x:v>
      </x:c>
      <x:c r="B1015" s="48" t="str">
        <x:v>一品东门雅园</x:v>
      </x:c>
      <x:c r="C1015" s="48" t="str">
        <x:v>晒布</x:v>
      </x:c>
      <x:c r="D1015" s="56" t="n">
        <x:v>11.1</x:v>
      </x:c>
      <x:c r="E1015" s="61" t="n">
        <x:v>2400</x:v>
      </x:c>
      <x:c r="F1015" s="61" t="n">
        <x:v>20.33</x:v>
      </x:c>
      <x:c r="G1015" s="61" t="n">
        <x:v>118.1</x:v>
      </x:c>
      <x:c r="H1015" s="48" t="str">
        <x:v>1室0厅1</x:v>
      </x:c>
      <x:c r="I1015" s="48" t="str">
        <x:v>东南</x:v>
      </x:c>
      <x:c r="J1015" s="48" t="str">
        <x:v>普装</x:v>
      </x:c>
      <x:c r="K1015" s="48" t="str">
        <x:v>普通住宅</x:v>
      </x:c>
      <x:c r="L1015" s="48" t="str">
        <x:v>是</x:v>
      </x:c>
      <x:c r="M1015" s="48" t="str">
        <x:v>保留</x:v>
      </x:c>
      <x:c r="N1015" s="48" t="str">
        <x:v>一品东门雅园|1室0厅1|20|2400|东南</x:v>
      </x:c>
      <x:c r="O1015" s="48"/>
      <x:c r="P1015" s="48" t="str">
        <x:v>未知（未逐条补齐）</x:v>
      </x:c>
      <x:c r="Q1015" s="48" t="str">
        <x:v>https://shenzhen.leyoujia.com/zf/detail/LzoAq6HHHMdLVbqPTge3aL.html</x:v>
      </x:c>
      <x:c r="R1015" s="48" t="str">
        <x:v>2026-08-13</x:v>
      </x:c>
    </x:row>
    <x:row r="1016">
      <x:c r="A1016" s="48" t="str">
        <x:v>一品东门雅园</x:v>
      </x:c>
      <x:c r="B1016" s="48" t="str">
        <x:v>一品东门雅园</x:v>
      </x:c>
      <x:c r="C1016" s="48" t="str">
        <x:v>晒布</x:v>
      </x:c>
      <x:c r="D1016" s="56" t="n">
        <x:v>11.1</x:v>
      </x:c>
      <x:c r="E1016" s="61" t="n">
        <x:v>2500</x:v>
      </x:c>
      <x:c r="F1016" s="61" t="n">
        <x:v>24.11</x:v>
      </x:c>
      <x:c r="G1016" s="61" t="n">
        <x:v>103.7</x:v>
      </x:c>
      <x:c r="H1016" s="48" t="str">
        <x:v>1室0厅1</x:v>
      </x:c>
      <x:c r="I1016" s="48" t="str">
        <x:v>东南</x:v>
      </x:c>
      <x:c r="J1016" s="48" t="str">
        <x:v>普装</x:v>
      </x:c>
      <x:c r="K1016" s="48" t="str">
        <x:v>普通住宅</x:v>
      </x:c>
      <x:c r="L1016" s="48" t="str">
        <x:v>是</x:v>
      </x:c>
      <x:c r="M1016" s="48" t="str">
        <x:v>保留</x:v>
      </x:c>
      <x:c r="N1016" s="48" t="str">
        <x:v>一品东门雅园|1室0厅1|24|2500|东南</x:v>
      </x:c>
      <x:c r="O1016" s="48"/>
      <x:c r="P1016" s="48" t="str">
        <x:v>未知（未逐条补齐）</x:v>
      </x:c>
      <x:c r="Q1016" s="48" t="str">
        <x:v>https://shenzhen.leyoujia.com/zf/detail/U7uPgGg7z5pHJzeqkoqyiV.html</x:v>
      </x:c>
      <x:c r="R1016" s="48" t="str">
        <x:v>2026-08-13</x:v>
      </x:c>
    </x:row>
    <x:row r="1017">
      <x:c r="A1017" s="48" t="str">
        <x:v>一品东门雅园</x:v>
      </x:c>
      <x:c r="B1017" s="48" t="str">
        <x:v>一品东门雅园</x:v>
      </x:c>
      <x:c r="C1017" s="48" t="str">
        <x:v>晒布</x:v>
      </x:c>
      <x:c r="D1017" s="56" t="n">
        <x:v>11.1</x:v>
      </x:c>
      <x:c r="E1017" s="61" t="n">
        <x:v>2500</x:v>
      </x:c>
      <x:c r="F1017" s="61" t="n">
        <x:v>22.9</x:v>
      </x:c>
      <x:c r="G1017" s="61" t="n">
        <x:v>109.2</x:v>
      </x:c>
      <x:c r="H1017" s="48" t="str">
        <x:v>1室0厅1</x:v>
      </x:c>
      <x:c r="I1017" s="48" t="str">
        <x:v>西南</x:v>
      </x:c>
      <x:c r="J1017" s="48" t="str">
        <x:v>普装</x:v>
      </x:c>
      <x:c r="K1017" s="48" t="str">
        <x:v>普通住宅</x:v>
      </x:c>
      <x:c r="L1017" s="48" t="str">
        <x:v>是</x:v>
      </x:c>
      <x:c r="M1017" s="48" t="str">
        <x:v>保留</x:v>
      </x:c>
      <x:c r="N1017" s="48" t="str">
        <x:v>一品东门雅园|1室0厅1|23|2500|西南</x:v>
      </x:c>
      <x:c r="O1017" s="48"/>
      <x:c r="P1017" s="48" t="str">
        <x:v>未知（未逐条补齐）</x:v>
      </x:c>
      <x:c r="Q1017" s="48" t="str">
        <x:v>https://shenzhen.leyoujia.com/zf/detail/6mPn2ptDw3TgHnrouyJ43n.html</x:v>
      </x:c>
      <x:c r="R1017" s="48" t="str">
        <x:v>2026-08-13</x:v>
      </x:c>
    </x:row>
    <x:row r="1018">
      <x:c r="A1018" s="48" t="str">
        <x:v>一品东门雅园</x:v>
      </x:c>
      <x:c r="B1018" s="48" t="str">
        <x:v>一品东门雅园</x:v>
      </x:c>
      <x:c r="C1018" s="48" t="str">
        <x:v>晒布</x:v>
      </x:c>
      <x:c r="D1018" s="56" t="n">
        <x:v>11.1</x:v>
      </x:c>
      <x:c r="E1018" s="61" t="n">
        <x:v>2500</x:v>
      </x:c>
      <x:c r="F1018" s="61" t="n">
        <x:v>20.17</x:v>
      </x:c>
      <x:c r="G1018" s="61" t="n">
        <x:v>123.9</x:v>
      </x:c>
      <x:c r="H1018" s="48" t="str">
        <x:v>1室0厅1</x:v>
      </x:c>
      <x:c r="I1018" s="48" t="str">
        <x:v>西北</x:v>
      </x:c>
      <x:c r="J1018" s="48" t="str">
        <x:v>精装</x:v>
      </x:c>
      <x:c r="K1018" s="48" t="str">
        <x:v>普通住宅</x:v>
      </x:c>
      <x:c r="L1018" s="48" t="str">
        <x:v>是</x:v>
      </x:c>
      <x:c r="M1018" s="48" t="str">
        <x:v>保留</x:v>
      </x:c>
      <x:c r="N1018" s="48" t="str">
        <x:v>一品东门雅园|1室0厅1|20|2500|西北</x:v>
      </x:c>
      <x:c r="O1018" s="48"/>
      <x:c r="P1018" s="48" t="str">
        <x:v>未知（未逐条补齐）</x:v>
      </x:c>
      <x:c r="Q1018" s="48" t="str">
        <x:v>https://shenzhen.leyoujia.com/zf/detail/PqmZBQeaje2PsPcA4qcfyw.html</x:v>
      </x:c>
      <x:c r="R1018" s="48" t="str">
        <x:v>2026-08-13</x:v>
      </x:c>
    </x:row>
    <x:row r="1019">
      <x:c r="A1019" s="48" t="str">
        <x:v>一品东门雅园</x:v>
      </x:c>
      <x:c r="B1019" s="48" t="str">
        <x:v>一品东门雅园</x:v>
      </x:c>
      <x:c r="C1019" s="48" t="str">
        <x:v>晒布</x:v>
      </x:c>
      <x:c r="D1019" s="56" t="n">
        <x:v>11.1</x:v>
      </x:c>
      <x:c r="E1019" s="61" t="n">
        <x:v>2500</x:v>
      </x:c>
      <x:c r="F1019" s="61" t="n">
        <x:v>28.95</x:v>
      </x:c>
      <x:c r="G1019" s="61" t="n">
        <x:v>86.4</x:v>
      </x:c>
      <x:c r="H1019" s="48" t="str">
        <x:v>1室0厅1</x:v>
      </x:c>
      <x:c r="I1019" s="48" t="str">
        <x:v>东南</x:v>
      </x:c>
      <x:c r="J1019" s="48" t="str">
        <x:v>普装</x:v>
      </x:c>
      <x:c r="K1019" s="48" t="str">
        <x:v>普通住宅</x:v>
      </x:c>
      <x:c r="L1019" s="48" t="str">
        <x:v>是</x:v>
      </x:c>
      <x:c r="M1019" s="48" t="str">
        <x:v>保留</x:v>
      </x:c>
      <x:c r="N1019" s="48" t="str">
        <x:v>一品东门雅园|1室0厅1|29|2500|东南</x:v>
      </x:c>
      <x:c r="O1019" s="48"/>
      <x:c r="P1019" s="48" t="str">
        <x:v>未知（未逐条补齐）</x:v>
      </x:c>
      <x:c r="Q1019" s="48" t="str">
        <x:v>https://shenzhen.leyoujia.com/zf/detail/VezyuyCFtPJLTWT17SdDDA.html</x:v>
      </x:c>
      <x:c r="R1019" s="48" t="str">
        <x:v>2026-08-13</x:v>
      </x:c>
    </x:row>
    <x:row r="1020">
      <x:c r="A1020" s="48" t="str">
        <x:v>一品东门雅园</x:v>
      </x:c>
      <x:c r="B1020" s="48" t="str">
        <x:v>一品东门雅园</x:v>
      </x:c>
      <x:c r="C1020" s="48" t="str">
        <x:v>晒布</x:v>
      </x:c>
      <x:c r="D1020" s="56" t="n">
        <x:v>11.1</x:v>
      </x:c>
      <x:c r="E1020" s="61" t="n">
        <x:v>2500</x:v>
      </x:c>
      <x:c r="F1020" s="61" t="n">
        <x:v>27.73</x:v>
      </x:c>
      <x:c r="G1020" s="61" t="n">
        <x:v>90.2</x:v>
      </x:c>
      <x:c r="H1020" s="48" t="str">
        <x:v>1室0厅1</x:v>
      </x:c>
      <x:c r="I1020" s="48" t="str">
        <x:v>东北</x:v>
      </x:c>
      <x:c r="J1020" s="48" t="str">
        <x:v>精装</x:v>
      </x:c>
      <x:c r="K1020" s="48" t="str">
        <x:v>普通住宅</x:v>
      </x:c>
      <x:c r="L1020" s="48" t="str">
        <x:v>是</x:v>
      </x:c>
      <x:c r="M1020" s="48" t="str">
        <x:v>保留</x:v>
      </x:c>
      <x:c r="N1020" s="48" t="str">
        <x:v>一品东门雅园|1室0厅1|28|2500|东北</x:v>
      </x:c>
      <x:c r="O1020" s="48"/>
      <x:c r="P1020" s="48" t="str">
        <x:v>未知（未逐条补齐）</x:v>
      </x:c>
      <x:c r="Q1020" s="48" t="str">
        <x:v>https://shenzhen.leyoujia.com/zf/detail/SKpUb5MusPycSneuXMVZRw.html</x:v>
      </x:c>
      <x:c r="R1020" s="48" t="str">
        <x:v>2026-08-13</x:v>
      </x:c>
    </x:row>
    <x:row r="1021">
      <x:c r="A1021" s="48" t="str">
        <x:v>一品东门雅园</x:v>
      </x:c>
      <x:c r="B1021" s="48" t="str">
        <x:v>一品东门雅园</x:v>
      </x:c>
      <x:c r="C1021" s="48" t="str">
        <x:v>晒布</x:v>
      </x:c>
      <x:c r="D1021" s="56" t="n">
        <x:v>11.1</x:v>
      </x:c>
      <x:c r="E1021" s="61" t="n">
        <x:v>3000</x:v>
      </x:c>
      <x:c r="F1021" s="61" t="n">
        <x:v>31.83</x:v>
      </x:c>
      <x:c r="G1021" s="61" t="n">
        <x:v>94.3</x:v>
      </x:c>
      <x:c r="H1021" s="48" t="str">
        <x:v>1室0厅1</x:v>
      </x:c>
      <x:c r="I1021" s="48" t="str">
        <x:v>东北</x:v>
      </x:c>
      <x:c r="J1021" s="48" t="str">
        <x:v>精装</x:v>
      </x:c>
      <x:c r="K1021" s="48" t="str">
        <x:v>普通住宅</x:v>
      </x:c>
      <x:c r="L1021" s="48" t="str">
        <x:v>否</x:v>
      </x:c>
      <x:c r="M1021" s="48" t="str">
        <x:v>异常高价</x:v>
      </x:c>
      <x:c r="N1021" s="48" t="str">
        <x:v>一品东门雅园|1室0厅1|32|3000|东北</x:v>
      </x:c>
      <x:c r="O1021" s="48"/>
      <x:c r="P1021" s="48" t="str">
        <x:v>未知（未逐条补齐）</x:v>
      </x:c>
      <x:c r="Q1021" s="48" t="str">
        <x:v>https://shenzhen.leyoujia.com/zf/detail/LFjw3kNiWwu6sAzfkDHPg8.html</x:v>
      </x:c>
      <x:c r="R1021" s="48" t="str">
        <x:v>2026-08-13</x:v>
      </x:c>
    </x:row>
    <x:row r="1022">
      <x:c r="A1022" s="48" t="str">
        <x:v>一品东门雅园</x:v>
      </x:c>
      <x:c r="B1022" s="48" t="str">
        <x:v>一品东门雅园</x:v>
      </x:c>
      <x:c r="C1022" s="48" t="str">
        <x:v>晒布</x:v>
      </x:c>
      <x:c r="D1022" s="56" t="n">
        <x:v>11.1</x:v>
      </x:c>
      <x:c r="E1022" s="61" t="n">
        <x:v>3600</x:v>
      </x:c>
      <x:c r="F1022" s="61" t="n">
        <x:v>40.94</x:v>
      </x:c>
      <x:c r="G1022" s="61" t="n">
        <x:v>87.9</x:v>
      </x:c>
      <x:c r="H1022" s="48" t="str">
        <x:v>1室1厅1</x:v>
      </x:c>
      <x:c r="I1022" s="48" t="str">
        <x:v>西北</x:v>
      </x:c>
      <x:c r="J1022" s="48" t="str">
        <x:v>普装</x:v>
      </x:c>
      <x:c r="K1022" s="48" t="str">
        <x:v>普通住宅</x:v>
      </x:c>
      <x:c r="L1022" s="48" t="str">
        <x:v>否</x:v>
      </x:c>
      <x:c r="M1022" s="48" t="str">
        <x:v>异常高价</x:v>
      </x:c>
      <x:c r="N1022" s="48" t="str">
        <x:v>一品东门雅园|1室1厅1|41|3600|西北</x:v>
      </x:c>
      <x:c r="O1022" s="48"/>
      <x:c r="P1022" s="48" t="str">
        <x:v>未知（未逐条补齐）</x:v>
      </x:c>
      <x:c r="Q1022" s="48" t="str">
        <x:v>https://shenzhen.leyoujia.com/zf/detail/P6KUS3VToEB9GTk7w1zAsr.html</x:v>
      </x:c>
      <x:c r="R1022" s="48" t="str">
        <x:v>2026-08-13</x:v>
      </x:c>
    </x:row>
    <x:row r="1023">
      <x:c r="A1023" s="48" t="str">
        <x:v>一品东门雅园</x:v>
      </x:c>
      <x:c r="B1023" s="48" t="str">
        <x:v>一品东门雅园</x:v>
      </x:c>
      <x:c r="C1023" s="48" t="str">
        <x:v>晒布</x:v>
      </x:c>
      <x:c r="D1023" s="56" t="n">
        <x:v>11.1</x:v>
      </x:c>
      <x:c r="E1023" s="61" t="n">
        <x:v>3700</x:v>
      </x:c>
      <x:c r="F1023" s="61" t="n">
        <x:v>30.85</x:v>
      </x:c>
      <x:c r="G1023" s="61" t="n">
        <x:v>119.9</x:v>
      </x:c>
      <x:c r="H1023" s="48" t="str">
        <x:v>1室1厅1</x:v>
      </x:c>
      <x:c r="I1023" s="48" t="str">
        <x:v>西北</x:v>
      </x:c>
      <x:c r="J1023" s="48" t="str">
        <x:v>精装</x:v>
      </x:c>
      <x:c r="K1023" s="48" t="str">
        <x:v>普通住宅</x:v>
      </x:c>
      <x:c r="L1023" s="48" t="str">
        <x:v>否</x:v>
      </x:c>
      <x:c r="M1023" s="48" t="str">
        <x:v>异常高价</x:v>
      </x:c>
      <x:c r="N1023" s="48" t="str">
        <x:v>一品东门雅园|1室1厅1|31|3700|西北</x:v>
      </x:c>
      <x:c r="O1023" s="48"/>
      <x:c r="P1023" s="48" t="str">
        <x:v>未知（未逐条补齐）</x:v>
      </x:c>
      <x:c r="Q1023" s="48" t="str">
        <x:v>https://shenzhen.leyoujia.com/zf/detail/EbSsHERtJiZGXpU54saC3j.html</x:v>
      </x:c>
      <x:c r="R1023" s="48" t="str">
        <x:v>2026-08-13</x:v>
      </x:c>
    </x:row>
    <x:row r="1024">
      <x:c r="A1024" s="48" t="str">
        <x:v>128号大院</x:v>
      </x:c>
      <x:c r="B1024" s="48" t="str">
        <x:v>128号大院</x:v>
      </x:c>
      <x:c r="C1024" s="48" t="str">
        <x:v>晒布</x:v>
      </x:c>
      <x:c r="D1024" s="56" t="n">
        <x:v>10.4</x:v>
      </x:c>
      <x:c r="E1024" s="61" t="n">
        <x:v>2580</x:v>
      </x:c>
      <x:c r="F1024" s="61" t="n">
        <x:v>30</x:v>
      </x:c>
      <x:c r="G1024" s="61" t="n">
        <x:v>86</x:v>
      </x:c>
      <x:c r="H1024" s="48" t="str">
        <x:v>1室0厅1</x:v>
      </x:c>
      <x:c r="I1024" s="48" t="str">
        <x:v>南</x:v>
      </x:c>
      <x:c r="J1024" s="48" t="str">
        <x:v>待核</x:v>
      </x:c>
      <x:c r="K1024" s="48" t="str">
        <x:v>住宅</x:v>
      </x:c>
      <x:c r="L1024" s="48" t="str">
        <x:v>是</x:v>
      </x:c>
      <x:c r="M1024" s="48" t="str">
        <x:v>保留</x:v>
      </x:c>
      <x:c r="N1024" s="48" t="str">
        <x:v>128号大院|1室0厅1|30|2580|南</x:v>
      </x:c>
      <x:c r="O1024" s="48"/>
      <x:c r="P1024" s="48" t="str">
        <x:v>未知（未逐条补齐）</x:v>
      </x:c>
      <x:c r="Q1024" s="48" t="str">
        <x:v>https://shenzhen.leyoujia.com/zf/detail/QzZHHh5Yfkfq5C5sZqziF6.html</x:v>
      </x:c>
      <x:c r="R1024" s="48" t="str">
        <x:v>2026-08-13</x:v>
      </x:c>
    </x:row>
    <x:row r="1025">
      <x:c r="A1025" s="48" t="str">
        <x:v>128号大院</x:v>
      </x:c>
      <x:c r="B1025" s="48" t="str">
        <x:v>128号大院</x:v>
      </x:c>
      <x:c r="C1025" s="48" t="str">
        <x:v>晒布</x:v>
      </x:c>
      <x:c r="D1025" s="56" t="n">
        <x:v>10.4</x:v>
      </x:c>
      <x:c r="E1025" s="61" t="n">
        <x:v>2600</x:v>
      </x:c>
      <x:c r="F1025" s="61" t="n">
        <x:v>30</x:v>
      </x:c>
      <x:c r="G1025" s="61" t="n">
        <x:v>86.7</x:v>
      </x:c>
      <x:c r="H1025" s="48" t="str">
        <x:v>1室0厅1</x:v>
      </x:c>
      <x:c r="I1025" s="48" t="str">
        <x:v>南</x:v>
      </x:c>
      <x:c r="J1025" s="48" t="str">
        <x:v>精装</x:v>
      </x:c>
      <x:c r="K1025" s="48" t="str">
        <x:v>普通住宅</x:v>
      </x:c>
      <x:c r="L1025" s="48" t="str">
        <x:v>是</x:v>
      </x:c>
      <x:c r="M1025" s="48" t="str">
        <x:v>保留</x:v>
      </x:c>
      <x:c r="N1025" s="48" t="str">
        <x:v>128号大院|1室0厅1|30|2600|南</x:v>
      </x:c>
      <x:c r="O1025" s="48"/>
      <x:c r="P1025" s="48" t="str">
        <x:v>未知（未逐条补齐）</x:v>
      </x:c>
      <x:c r="Q1025" s="48" t="str">
        <x:v>https://shenzhen.leyoujia.com/zf/detail/8eeQdy1q9DG9qo8PszMTZz.html</x:v>
      </x:c>
      <x:c r="R1025" s="48" t="str">
        <x:v>2026-08-13</x:v>
      </x:c>
    </x:row>
    <x:row r="1026">
      <x:c r="A1026" s="48" t="str">
        <x:v>128号大院</x:v>
      </x:c>
      <x:c r="B1026" s="48" t="str">
        <x:v>128号大院</x:v>
      </x:c>
      <x:c r="C1026" s="48" t="str">
        <x:v>晒布</x:v>
      </x:c>
      <x:c r="D1026" s="56" t="n">
        <x:v>10.4</x:v>
      </x:c>
      <x:c r="E1026" s="61" t="n">
        <x:v>2680</x:v>
      </x:c>
      <x:c r="F1026" s="61" t="n">
        <x:v>30</x:v>
      </x:c>
      <x:c r="G1026" s="61" t="n">
        <x:v>89.3</x:v>
      </x:c>
      <x:c r="H1026" s="48" t="str">
        <x:v>1室0厅1</x:v>
      </x:c>
      <x:c r="I1026" s="48" t="str">
        <x:v>南</x:v>
      </x:c>
      <x:c r="J1026" s="48" t="str">
        <x:v>待核</x:v>
      </x:c>
      <x:c r="K1026" s="48" t="str">
        <x:v>住宅</x:v>
      </x:c>
      <x:c r="L1026" s="48" t="str">
        <x:v>是</x:v>
      </x:c>
      <x:c r="M1026" s="48" t="str">
        <x:v>保留</x:v>
      </x:c>
      <x:c r="N1026" s="48" t="str">
        <x:v>128号大院|1室0厅1|30|2680|南</x:v>
      </x:c>
      <x:c r="O1026" s="48"/>
      <x:c r="P1026" s="48" t="str">
        <x:v>未知（未逐条补齐）</x:v>
      </x:c>
      <x:c r="Q1026" s="48" t="str">
        <x:v>https://shenzhen.leyoujia.com/zf/detail/2JpVErA4kXgvuPHwDp95nA.html</x:v>
      </x:c>
      <x:c r="R1026" s="48" t="str">
        <x:v>2026-08-13</x:v>
      </x:c>
    </x:row>
    <x:row r="1027">
      <x:c r="A1027" s="48" t="str">
        <x:v>128号大院</x:v>
      </x:c>
      <x:c r="B1027" s="48" t="str">
        <x:v>128号大院</x:v>
      </x:c>
      <x:c r="C1027" s="48" t="str">
        <x:v>晒布</x:v>
      </x:c>
      <x:c r="D1027" s="56" t="n">
        <x:v>10.4</x:v>
      </x:c>
      <x:c r="E1027" s="61" t="n">
        <x:v>2680</x:v>
      </x:c>
      <x:c r="F1027" s="61" t="n">
        <x:v>30</x:v>
      </x:c>
      <x:c r="G1027" s="61" t="n">
        <x:v>89.3</x:v>
      </x:c>
      <x:c r="H1027" s="48" t="str">
        <x:v>1室0厅1</x:v>
      </x:c>
      <x:c r="I1027" s="48" t="str">
        <x:v>南</x:v>
      </x:c>
      <x:c r="J1027" s="48" t="str">
        <x:v>待核</x:v>
      </x:c>
      <x:c r="K1027" s="48" t="str">
        <x:v>住宅</x:v>
      </x:c>
      <x:c r="L1027" s="48" t="str">
        <x:v>否</x:v>
      </x:c>
      <x:c r="M1027" s="48" t="str">
        <x:v>疑似重复挂牌</x:v>
      </x:c>
      <x:c r="N1027" s="48" t="str">
        <x:v>128号大院|1室0厅1|30|2680|南</x:v>
      </x:c>
      <x:c r="O1027" s="48"/>
      <x:c r="P1027" s="48" t="str">
        <x:v>未知（未逐条补齐）</x:v>
      </x:c>
      <x:c r="Q1027" s="48" t="str">
        <x:v>https://shenzhen.leyoujia.com/zf/detail/NLH5qUsNJJdc4EsfzQy8y3.html</x:v>
      </x:c>
      <x:c r="R1027" s="48" t="str">
        <x:v>2026-08-13</x:v>
      </x:c>
    </x:row>
    <x:row r="1028">
      <x:c r="A1028" s="48" t="str">
        <x:v>128号大院</x:v>
      </x:c>
      <x:c r="B1028" s="48" t="str">
        <x:v>128号大院</x:v>
      </x:c>
      <x:c r="C1028" s="48" t="str">
        <x:v>晒布</x:v>
      </x:c>
      <x:c r="D1028" s="56" t="n">
        <x:v>10.4</x:v>
      </x:c>
      <x:c r="E1028" s="61" t="n">
        <x:v>2980</x:v>
      </x:c>
      <x:c r="F1028" s="61" t="n">
        <x:v>30</x:v>
      </x:c>
      <x:c r="G1028" s="61" t="n">
        <x:v>99.3</x:v>
      </x:c>
      <x:c r="H1028" s="48" t="str">
        <x:v>1室0厅1</x:v>
      </x:c>
      <x:c r="I1028" s="48" t="str">
        <x:v>南</x:v>
      </x:c>
      <x:c r="J1028" s="48" t="str">
        <x:v>待核</x:v>
      </x:c>
      <x:c r="K1028" s="48" t="str">
        <x:v>住宅</x:v>
      </x:c>
      <x:c r="L1028" s="48" t="str">
        <x:v>否</x:v>
      </x:c>
      <x:c r="M1028" s="48" t="str">
        <x:v>异常高价</x:v>
      </x:c>
      <x:c r="N1028" s="48" t="str">
        <x:v>128号大院|1室0厅1|30|2980|南</x:v>
      </x:c>
      <x:c r="O1028" s="48"/>
      <x:c r="P1028" s="48" t="str">
        <x:v>未知（未逐条补齐）</x:v>
      </x:c>
      <x:c r="Q1028" s="48" t="str">
        <x:v>https://shenzhen.leyoujia.com/zf/detail/HCeaZiRgQpi9b9mjwzKkNM.html</x:v>
      </x:c>
      <x:c r="R1028" s="48" t="str">
        <x:v>2026-08-13</x:v>
      </x:c>
    </x:row>
    <x:row r="1029">
      <x:c r="A1029" s="48" t="str">
        <x:v>物资大院</x:v>
      </x:c>
      <x:c r="B1029" s="48" t="str">
        <x:v>物资大院</x:v>
      </x:c>
      <x:c r="C1029" s="48" t="str">
        <x:v>晒布</x:v>
      </x:c>
      <x:c r="D1029" s="56" t="n">
        <x:v>12.7</x:v>
      </x:c>
      <x:c r="E1029" s="61" t="n">
        <x:v>2480</x:v>
      </x:c>
      <x:c r="F1029" s="61" t="n">
        <x:v>25</x:v>
      </x:c>
      <x:c r="G1029" s="61" t="n">
        <x:v>99.2</x:v>
      </x:c>
      <x:c r="H1029" s="48" t="str">
        <x:v>1室0厅1</x:v>
      </x:c>
      <x:c r="I1029" s="48" t="str">
        <x:v>南</x:v>
      </x:c>
      <x:c r="J1029" s="48" t="str">
        <x:v>普装</x:v>
      </x:c>
      <x:c r="K1029" s="48" t="str">
        <x:v>普通住宅</x:v>
      </x:c>
      <x:c r="L1029" s="48" t="str">
        <x:v>是</x:v>
      </x:c>
      <x:c r="M1029" s="48" t="str">
        <x:v>保留</x:v>
      </x:c>
      <x:c r="N1029" s="48" t="str">
        <x:v>物资大院|1室0厅1|25|2480|南</x:v>
      </x:c>
      <x:c r="O1029" s="48"/>
      <x:c r="P1029" s="48" t="str">
        <x:v>未知（未逐条补齐）</x:v>
      </x:c>
      <x:c r="Q1029" s="48" t="str">
        <x:v>https://shenzhen.leyoujia.com/zf/detail/F5B3XYWDcbnQW3GX1x3NdV.html</x:v>
      </x:c>
      <x:c r="R1029" s="48" t="str">
        <x:v>2026-08-13</x:v>
      </x:c>
    </x:row>
    <x:row r="1030">
      <x:c r="A1030" s="48" t="str">
        <x:v>物资大院</x:v>
      </x:c>
      <x:c r="B1030" s="48" t="str">
        <x:v>物资大院</x:v>
      </x:c>
      <x:c r="C1030" s="48" t="str">
        <x:v>晒布</x:v>
      </x:c>
      <x:c r="D1030" s="56" t="n">
        <x:v>12.7</x:v>
      </x:c>
      <x:c r="E1030" s="61" t="n">
        <x:v>2480</x:v>
      </x:c>
      <x:c r="F1030" s="61" t="n">
        <x:v>25</x:v>
      </x:c>
      <x:c r="G1030" s="61" t="n">
        <x:v>99.2</x:v>
      </x:c>
      <x:c r="H1030" s="48" t="str">
        <x:v>1室0厅1</x:v>
      </x:c>
      <x:c r="I1030" s="48" t="str">
        <x:v>南</x:v>
      </x:c>
      <x:c r="J1030" s="48" t="str">
        <x:v>普装</x:v>
      </x:c>
      <x:c r="K1030" s="48" t="str">
        <x:v>普通住宅</x:v>
      </x:c>
      <x:c r="L1030" s="48" t="str">
        <x:v>否</x:v>
      </x:c>
      <x:c r="M1030" s="48" t="str">
        <x:v>疑似重复挂牌</x:v>
      </x:c>
      <x:c r="N1030" s="48" t="str">
        <x:v>物资大院|1室0厅1|25|2480|南</x:v>
      </x:c>
      <x:c r="O1030" s="48"/>
      <x:c r="P1030" s="48" t="str">
        <x:v>未知（未逐条补齐）</x:v>
      </x:c>
      <x:c r="Q1030" s="48" t="str">
        <x:v>https://shenzhen.leyoujia.com/zf/detail/6vdwruNzWDXNdwRx5qmfhv.html</x:v>
      </x:c>
      <x:c r="R1030" s="48" t="str">
        <x:v>2026-08-13</x:v>
      </x:c>
    </x:row>
    <x:row r="1031">
      <x:c r="A1031" s="48" t="str">
        <x:v>物资大院</x:v>
      </x:c>
      <x:c r="B1031" s="48" t="str">
        <x:v>物资大院</x:v>
      </x:c>
      <x:c r="C1031" s="48" t="str">
        <x:v>晒布</x:v>
      </x:c>
      <x:c r="D1031" s="56" t="n">
        <x:v>12.7</x:v>
      </x:c>
      <x:c r="E1031" s="61" t="n">
        <x:v>2700</x:v>
      </x:c>
      <x:c r="F1031" s="61" t="n">
        <x:v>25</x:v>
      </x:c>
      <x:c r="G1031" s="61" t="n">
        <x:v>108</x:v>
      </x:c>
      <x:c r="H1031" s="48" t="str">
        <x:v>1室0厅1</x:v>
      </x:c>
      <x:c r="I1031" s="48" t="str">
        <x:v>南</x:v>
      </x:c>
      <x:c r="J1031" s="48" t="str">
        <x:v>普装</x:v>
      </x:c>
      <x:c r="K1031" s="48" t="str">
        <x:v>普通住宅</x:v>
      </x:c>
      <x:c r="L1031" s="48" t="str">
        <x:v>是</x:v>
      </x:c>
      <x:c r="M1031" s="48" t="str">
        <x:v>保留</x:v>
      </x:c>
      <x:c r="N1031" s="48" t="str">
        <x:v>物资大院|1室0厅1|25|2700|南</x:v>
      </x:c>
      <x:c r="O1031" s="48"/>
      <x:c r="P1031" s="48" t="str">
        <x:v>未知（未逐条补齐）</x:v>
      </x:c>
      <x:c r="Q1031" s="48" t="str">
        <x:v>https://shenzhen.leyoujia.com/zf/detail/U1CsboPZw5SztgefkaTC6R.html</x:v>
      </x:c>
      <x:c r="R1031" s="48" t="str">
        <x:v>2026-08-13</x:v>
      </x:c>
    </x:row>
    <x:row r="1032">
      <x:c r="A1032" s="48" t="str">
        <x:v>聚龙大厦</x:v>
      </x:c>
      <x:c r="B1032" s="48" t="str">
        <x:v>聚龙大厦</x:v>
      </x:c>
      <x:c r="C1032" s="48" t="str">
        <x:v>晒布</x:v>
      </x:c>
      <x:c r="D1032" s="56" t="n">
        <x:v>11.3</x:v>
      </x:c>
      <x:c r="E1032" s="61" t="n">
        <x:v>3200</x:v>
      </x:c>
      <x:c r="F1032" s="61" t="n">
        <x:v>33.98</x:v>
      </x:c>
      <x:c r="G1032" s="61" t="n">
        <x:v>94.2</x:v>
      </x:c>
      <x:c r="H1032" s="48" t="str">
        <x:v>1室1厅1</x:v>
      </x:c>
      <x:c r="I1032" s="48" t="str">
        <x:v>西北</x:v>
      </x:c>
      <x:c r="J1032" s="48" t="str">
        <x:v>普装</x:v>
      </x:c>
      <x:c r="K1032" s="48" t="str">
        <x:v>普通住宅</x:v>
      </x:c>
      <x:c r="L1032" s="48" t="str">
        <x:v>是</x:v>
      </x:c>
      <x:c r="M1032" s="48" t="str">
        <x:v>保留</x:v>
      </x:c>
      <x:c r="N1032" s="48" t="str">
        <x:v>聚龙大厦|1室1厅1|34|3200|西北</x:v>
      </x:c>
      <x:c r="O1032" s="48"/>
      <x:c r="P1032" s="48" t="str">
        <x:v>未知（未逐条补齐）</x:v>
      </x:c>
      <x:c r="Q1032" s="48" t="str">
        <x:v>https://shenzhen.leyoujia.com/zf/detail/MjW5kRPaWYWk7u6LLex6qW.html</x:v>
      </x:c>
      <x:c r="R1032" s="48" t="str">
        <x:v>2026-08-13</x:v>
      </x:c>
    </x:row>
    <x:row r="1033">
      <x:c r="A1033" s="48" t="str">
        <x:v>聚龙大厦</x:v>
      </x:c>
      <x:c r="B1033" s="48" t="str">
        <x:v>聚龙大厦</x:v>
      </x:c>
      <x:c r="C1033" s="48" t="str">
        <x:v>晒布</x:v>
      </x:c>
      <x:c r="D1033" s="56" t="n">
        <x:v>11.3</x:v>
      </x:c>
      <x:c r="E1033" s="61" t="n">
        <x:v>3800</x:v>
      </x:c>
      <x:c r="F1033" s="61" t="n">
        <x:v>37.93</x:v>
      </x:c>
      <x:c r="G1033" s="61" t="n">
        <x:v>100.2</x:v>
      </x:c>
      <x:c r="H1033" s="48" t="str">
        <x:v>1室1厅1</x:v>
      </x:c>
      <x:c r="I1033" s="48" t="str">
        <x:v>西北</x:v>
      </x:c>
      <x:c r="J1033" s="48" t="str">
        <x:v>精装</x:v>
      </x:c>
      <x:c r="K1033" s="48" t="str">
        <x:v>普通住宅</x:v>
      </x:c>
      <x:c r="L1033" s="48" t="str">
        <x:v>是</x:v>
      </x:c>
      <x:c r="M1033" s="48" t="str">
        <x:v>保留</x:v>
      </x:c>
      <x:c r="N1033" s="48" t="str">
        <x:v>聚龙大厦|1室1厅1|38|3800|西北</x:v>
      </x:c>
      <x:c r="O1033" s="48"/>
      <x:c r="P1033" s="48" t="str">
        <x:v>未知（未逐条补齐）</x:v>
      </x:c>
      <x:c r="Q1033" s="48" t="str">
        <x:v>https://shenzhen.leyoujia.com/zf/detail/HwR4Y18J5rD9imhAhHTZqA.html</x:v>
      </x:c>
      <x:c r="R1033" s="48" t="str">
        <x:v>2026-08-13</x:v>
      </x:c>
    </x:row>
    <x:row r="1034">
      <x:c r="A1034" s="48" t="str">
        <x:v>名阳阁</x:v>
      </x:c>
      <x:c r="B1034" s="48" t="str">
        <x:v>名阳阁</x:v>
      </x:c>
      <x:c r="C1034" s="48" t="str">
        <x:v>晒布</x:v>
      </x:c>
      <x:c r="D1034" s="56" t="n">
        <x:v>15.4</x:v>
      </x:c>
      <x:c r="E1034" s="61" t="n">
        <x:v>3500</x:v>
      </x:c>
      <x:c r="F1034" s="61" t="n">
        <x:v>47.34</x:v>
      </x:c>
      <x:c r="G1034" s="61" t="n">
        <x:v>73.9</x:v>
      </x:c>
      <x:c r="H1034" s="48" t="str">
        <x:v>1室0厅1</x:v>
      </x:c>
      <x:c r="I1034" s="48" t="str">
        <x:v>南北</x:v>
      </x:c>
      <x:c r="J1034" s="48" t="str">
        <x:v>精装</x:v>
      </x:c>
      <x:c r="K1034" s="48" t="str">
        <x:v>普通住宅</x:v>
      </x:c>
      <x:c r="L1034" s="48" t="str">
        <x:v>是</x:v>
      </x:c>
      <x:c r="M1034" s="48" t="str">
        <x:v>保留</x:v>
      </x:c>
      <x:c r="N1034" s="48" t="str">
        <x:v>名阳阁|1室0厅1|47|3500|南北</x:v>
      </x:c>
      <x:c r="O1034" s="48"/>
      <x:c r="P1034" s="48" t="str">
        <x:v>未知（未逐条补齐）</x:v>
      </x:c>
      <x:c r="Q1034" s="48" t="str">
        <x:v>https://shenzhen.leyoujia.com/zf/detail/HVMazLjSvCt7t3V3Gf2sVt.html</x:v>
      </x:c>
      <x:c r="R1034" s="48" t="str">
        <x:v>2026-08-13</x:v>
      </x:c>
    </x:row>
    <x:row r="1035">
      <x:c r="A1035" s="48" t="str">
        <x:v>同乐大厦</x:v>
      </x:c>
      <x:c r="B1035" s="48" t="str">
        <x:v>同乐大厦</x:v>
      </x:c>
      <x:c r="C1035" s="48" t="str">
        <x:v>晒布</x:v>
      </x:c>
      <x:c r="D1035" s="56" t="n">
        <x:v>12.4</x:v>
      </x:c>
      <x:c r="E1035" s="61" t="n">
        <x:v>2400</x:v>
      </x:c>
      <x:c r="F1035" s="61" t="n">
        <x:v>26</x:v>
      </x:c>
      <x:c r="G1035" s="61" t="n">
        <x:v>92.3</x:v>
      </x:c>
      <x:c r="H1035" s="48" t="str">
        <x:v>1室0厅1</x:v>
      </x:c>
      <x:c r="I1035" s="48" t="str">
        <x:v>东</x:v>
      </x:c>
      <x:c r="J1035" s="48" t="str">
        <x:v>普装</x:v>
      </x:c>
      <x:c r="K1035" s="48" t="str">
        <x:v>普通住宅</x:v>
      </x:c>
      <x:c r="L1035" s="48" t="str">
        <x:v>是</x:v>
      </x:c>
      <x:c r="M1035" s="48" t="str">
        <x:v>保留</x:v>
      </x:c>
      <x:c r="N1035" s="48" t="str">
        <x:v>同乐大厦|1室0厅1|26|2400|东</x:v>
      </x:c>
      <x:c r="O1035" s="48"/>
      <x:c r="P1035" s="48" t="str">
        <x:v>未知（未逐条补齐）</x:v>
      </x:c>
      <x:c r="Q1035" s="48" t="str">
        <x:v>https://shenzhen.leyoujia.com/zf/detail/9xvS2HSd79Vv8vUU8pNLmd.html</x:v>
      </x:c>
      <x:c r="R1035" s="48" t="str">
        <x:v>2026-08-13</x:v>
      </x:c>
    </x:row>
    <x:row r="1036">
      <x:c r="A1036" s="48" t="str">
        <x:v>同乐大厦</x:v>
      </x:c>
      <x:c r="B1036" s="48" t="str">
        <x:v>同乐大厦</x:v>
      </x:c>
      <x:c r="C1036" s="48" t="str">
        <x:v>晒布</x:v>
      </x:c>
      <x:c r="D1036" s="56" t="n">
        <x:v>12.4</x:v>
      </x:c>
      <x:c r="E1036" s="61" t="n">
        <x:v>2800</x:v>
      </x:c>
      <x:c r="F1036" s="61" t="n">
        <x:v>30</x:v>
      </x:c>
      <x:c r="G1036" s="61" t="n">
        <x:v>93.3</x:v>
      </x:c>
      <x:c r="H1036" s="48" t="str">
        <x:v>1室0厅1</x:v>
      </x:c>
      <x:c r="I1036" s="48" t="str">
        <x:v>东</x:v>
      </x:c>
      <x:c r="J1036" s="48" t="str">
        <x:v>精装</x:v>
      </x:c>
      <x:c r="K1036" s="48" t="str">
        <x:v>公寓</x:v>
      </x:c>
      <x:c r="L1036" s="48" t="str">
        <x:v>是</x:v>
      </x:c>
      <x:c r="M1036" s="48" t="str">
        <x:v>保留</x:v>
      </x:c>
      <x:c r="N1036" s="48" t="str">
        <x:v>同乐大厦|1室0厅1|30|2800|东</x:v>
      </x:c>
      <x:c r="O1036" s="48"/>
      <x:c r="P1036" s="48" t="str">
        <x:v>未知（未逐条补齐）</x:v>
      </x:c>
      <x:c r="Q1036" s="48" t="str">
        <x:v>https://shenzhen.leyoujia.com/zf/detail/SCcpxcZfkRHq2f51JmVB4C.html</x:v>
      </x:c>
      <x:c r="R1036" s="48" t="str">
        <x:v>2026-08-13</x:v>
      </x:c>
    </x:row>
    <x:row r="1037">
      <x:c r="A1037" s="48" t="str">
        <x:v>同乐大厦</x:v>
      </x:c>
      <x:c r="B1037" s="48" t="str">
        <x:v>同乐大厦</x:v>
      </x:c>
      <x:c r="C1037" s="48" t="str">
        <x:v>晒布</x:v>
      </x:c>
      <x:c r="D1037" s="56" t="n">
        <x:v>12.4</x:v>
      </x:c>
      <x:c r="E1037" s="61" t="n">
        <x:v>2800</x:v>
      </x:c>
      <x:c r="F1037" s="61" t="n">
        <x:v>32</x:v>
      </x:c>
      <x:c r="G1037" s="61" t="n">
        <x:v>87.5</x:v>
      </x:c>
      <x:c r="H1037" s="48" t="str">
        <x:v>1室0厅1</x:v>
      </x:c>
      <x:c r="I1037" s="48" t="str">
        <x:v>东</x:v>
      </x:c>
      <x:c r="J1037" s="48" t="str">
        <x:v>精装</x:v>
      </x:c>
      <x:c r="K1037" s="48" t="str">
        <x:v>公寓</x:v>
      </x:c>
      <x:c r="L1037" s="48" t="str">
        <x:v>是</x:v>
      </x:c>
      <x:c r="M1037" s="48" t="str">
        <x:v>保留</x:v>
      </x:c>
      <x:c r="N1037" s="48" t="str">
        <x:v>同乐大厦|1室0厅1|32|2800|东</x:v>
      </x:c>
      <x:c r="O1037" s="48"/>
      <x:c r="P1037" s="48" t="str">
        <x:v>未知（未逐条补齐）</x:v>
      </x:c>
      <x:c r="Q1037" s="48" t="str">
        <x:v>https://shenzhen.leyoujia.com/zf/detail/Ci6Ugms6Ff9yCKPceCvJCJ.html</x:v>
      </x:c>
      <x:c r="R1037" s="48" t="str">
        <x:v>2026-08-13</x:v>
      </x:c>
    </x:row>
    <x:row r="1038">
      <x:c r="A1038" s="48" t="str">
        <x:v>同乐大厦</x:v>
      </x:c>
      <x:c r="B1038" s="48" t="str">
        <x:v>同乐大厦</x:v>
      </x:c>
      <x:c r="C1038" s="48" t="str">
        <x:v>晒布</x:v>
      </x:c>
      <x:c r="D1038" s="56" t="n">
        <x:v>12.4</x:v>
      </x:c>
      <x:c r="E1038" s="61" t="n">
        <x:v>2880</x:v>
      </x:c>
      <x:c r="F1038" s="61" t="n">
        <x:v>35</x:v>
      </x:c>
      <x:c r="G1038" s="61" t="n">
        <x:v>82.3</x:v>
      </x:c>
      <x:c r="H1038" s="48" t="str">
        <x:v>1室0厅1</x:v>
      </x:c>
      <x:c r="I1038" s="48" t="str">
        <x:v>北</x:v>
      </x:c>
      <x:c r="J1038" s="48" t="str">
        <x:v>精装</x:v>
      </x:c>
      <x:c r="K1038" s="48" t="str">
        <x:v>普通住宅</x:v>
      </x:c>
      <x:c r="L1038" s="48" t="str">
        <x:v>是</x:v>
      </x:c>
      <x:c r="M1038" s="48" t="str">
        <x:v>保留</x:v>
      </x:c>
      <x:c r="N1038" s="48" t="str">
        <x:v>同乐大厦|1室0厅1|35|2880|北</x:v>
      </x:c>
      <x:c r="O1038" s="48"/>
      <x:c r="P1038" s="48" t="str">
        <x:v>未知（未逐条补齐）</x:v>
      </x:c>
      <x:c r="Q1038" s="48" t="str">
        <x:v>https://shenzhen.leyoujia.com/zf/detail/NMHDxZRSeRMH7vZbqYKR2N.html</x:v>
      </x:c>
      <x:c r="R1038" s="48" t="str">
        <x:v>2026-08-13</x:v>
      </x:c>
    </x:row>
    <x:row r="1039">
      <x:c r="A1039" s="48" t="str">
        <x:v>同乐大厦</x:v>
      </x:c>
      <x:c r="B1039" s="48" t="str">
        <x:v>同乐大厦</x:v>
      </x:c>
      <x:c r="C1039" s="48" t="str">
        <x:v>晒布</x:v>
      </x:c>
      <x:c r="D1039" s="56" t="n">
        <x:v>12.4</x:v>
      </x:c>
      <x:c r="E1039" s="61" t="n">
        <x:v>2900</x:v>
      </x:c>
      <x:c r="F1039" s="61" t="n">
        <x:v>28</x:v>
      </x:c>
      <x:c r="G1039" s="61" t="n">
        <x:v>103.6</x:v>
      </x:c>
      <x:c r="H1039" s="48" t="str">
        <x:v>1室0厅1</x:v>
      </x:c>
      <x:c r="I1039" s="48" t="str">
        <x:v>东</x:v>
      </x:c>
      <x:c r="J1039" s="48" t="str">
        <x:v>精装</x:v>
      </x:c>
      <x:c r="K1039" s="48" t="str">
        <x:v>普通住宅</x:v>
      </x:c>
      <x:c r="L1039" s="48" t="str">
        <x:v>是</x:v>
      </x:c>
      <x:c r="M1039" s="48" t="str">
        <x:v>保留</x:v>
      </x:c>
      <x:c r="N1039" s="48" t="str">
        <x:v>同乐大厦|1室0厅1|28|2900|东</x:v>
      </x:c>
      <x:c r="O1039" s="48"/>
      <x:c r="P1039" s="48" t="str">
        <x:v>未知（未逐条补齐）</x:v>
      </x:c>
      <x:c r="Q1039" s="48" t="str">
        <x:v>https://shenzhen.leyoujia.com/zf/detail/P1x4mCw1nr7mahmiCjJUoz.html</x:v>
      </x:c>
      <x:c r="R1039" s="48" t="str">
        <x:v>2026-08-13</x:v>
      </x:c>
    </x:row>
    <x:row r="1040">
      <x:c r="A1040" s="48" t="str">
        <x:v>同乐大厦</x:v>
      </x:c>
      <x:c r="B1040" s="48" t="str">
        <x:v>同乐大厦</x:v>
      </x:c>
      <x:c r="C1040" s="48" t="str">
        <x:v>晒布</x:v>
      </x:c>
      <x:c r="D1040" s="56" t="n">
        <x:v>12.4</x:v>
      </x:c>
      <x:c r="E1040" s="61" t="n">
        <x:v>3000</x:v>
      </x:c>
      <x:c r="F1040" s="61" t="n">
        <x:v>42</x:v>
      </x:c>
      <x:c r="G1040" s="61" t="n">
        <x:v>71.4</x:v>
      </x:c>
      <x:c r="H1040" s="48" t="str">
        <x:v>1室1厅1</x:v>
      </x:c>
      <x:c r="I1040" s="48" t="str">
        <x:v>东</x:v>
      </x:c>
      <x:c r="J1040" s="48" t="str">
        <x:v>普装</x:v>
      </x:c>
      <x:c r="K1040" s="48" t="str">
        <x:v>普通住宅</x:v>
      </x:c>
      <x:c r="L1040" s="48" t="str">
        <x:v>是</x:v>
      </x:c>
      <x:c r="M1040" s="48" t="str">
        <x:v>保留</x:v>
      </x:c>
      <x:c r="N1040" s="48" t="str">
        <x:v>同乐大厦|1室1厅1|42|3000|东</x:v>
      </x:c>
      <x:c r="O1040" s="48"/>
      <x:c r="P1040" s="48" t="str">
        <x:v>未知（未逐条补齐）</x:v>
      </x:c>
      <x:c r="Q1040" s="48" t="str">
        <x:v>https://shenzhen.leyoujia.com/zf/detail/LrwoDFysqJ55KFnK3Msea4.html</x:v>
      </x:c>
      <x:c r="R1040" s="48" t="str">
        <x:v>2026-08-13</x:v>
      </x:c>
    </x:row>
    <x:row r="1041">
      <x:c r="A1041" s="48" t="str">
        <x:v>同乐大厦</x:v>
      </x:c>
      <x:c r="B1041" s="48" t="str">
        <x:v>同乐大厦</x:v>
      </x:c>
      <x:c r="C1041" s="48" t="str">
        <x:v>晒布</x:v>
      </x:c>
      <x:c r="D1041" s="56" t="n">
        <x:v>12.4</x:v>
      </x:c>
      <x:c r="E1041" s="61" t="n">
        <x:v>3000</x:v>
      </x:c>
      <x:c r="F1041" s="61" t="n">
        <x:v>25</x:v>
      </x:c>
      <x:c r="G1041" s="61" t="n">
        <x:v>120</x:v>
      </x:c>
      <x:c r="H1041" s="48" t="str">
        <x:v>1室0厅1</x:v>
      </x:c>
      <x:c r="I1041" s="48" t="str">
        <x:v>东</x:v>
      </x:c>
      <x:c r="J1041" s="48" t="str">
        <x:v>精装</x:v>
      </x:c>
      <x:c r="K1041" s="48" t="str">
        <x:v>公寓</x:v>
      </x:c>
      <x:c r="L1041" s="48" t="str">
        <x:v>是</x:v>
      </x:c>
      <x:c r="M1041" s="48" t="str">
        <x:v>保留</x:v>
      </x:c>
      <x:c r="N1041" s="48" t="str">
        <x:v>同乐大厦|1室0厅1|25|3000|东</x:v>
      </x:c>
      <x:c r="O1041" s="48"/>
      <x:c r="P1041" s="48" t="str">
        <x:v>未知（未逐条补齐）</x:v>
      </x:c>
      <x:c r="Q1041" s="48" t="str">
        <x:v>https://shenzhen.leyoujia.com/zf/detail/LsHZQoHnPHHAeWMJRTJpVG.html</x:v>
      </x:c>
      <x:c r="R1041" s="48" t="str">
        <x:v>2026-08-13</x:v>
      </x:c>
    </x:row>
    <x:row r="1042">
      <x:c r="A1042" s="48" t="str">
        <x:v>同乐大厦</x:v>
      </x:c>
      <x:c r="B1042" s="48" t="str">
        <x:v>同乐大厦</x:v>
      </x:c>
      <x:c r="C1042" s="48" t="str">
        <x:v>晒布</x:v>
      </x:c>
      <x:c r="D1042" s="56" t="n">
        <x:v>12.4</x:v>
      </x:c>
      <x:c r="E1042" s="61" t="n">
        <x:v>3200</x:v>
      </x:c>
      <x:c r="F1042" s="61" t="n">
        <x:v>33</x:v>
      </x:c>
      <x:c r="G1042" s="61" t="n">
        <x:v>97</x:v>
      </x:c>
      <x:c r="H1042" s="48" t="str">
        <x:v>1室0厅1</x:v>
      </x:c>
      <x:c r="I1042" s="48" t="str">
        <x:v>东</x:v>
      </x:c>
      <x:c r="J1042" s="48" t="str">
        <x:v>精装</x:v>
      </x:c>
      <x:c r="K1042" s="48" t="str">
        <x:v>公寓</x:v>
      </x:c>
      <x:c r="L1042" s="48" t="str">
        <x:v>是</x:v>
      </x:c>
      <x:c r="M1042" s="48" t="str">
        <x:v>保留</x:v>
      </x:c>
      <x:c r="N1042" s="48" t="str">
        <x:v>同乐大厦|1室0厅1|33|3200|东</x:v>
      </x:c>
      <x:c r="O1042" s="48"/>
      <x:c r="P1042" s="48" t="str">
        <x:v>未知（未逐条补齐）</x:v>
      </x:c>
      <x:c r="Q1042" s="48" t="str">
        <x:v>https://shenzhen.leyoujia.com/zf/detail/LZG7dcdppGAf1tpk9kqBFT.html</x:v>
      </x:c>
      <x:c r="R1042" s="48" t="str">
        <x:v>2026-08-13</x:v>
      </x:c>
    </x:row>
    <x:row r="1043">
      <x:c r="A1043" s="48" t="str">
        <x:v>同乐大厦</x:v>
      </x:c>
      <x:c r="B1043" s="48" t="str">
        <x:v>同乐大厦</x:v>
      </x:c>
      <x:c r="C1043" s="48" t="str">
        <x:v>晒布</x:v>
      </x:c>
      <x:c r="D1043" s="56" t="n">
        <x:v>12.4</x:v>
      </x:c>
      <x:c r="E1043" s="61" t="n">
        <x:v>3300</x:v>
      </x:c>
      <x:c r="F1043" s="61" t="n">
        <x:v>64.03</x:v>
      </x:c>
      <x:c r="G1043" s="61" t="n">
        <x:v>51.5</x:v>
      </x:c>
      <x:c r="H1043" s="48" t="str">
        <x:v>1室0厅1</x:v>
      </x:c>
      <x:c r="I1043" s="48" t="str">
        <x:v>南北</x:v>
      </x:c>
      <x:c r="J1043" s="48" t="str">
        <x:v>普装</x:v>
      </x:c>
      <x:c r="K1043" s="48" t="str">
        <x:v>普通住宅</x:v>
      </x:c>
      <x:c r="L1043" s="48" t="str">
        <x:v>否</x:v>
      </x:c>
      <x:c r="M1043" s="48" t="str">
        <x:v>异常低价待核</x:v>
      </x:c>
      <x:c r="N1043" s="48" t="str">
        <x:v>同乐大厦|1室0厅1|64|3300|南北</x:v>
      </x:c>
      <x:c r="O1043" s="48"/>
      <x:c r="P1043" s="48" t="str">
        <x:v>未知（未逐条补齐）</x:v>
      </x:c>
      <x:c r="Q1043" s="48" t="str">
        <x:v>https://shenzhen.leyoujia.com/zf/detail/X1ubWvjkmJ5SN8MBXBKgSJ.html</x:v>
      </x:c>
      <x:c r="R1043" s="48" t="str">
        <x:v>2026-08-13</x:v>
      </x:c>
    </x:row>
    <x:row r="1044">
      <x:c r="A1044" s="48" t="str">
        <x:v>同乐大厦</x:v>
      </x:c>
      <x:c r="B1044" s="48" t="str">
        <x:v>同乐大厦</x:v>
      </x:c>
      <x:c r="C1044" s="48" t="str">
        <x:v>晒布</x:v>
      </x:c>
      <x:c r="D1044" s="56" t="n">
        <x:v>12.4</x:v>
      </x:c>
      <x:c r="E1044" s="61" t="n">
        <x:v>3600</x:v>
      </x:c>
      <x:c r="F1044" s="61" t="n">
        <x:v>38.08</x:v>
      </x:c>
      <x:c r="G1044" s="61" t="n">
        <x:v>94.5</x:v>
      </x:c>
      <x:c r="H1044" s="48" t="str">
        <x:v>1室1厅1</x:v>
      </x:c>
      <x:c r="I1044" s="48" t="str">
        <x:v>南</x:v>
      </x:c>
      <x:c r="J1044" s="48" t="str">
        <x:v>普装</x:v>
      </x:c>
      <x:c r="K1044" s="48" t="str">
        <x:v>普通住宅</x:v>
      </x:c>
      <x:c r="L1044" s="48" t="str">
        <x:v>是</x:v>
      </x:c>
      <x:c r="M1044" s="48" t="str">
        <x:v>保留</x:v>
      </x:c>
      <x:c r="N1044" s="48" t="str">
        <x:v>同乐大厦|1室1厅1|38|3600|南</x:v>
      </x:c>
      <x:c r="O1044" s="48"/>
      <x:c r="P1044" s="48" t="str">
        <x:v>未知（未逐条补齐）</x:v>
      </x:c>
      <x:c r="Q1044" s="48" t="str">
        <x:v>https://shenzhen.leyoujia.com/zf/detail/W8RtgmBnFcMsayN7qREgeu.html</x:v>
      </x:c>
      <x:c r="R1044" s="48" t="str">
        <x:v>2026-08-13</x:v>
      </x:c>
    </x:row>
    <x:row r="1045">
      <x:c r="A1045" s="48" t="str">
        <x:v>同乐大厦</x:v>
      </x:c>
      <x:c r="B1045" s="48" t="str">
        <x:v>同乐大厦</x:v>
      </x:c>
      <x:c r="C1045" s="48" t="str">
        <x:v>晒布</x:v>
      </x:c>
      <x:c r="D1045" s="56" t="n">
        <x:v>12.4</x:v>
      </x:c>
      <x:c r="E1045" s="61" t="n">
        <x:v>3980</x:v>
      </x:c>
      <x:c r="F1045" s="61" t="n">
        <x:v>64.03</x:v>
      </x:c>
      <x:c r="G1045" s="61" t="n">
        <x:v>62.2</x:v>
      </x:c>
      <x:c r="H1045" s="48" t="str">
        <x:v>1室0厅1</x:v>
      </x:c>
      <x:c r="I1045" s="48" t="str">
        <x:v>南北</x:v>
      </x:c>
      <x:c r="J1045" s="48" t="str">
        <x:v>精装</x:v>
      </x:c>
      <x:c r="K1045" s="48" t="str">
        <x:v>普通住宅</x:v>
      </x:c>
      <x:c r="L1045" s="48" t="str">
        <x:v>否</x:v>
      </x:c>
      <x:c r="M1045" s="48" t="str">
        <x:v>异常高价</x:v>
      </x:c>
      <x:c r="N1045" s="48" t="str">
        <x:v>同乐大厦|1室0厅1|64|3980|南北</x:v>
      </x:c>
      <x:c r="O1045" s="48"/>
      <x:c r="P1045" s="48" t="str">
        <x:v>未知（未逐条补齐）</x:v>
      </x:c>
      <x:c r="Q1045" s="48" t="str">
        <x:v>https://shenzhen.leyoujia.com/zf/detail/YWQDPLspo7qLp6v3rMWH8z.html</x:v>
      </x:c>
      <x:c r="R1045" s="48" t="str">
        <x:v>2026-08-13</x:v>
      </x:c>
    </x:row>
    <x:row r="1046">
      <x:c r="A1046" s="48" t="str">
        <x:v>名都大厦A座</x:v>
      </x:c>
      <x:c r="B1046" s="48" t="str">
        <x:v>名都大厦</x:v>
      </x:c>
      <x:c r="C1046" s="48" t="str">
        <x:v>晒布</x:v>
      </x:c>
      <x:c r="D1046" s="56" t="n">
        <x:v>14.7</x:v>
      </x:c>
      <x:c r="E1046" s="61" t="n">
        <x:v>2500</x:v>
      </x:c>
      <x:c r="F1046" s="61" t="n">
        <x:v>20</x:v>
      </x:c>
      <x:c r="G1046" s="61" t="n">
        <x:v>125</x:v>
      </x:c>
      <x:c r="H1046" s="48" t="str">
        <x:v>1室0厅1</x:v>
      </x:c>
      <x:c r="I1046" s="48" t="str">
        <x:v>南</x:v>
      </x:c>
      <x:c r="J1046" s="48" t="str">
        <x:v>普装</x:v>
      </x:c>
      <x:c r="K1046" s="48" t="str">
        <x:v>普通住宅</x:v>
      </x:c>
      <x:c r="L1046" s="48" t="str">
        <x:v>是</x:v>
      </x:c>
      <x:c r="M1046" s="48" t="str">
        <x:v>保留</x:v>
      </x:c>
      <x:c r="N1046" s="48" t="str">
        <x:v>名都大厦|1室0厅1|20|2500|南</x:v>
      </x:c>
      <x:c r="O1046" s="48"/>
      <x:c r="P1046" s="48" t="str">
        <x:v>未知（未逐条补齐）</x:v>
      </x:c>
      <x:c r="Q1046" s="48" t="str">
        <x:v>https://shenzhen.leyoujia.com/zf/detail/QhsEJsCuwSLrp2hVGXtZt8.html</x:v>
      </x:c>
      <x:c r="R1046" s="48" t="str">
        <x:v>2026-08-13</x:v>
      </x:c>
    </x:row>
    <x:row r="1047">
      <x:c r="A1047" s="48" t="str">
        <x:v>名都大厦A座</x:v>
      </x:c>
      <x:c r="B1047" s="48" t="str">
        <x:v>名都大厦</x:v>
      </x:c>
      <x:c r="C1047" s="48" t="str">
        <x:v>晒布</x:v>
      </x:c>
      <x:c r="D1047" s="56" t="n">
        <x:v>14.7</x:v>
      </x:c>
      <x:c r="E1047" s="61" t="n">
        <x:v>2680</x:v>
      </x:c>
      <x:c r="F1047" s="61" t="n">
        <x:v>25</x:v>
      </x:c>
      <x:c r="G1047" s="61" t="n">
        <x:v>107.2</x:v>
      </x:c>
      <x:c r="H1047" s="48" t="str">
        <x:v>1室0厅1</x:v>
      </x:c>
      <x:c r="I1047" s="48" t="str">
        <x:v>西</x:v>
      </x:c>
      <x:c r="J1047" s="48" t="str">
        <x:v>普装</x:v>
      </x:c>
      <x:c r="K1047" s="48" t="str">
        <x:v>普通住宅</x:v>
      </x:c>
      <x:c r="L1047" s="48" t="str">
        <x:v>是</x:v>
      </x:c>
      <x:c r="M1047" s="48" t="str">
        <x:v>保留</x:v>
      </x:c>
      <x:c r="N1047" s="48" t="str">
        <x:v>名都大厦|1室0厅1|25|2680|西</x:v>
      </x:c>
      <x:c r="O1047" s="48"/>
      <x:c r="P1047" s="48" t="str">
        <x:v>未知（未逐条补齐）</x:v>
      </x:c>
      <x:c r="Q1047" s="48" t="str">
        <x:v>https://shenzhen.leyoujia.com/zf/detail/G2M82J7Dno3gD22tBRKVKX.html</x:v>
      </x:c>
      <x:c r="R1047" s="48" t="str">
        <x:v>2026-08-13</x:v>
      </x:c>
    </x:row>
    <x:row r="1048">
      <x:c r="A1048" s="48" t="str">
        <x:v>名都大厦A座</x:v>
      </x:c>
      <x:c r="B1048" s="48" t="str">
        <x:v>名都大厦</x:v>
      </x:c>
      <x:c r="C1048" s="48" t="str">
        <x:v>晒布</x:v>
      </x:c>
      <x:c r="D1048" s="56" t="n">
        <x:v>14.7</x:v>
      </x:c>
      <x:c r="E1048" s="61" t="n">
        <x:v>2880</x:v>
      </x:c>
      <x:c r="F1048" s="61" t="n">
        <x:v>36</x:v>
      </x:c>
      <x:c r="G1048" s="61" t="n">
        <x:v>80</x:v>
      </x:c>
      <x:c r="H1048" s="48" t="str">
        <x:v>1室1厅1</x:v>
      </x:c>
      <x:c r="I1048" s="48" t="str">
        <x:v>东北</x:v>
      </x:c>
      <x:c r="J1048" s="48" t="str">
        <x:v>普装</x:v>
      </x:c>
      <x:c r="K1048" s="48" t="str">
        <x:v>普通住宅</x:v>
      </x:c>
      <x:c r="L1048" s="48" t="str">
        <x:v>是</x:v>
      </x:c>
      <x:c r="M1048" s="48" t="str">
        <x:v>保留</x:v>
      </x:c>
      <x:c r="N1048" s="48" t="str">
        <x:v>名都大厦|1室1厅1|36|2880|东北</x:v>
      </x:c>
      <x:c r="O1048" s="48"/>
      <x:c r="P1048" s="48" t="str">
        <x:v>未知（未逐条补齐）</x:v>
      </x:c>
      <x:c r="Q1048" s="48" t="str">
        <x:v>https://shenzhen.leyoujia.com/zf/detail/AEL8hu8UVESdwJfi15rHqM.html</x:v>
      </x:c>
      <x:c r="R1048" s="48" t="str">
        <x:v>2026-08-13</x:v>
      </x:c>
    </x:row>
    <x:row r="1049">
      <x:c r="A1049" s="48" t="str">
        <x:v>名都大厦A座</x:v>
      </x:c>
      <x:c r="B1049" s="48" t="str">
        <x:v>名都大厦</x:v>
      </x:c>
      <x:c r="C1049" s="48" t="str">
        <x:v>晒布</x:v>
      </x:c>
      <x:c r="D1049" s="56" t="n">
        <x:v>14.7</x:v>
      </x:c>
      <x:c r="E1049" s="61" t="n">
        <x:v>3300</x:v>
      </x:c>
      <x:c r="F1049" s="61" t="n">
        <x:v>42.96</x:v>
      </x:c>
      <x:c r="G1049" s="61" t="n">
        <x:v>76.8</x:v>
      </x:c>
      <x:c r="H1049" s="48" t="str">
        <x:v>1室0厅1</x:v>
      </x:c>
      <x:c r="I1049" s="48" t="str">
        <x:v>南</x:v>
      </x:c>
      <x:c r="J1049" s="48" t="str">
        <x:v>精装</x:v>
      </x:c>
      <x:c r="K1049" s="48" t="str">
        <x:v>普通住宅</x:v>
      </x:c>
      <x:c r="L1049" s="48" t="str">
        <x:v>是</x:v>
      </x:c>
      <x:c r="M1049" s="48" t="str">
        <x:v>保留</x:v>
      </x:c>
      <x:c r="N1049" s="48" t="str">
        <x:v>名都大厦|1室0厅1|43|3300|南</x:v>
      </x:c>
      <x:c r="O1049" s="48"/>
      <x:c r="P1049" s="48" t="str">
        <x:v>未知（未逐条补齐）</x:v>
      </x:c>
      <x:c r="Q1049" s="48" t="str">
        <x:v>https://shenzhen.leyoujia.com/zf/detail/HmZhpMEiLR6Vmu3JMBcWYe.html</x:v>
      </x:c>
      <x:c r="R1049" s="48" t="str">
        <x:v>2026-08-13</x:v>
      </x:c>
    </x:row>
    <x:row r="1050">
      <x:c r="A1050" s="48" t="str">
        <x:v>名都大厦A座</x:v>
      </x:c>
      <x:c r="B1050" s="48" t="str">
        <x:v>名都大厦</x:v>
      </x:c>
      <x:c r="C1050" s="48" t="str">
        <x:v>晒布</x:v>
      </x:c>
      <x:c r="D1050" s="56" t="n">
        <x:v>14.7</x:v>
      </x:c>
      <x:c r="E1050" s="61" t="n">
        <x:v>3700</x:v>
      </x:c>
      <x:c r="F1050" s="61" t="n">
        <x:v>45</x:v>
      </x:c>
      <x:c r="G1050" s="61" t="n">
        <x:v>82.2</x:v>
      </x:c>
      <x:c r="H1050" s="48" t="str">
        <x:v>1室0厅1</x:v>
      </x:c>
      <x:c r="I1050" s="48" t="str">
        <x:v>南</x:v>
      </x:c>
      <x:c r="J1050" s="48" t="str">
        <x:v>精装</x:v>
      </x:c>
      <x:c r="K1050" s="48" t="str">
        <x:v>普通住宅</x:v>
      </x:c>
      <x:c r="L1050" s="48" t="str">
        <x:v>是</x:v>
      </x:c>
      <x:c r="M1050" s="48" t="str">
        <x:v>保留</x:v>
      </x:c>
      <x:c r="N1050" s="48" t="str">
        <x:v>名都大厦|1室0厅1|45|3700|南</x:v>
      </x:c>
      <x:c r="O1050" s="48"/>
      <x:c r="P1050" s="48" t="str">
        <x:v>未知（未逐条补齐）</x:v>
      </x:c>
      <x:c r="Q1050" s="48" t="str">
        <x:v>https://shenzhen.leyoujia.com/zf/detail/D9edFRTqXvGUg4GKCZYZdZ.html</x:v>
      </x:c>
      <x:c r="R1050" s="48" t="str">
        <x:v>2026-08-13</x:v>
      </x:c>
    </x:row>
    <x:row r="1051">
      <x:c r="A1051" s="48" t="str">
        <x:v>名都大厦A座</x:v>
      </x:c>
      <x:c r="B1051" s="48" t="str">
        <x:v>名都大厦</x:v>
      </x:c>
      <x:c r="C1051" s="48" t="str">
        <x:v>晒布</x:v>
      </x:c>
      <x:c r="D1051" s="56" t="n">
        <x:v>14.7</x:v>
      </x:c>
      <x:c r="E1051" s="61" t="n">
        <x:v>4000</x:v>
      </x:c>
      <x:c r="F1051" s="61" t="n">
        <x:v>40.43</x:v>
      </x:c>
      <x:c r="G1051" s="61" t="n">
        <x:v>98.9</x:v>
      </x:c>
      <x:c r="H1051" s="48" t="str">
        <x:v>1室0厅1</x:v>
      </x:c>
      <x:c r="I1051" s="48" t="str">
        <x:v>西南</x:v>
      </x:c>
      <x:c r="J1051" s="48" t="str">
        <x:v>普装</x:v>
      </x:c>
      <x:c r="K1051" s="48" t="str">
        <x:v>普通住宅</x:v>
      </x:c>
      <x:c r="L1051" s="48" t="str">
        <x:v>是</x:v>
      </x:c>
      <x:c r="M1051" s="48" t="str">
        <x:v>保留</x:v>
      </x:c>
      <x:c r="N1051" s="48" t="str">
        <x:v>名都大厦|1室0厅1|40|4000|西南</x:v>
      </x:c>
      <x:c r="O1051" s="48"/>
      <x:c r="P1051" s="48" t="str">
        <x:v>未知（未逐条补齐）</x:v>
      </x:c>
      <x:c r="Q1051" s="48" t="str">
        <x:v>https://shenzhen.leyoujia.com/zf/detail/PJE485MSnvn5qF2tkpaWhY.html</x:v>
      </x:c>
      <x:c r="R1051" s="48" t="str">
        <x:v>2026-08-13</x:v>
      </x:c>
    </x:row>
    <x:row r="1052">
      <x:c r="A1052" s="48" t="str">
        <x:v>怡泰大厦B座</x:v>
      </x:c>
      <x:c r="B1052" s="48" t="str">
        <x:v>怡泰大厦</x:v>
      </x:c>
      <x:c r="C1052" s="48" t="str">
        <x:v>晒布</x:v>
      </x:c>
      <x:c r="D1052" s="56" t="n">
        <x:v>12.5</x:v>
      </x:c>
      <x:c r="E1052" s="61" t="n">
        <x:v>2500</x:v>
      </x:c>
      <x:c r="F1052" s="61" t="n">
        <x:v>28.89</x:v>
      </x:c>
      <x:c r="G1052" s="61" t="n">
        <x:v>86.5</x:v>
      </x:c>
      <x:c r="H1052" s="48" t="str">
        <x:v>1室0厅1</x:v>
      </x:c>
      <x:c r="I1052" s="48" t="str">
        <x:v>南</x:v>
      </x:c>
      <x:c r="J1052" s="48" t="str">
        <x:v>精装</x:v>
      </x:c>
      <x:c r="K1052" s="48" t="str">
        <x:v>公寓</x:v>
      </x:c>
      <x:c r="L1052" s="48" t="str">
        <x:v>是</x:v>
      </x:c>
      <x:c r="M1052" s="48" t="str">
        <x:v>保留</x:v>
      </x:c>
      <x:c r="N1052" s="48" t="str">
        <x:v>怡泰大厦|1室0厅1|29|2500|南</x:v>
      </x:c>
      <x:c r="O1052" s="48"/>
      <x:c r="P1052" s="48" t="str">
        <x:v>未知（未逐条补齐）</x:v>
      </x:c>
      <x:c r="Q1052" s="48" t="str">
        <x:v>https://shenzhen.leyoujia.com/zf/detail/C5nYL21rTpEkYwSnMnAwvH.html</x:v>
      </x:c>
      <x:c r="R1052" s="48" t="str">
        <x:v>2026-08-13</x:v>
      </x:c>
    </x:row>
    <x:row r="1053">
      <x:c r="A1053" s="48" t="str">
        <x:v>怡泰大厦B座</x:v>
      </x:c>
      <x:c r="B1053" s="48" t="str">
        <x:v>怡泰大厦</x:v>
      </x:c>
      <x:c r="C1053" s="48" t="str">
        <x:v>晒布</x:v>
      </x:c>
      <x:c r="D1053" s="56" t="n">
        <x:v>12.5</x:v>
      </x:c>
      <x:c r="E1053" s="61" t="n">
        <x:v>2500</x:v>
      </x:c>
      <x:c r="F1053" s="61" t="n">
        <x:v>38.35</x:v>
      </x:c>
      <x:c r="G1053" s="61" t="n">
        <x:v>65.2</x:v>
      </x:c>
      <x:c r="H1053" s="48" t="str">
        <x:v>1室0厅1</x:v>
      </x:c>
      <x:c r="I1053" s="48" t="str">
        <x:v>北</x:v>
      </x:c>
      <x:c r="J1053" s="48" t="str">
        <x:v>普装</x:v>
      </x:c>
      <x:c r="K1053" s="48" t="str">
        <x:v>公寓</x:v>
      </x:c>
      <x:c r="L1053" s="48" t="str">
        <x:v>是</x:v>
      </x:c>
      <x:c r="M1053" s="48" t="str">
        <x:v>保留</x:v>
      </x:c>
      <x:c r="N1053" s="48" t="str">
        <x:v>怡泰大厦|1室0厅1|38|2500|北</x:v>
      </x:c>
      <x:c r="O1053" s="48"/>
      <x:c r="P1053" s="48" t="str">
        <x:v>未知（未逐条补齐）</x:v>
      </x:c>
      <x:c r="Q1053" s="48" t="str">
        <x:v>https://shenzhen.leyoujia.com/zf/detail/23VeUemo34MoAsBv14sXoJ.html</x:v>
      </x:c>
      <x:c r="R1053" s="48" t="str">
        <x:v>2026-08-13</x:v>
      </x:c>
    </x:row>
    <x:row r="1054">
      <x:c r="A1054" s="48" t="str">
        <x:v>怡泰大厦B座</x:v>
      </x:c>
      <x:c r="B1054" s="48" t="str">
        <x:v>怡泰大厦</x:v>
      </x:c>
      <x:c r="C1054" s="48" t="str">
        <x:v>晒布</x:v>
      </x:c>
      <x:c r="D1054" s="56" t="n">
        <x:v>12.5</x:v>
      </x:c>
      <x:c r="E1054" s="61" t="n">
        <x:v>2500</x:v>
      </x:c>
      <x:c r="F1054" s="61" t="n">
        <x:v>27.67</x:v>
      </x:c>
      <x:c r="G1054" s="61" t="n">
        <x:v>90.4</x:v>
      </x:c>
      <x:c r="H1054" s="48" t="str">
        <x:v>1室1厅1</x:v>
      </x:c>
      <x:c r="I1054" s="48" t="str">
        <x:v>西</x:v>
      </x:c>
      <x:c r="J1054" s="48" t="str">
        <x:v>精装</x:v>
      </x:c>
      <x:c r="K1054" s="48" t="str">
        <x:v>公寓</x:v>
      </x:c>
      <x:c r="L1054" s="48" t="str">
        <x:v>是</x:v>
      </x:c>
      <x:c r="M1054" s="48" t="str">
        <x:v>保留</x:v>
      </x:c>
      <x:c r="N1054" s="48" t="str">
        <x:v>怡泰大厦|1室1厅1|28|2500|西</x:v>
      </x:c>
      <x:c r="O1054" s="48"/>
      <x:c r="P1054" s="48" t="str">
        <x:v>未知（未逐条补齐）</x:v>
      </x:c>
      <x:c r="Q1054" s="48" t="str">
        <x:v>https://shenzhen.leyoujia.com/zf/detail/XxGiQ8rfxXYnJzijWSDkR4.html</x:v>
      </x:c>
      <x:c r="R1054" s="48" t="str">
        <x:v>2026-08-13</x:v>
      </x:c>
    </x:row>
    <x:row r="1055">
      <x:c r="A1055" s="48" t="str">
        <x:v>怡泰大厦B座</x:v>
      </x:c>
      <x:c r="B1055" s="48" t="str">
        <x:v>怡泰大厦</x:v>
      </x:c>
      <x:c r="C1055" s="48" t="str">
        <x:v>晒布</x:v>
      </x:c>
      <x:c r="D1055" s="56" t="n">
        <x:v>12.5</x:v>
      </x:c>
      <x:c r="E1055" s="61" t="n">
        <x:v>2600</x:v>
      </x:c>
      <x:c r="F1055" s="61" t="n">
        <x:v>37</x:v>
      </x:c>
      <x:c r="G1055" s="61" t="n">
        <x:v>70.3</x:v>
      </x:c>
      <x:c r="H1055" s="48" t="str">
        <x:v>1室1厅1</x:v>
      </x:c>
      <x:c r="I1055" s="48" t="str">
        <x:v>东南</x:v>
      </x:c>
      <x:c r="J1055" s="48" t="str">
        <x:v>精装</x:v>
      </x:c>
      <x:c r="K1055" s="48" t="str">
        <x:v>公寓</x:v>
      </x:c>
      <x:c r="L1055" s="48" t="str">
        <x:v>是</x:v>
      </x:c>
      <x:c r="M1055" s="48" t="str">
        <x:v>保留</x:v>
      </x:c>
      <x:c r="N1055" s="48" t="str">
        <x:v>怡泰大厦|1室1厅1|37|2600|东南</x:v>
      </x:c>
      <x:c r="O1055" s="48"/>
      <x:c r="P1055" s="48" t="str">
        <x:v>未知（未逐条补齐）</x:v>
      </x:c>
      <x:c r="Q1055" s="48" t="str">
        <x:v>https://shenzhen.leyoujia.com/zf/detail/TkJS1MF7yauXKN6LHjUdaN.html</x:v>
      </x:c>
      <x:c r="R1055" s="48" t="str">
        <x:v>2026-08-13</x:v>
      </x:c>
    </x:row>
    <x:row r="1056">
      <x:c r="A1056" s="48" t="str">
        <x:v>怡泰大厦B座</x:v>
      </x:c>
      <x:c r="B1056" s="48" t="str">
        <x:v>怡泰大厦</x:v>
      </x:c>
      <x:c r="C1056" s="48" t="str">
        <x:v>晒布</x:v>
      </x:c>
      <x:c r="D1056" s="56" t="n">
        <x:v>12.5</x:v>
      </x:c>
      <x:c r="E1056" s="61" t="n">
        <x:v>2700</x:v>
      </x:c>
      <x:c r="F1056" s="61" t="n">
        <x:v>33</x:v>
      </x:c>
      <x:c r="G1056" s="61" t="n">
        <x:v>81.8</x:v>
      </x:c>
      <x:c r="H1056" s="48" t="str">
        <x:v>1室1厅1</x:v>
      </x:c>
      <x:c r="I1056" s="48" t="str">
        <x:v>南</x:v>
      </x:c>
      <x:c r="J1056" s="48" t="str">
        <x:v>精装</x:v>
      </x:c>
      <x:c r="K1056" s="48" t="str">
        <x:v>公寓</x:v>
      </x:c>
      <x:c r="L1056" s="48" t="str">
        <x:v>是</x:v>
      </x:c>
      <x:c r="M1056" s="48" t="str">
        <x:v>保留</x:v>
      </x:c>
      <x:c r="N1056" s="48" t="str">
        <x:v>怡泰大厦|1室1厅1|33|2700|南</x:v>
      </x:c>
      <x:c r="O1056" s="48"/>
      <x:c r="P1056" s="48" t="str">
        <x:v>未知（未逐条补齐）</x:v>
      </x:c>
      <x:c r="Q1056" s="48" t="str">
        <x:v>https://shenzhen.leyoujia.com/zf/detail/MNptKkC9wzZE3QUvvNp3oi.html</x:v>
      </x:c>
      <x:c r="R1056" s="48" t="str">
        <x:v>2026-08-13</x:v>
      </x:c>
    </x:row>
    <x:row r="1057">
      <x:c r="A1057" s="48" t="str">
        <x:v>怡泰大厦B座</x:v>
      </x:c>
      <x:c r="B1057" s="48" t="str">
        <x:v>怡泰大厦</x:v>
      </x:c>
      <x:c r="C1057" s="48" t="str">
        <x:v>晒布</x:v>
      </x:c>
      <x:c r="D1057" s="56" t="n">
        <x:v>12.5</x:v>
      </x:c>
      <x:c r="E1057" s="61" t="n">
        <x:v>2800</x:v>
      </x:c>
      <x:c r="F1057" s="61" t="n">
        <x:v>38.7</x:v>
      </x:c>
      <x:c r="G1057" s="61" t="n">
        <x:v>72.4</x:v>
      </x:c>
      <x:c r="H1057" s="48" t="str">
        <x:v>1室1厅1</x:v>
      </x:c>
      <x:c r="I1057" s="48" t="str">
        <x:v>东南</x:v>
      </x:c>
      <x:c r="J1057" s="48" t="str">
        <x:v>精装</x:v>
      </x:c>
      <x:c r="K1057" s="48" t="str">
        <x:v>公寓</x:v>
      </x:c>
      <x:c r="L1057" s="48" t="str">
        <x:v>是</x:v>
      </x:c>
      <x:c r="M1057" s="48" t="str">
        <x:v>保留</x:v>
      </x:c>
      <x:c r="N1057" s="48" t="str">
        <x:v>怡泰大厦|1室1厅1|39|2800|东南</x:v>
      </x:c>
      <x:c r="O1057" s="48"/>
      <x:c r="P1057" s="48" t="str">
        <x:v>未知（未逐条补齐）</x:v>
      </x:c>
      <x:c r="Q1057" s="48" t="str">
        <x:v>https://shenzhen.leyoujia.com/zf/detail/LPM5Pwm6niT5YsiYSoaPJD.html</x:v>
      </x:c>
      <x:c r="R1057" s="48" t="str">
        <x:v>2026-08-13</x:v>
      </x:c>
    </x:row>
    <x:row r="1058">
      <x:c r="A1058" s="48" t="str">
        <x:v>怡泰大厦B座</x:v>
      </x:c>
      <x:c r="B1058" s="48" t="str">
        <x:v>怡泰大厦</x:v>
      </x:c>
      <x:c r="C1058" s="48" t="str">
        <x:v>晒布</x:v>
      </x:c>
      <x:c r="D1058" s="56" t="n">
        <x:v>12.5</x:v>
      </x:c>
      <x:c r="E1058" s="61" t="n">
        <x:v>2800</x:v>
      </x:c>
      <x:c r="F1058" s="61" t="n">
        <x:v>37.13</x:v>
      </x:c>
      <x:c r="G1058" s="61" t="n">
        <x:v>75.4</x:v>
      </x:c>
      <x:c r="H1058" s="48" t="str">
        <x:v>1室1厅1</x:v>
      </x:c>
      <x:c r="I1058" s="48" t="str">
        <x:v>东南</x:v>
      </x:c>
      <x:c r="J1058" s="48" t="str">
        <x:v>精装</x:v>
      </x:c>
      <x:c r="K1058" s="48" t="str">
        <x:v>公寓</x:v>
      </x:c>
      <x:c r="L1058" s="48" t="str">
        <x:v>是</x:v>
      </x:c>
      <x:c r="M1058" s="48" t="str">
        <x:v>保留</x:v>
      </x:c>
      <x:c r="N1058" s="48" t="str">
        <x:v>怡泰大厦|1室1厅1|37|2800|东南</x:v>
      </x:c>
      <x:c r="O1058" s="48"/>
      <x:c r="P1058" s="48" t="str">
        <x:v>未知（未逐条补齐）</x:v>
      </x:c>
      <x:c r="Q1058" s="48" t="str">
        <x:v>https://shenzhen.leyoujia.com/zf/detail/RAk9TgcP5fSJXo25eeZCLx.html</x:v>
      </x:c>
      <x:c r="R1058" s="48" t="str">
        <x:v>2026-08-13</x:v>
      </x:c>
    </x:row>
    <x:row r="1059">
      <x:c r="A1059" s="48" t="str">
        <x:v>怡泰大厦B座</x:v>
      </x:c>
      <x:c r="B1059" s="48" t="str">
        <x:v>怡泰大厦</x:v>
      </x:c>
      <x:c r="C1059" s="48" t="str">
        <x:v>晒布</x:v>
      </x:c>
      <x:c r="D1059" s="56" t="n">
        <x:v>12.5</x:v>
      </x:c>
      <x:c r="E1059" s="61" t="n">
        <x:v>3200</x:v>
      </x:c>
      <x:c r="F1059" s="61" t="n">
        <x:v>35.93</x:v>
      </x:c>
      <x:c r="G1059" s="61" t="n">
        <x:v>89.1</x:v>
      </x:c>
      <x:c r="H1059" s="48" t="str">
        <x:v>1室1厅1</x:v>
      </x:c>
      <x:c r="I1059" s="48" t="str">
        <x:v>南</x:v>
      </x:c>
      <x:c r="J1059" s="48" t="str">
        <x:v>精装</x:v>
      </x:c>
      <x:c r="K1059" s="48" t="str">
        <x:v>酒店式公寓</x:v>
      </x:c>
      <x:c r="L1059" s="48" t="str">
        <x:v>是</x:v>
      </x:c>
      <x:c r="M1059" s="48" t="str">
        <x:v>保留</x:v>
      </x:c>
      <x:c r="N1059" s="48" t="str">
        <x:v>怡泰大厦|1室1厅1|36|3200|南</x:v>
      </x:c>
      <x:c r="O1059" s="48"/>
      <x:c r="P1059" s="48" t="str">
        <x:v>未知（未逐条补齐）</x:v>
      </x:c>
      <x:c r="Q1059" s="48" t="str">
        <x:v>https://shenzhen.leyoujia.com/zf/detail/4R8YCpG8QEotFpya7R4HHT.html</x:v>
      </x:c>
      <x:c r="R1059" s="48" t="str">
        <x:v>2026-08-13</x:v>
      </x:c>
    </x:row>
    <x:row r="1060">
      <x:c r="A1060" s="48" t="str">
        <x:v>怡泰大厦B座</x:v>
      </x:c>
      <x:c r="B1060" s="48" t="str">
        <x:v>怡泰大厦</x:v>
      </x:c>
      <x:c r="C1060" s="48" t="str">
        <x:v>晒布</x:v>
      </x:c>
      <x:c r="D1060" s="56" t="n">
        <x:v>12.5</x:v>
      </x:c>
      <x:c r="E1060" s="61" t="n">
        <x:v>3380</x:v>
      </x:c>
      <x:c r="F1060" s="61" t="n">
        <x:v>31.98</x:v>
      </x:c>
      <x:c r="G1060" s="61" t="n">
        <x:v>105.7</x:v>
      </x:c>
      <x:c r="H1060" s="48" t="str">
        <x:v>1室1厅1</x:v>
      </x:c>
      <x:c r="I1060" s="48" t="str">
        <x:v>东南</x:v>
      </x:c>
      <x:c r="J1060" s="48" t="str">
        <x:v>精装</x:v>
      </x:c>
      <x:c r="K1060" s="48" t="str">
        <x:v>公寓</x:v>
      </x:c>
      <x:c r="L1060" s="48" t="str">
        <x:v>是</x:v>
      </x:c>
      <x:c r="M1060" s="48" t="str">
        <x:v>保留</x:v>
      </x:c>
      <x:c r="N1060" s="48" t="str">
        <x:v>怡泰大厦|1室1厅1|32|3380|东南</x:v>
      </x:c>
      <x:c r="O1060" s="48"/>
      <x:c r="P1060" s="48" t="str">
        <x:v>未知（未逐条补齐）</x:v>
      </x:c>
      <x:c r="Q1060" s="48" t="str">
        <x:v>https://shenzhen.leyoujia.com/zf/detail/9VLYvih6hp2uAjrt3JY4Vk.html</x:v>
      </x:c>
      <x:c r="R1060" s="48" t="str">
        <x:v>2026-08-13</x:v>
      </x:c>
    </x:row>
    <x:row r="1061">
      <x:c r="A1061" s="48" t="str">
        <x:v>怡泰大厦B座</x:v>
      </x:c>
      <x:c r="B1061" s="48" t="str">
        <x:v>怡泰大厦</x:v>
      </x:c>
      <x:c r="C1061" s="48" t="str">
        <x:v>晒布</x:v>
      </x:c>
      <x:c r="D1061" s="56" t="n">
        <x:v>12.5</x:v>
      </x:c>
      <x:c r="E1061" s="61" t="n">
        <x:v>3500</x:v>
      </x:c>
      <x:c r="F1061" s="61" t="n">
        <x:v>58</x:v>
      </x:c>
      <x:c r="G1061" s="61" t="n">
        <x:v>60.3</x:v>
      </x:c>
      <x:c r="H1061" s="48" t="str">
        <x:v>1室1厅1</x:v>
      </x:c>
      <x:c r="I1061" s="48" t="str">
        <x:v>东</x:v>
      </x:c>
      <x:c r="J1061" s="48" t="str">
        <x:v>精装</x:v>
      </x:c>
      <x:c r="K1061" s="48" t="str">
        <x:v>公寓</x:v>
      </x:c>
      <x:c r="L1061" s="48" t="str">
        <x:v>是</x:v>
      </x:c>
      <x:c r="M1061" s="48" t="str">
        <x:v>保留</x:v>
      </x:c>
      <x:c r="N1061" s="48" t="str">
        <x:v>怡泰大厦|1室1厅1|58|3500|东</x:v>
      </x:c>
      <x:c r="O1061" s="48"/>
      <x:c r="P1061" s="48" t="str">
        <x:v>未知（未逐条补齐）</x:v>
      </x:c>
      <x:c r="Q1061" s="48" t="str">
        <x:v>https://shenzhen.leyoujia.com/zf/detail/QzgSoGm49MMCVMDZN6moQc.html</x:v>
      </x:c>
      <x:c r="R1061" s="48" t="str">
        <x:v>2026-08-13</x:v>
      </x:c>
    </x:row>
    <x:row r="1062">
      <x:c r="A1062" s="48" t="str">
        <x:v>怡泰大厦B座</x:v>
      </x:c>
      <x:c r="B1062" s="48" t="str">
        <x:v>怡泰大厦</x:v>
      </x:c>
      <x:c r="C1062" s="48" t="str">
        <x:v>晒布</x:v>
      </x:c>
      <x:c r="D1062" s="56" t="n">
        <x:v>12.5</x:v>
      </x:c>
      <x:c r="E1062" s="61" t="n">
        <x:v>3500</x:v>
      </x:c>
      <x:c r="F1062" s="61" t="n">
        <x:v>34.55</x:v>
      </x:c>
      <x:c r="G1062" s="61" t="n">
        <x:v>101.3</x:v>
      </x:c>
      <x:c r="H1062" s="48" t="str">
        <x:v>1室1厅1</x:v>
      </x:c>
      <x:c r="I1062" s="48" t="str">
        <x:v>东南</x:v>
      </x:c>
      <x:c r="J1062" s="48" t="str">
        <x:v>精装</x:v>
      </x:c>
      <x:c r="K1062" s="48" t="str">
        <x:v>公寓</x:v>
      </x:c>
      <x:c r="L1062" s="48" t="str">
        <x:v>是</x:v>
      </x:c>
      <x:c r="M1062" s="48" t="str">
        <x:v>保留</x:v>
      </x:c>
      <x:c r="N1062" s="48" t="str">
        <x:v>怡泰大厦|1室1厅1|35|3500|东南</x:v>
      </x:c>
      <x:c r="O1062" s="48"/>
      <x:c r="P1062" s="48" t="str">
        <x:v>未知（未逐条补齐）</x:v>
      </x:c>
      <x:c r="Q1062" s="48" t="str">
        <x:v>https://shenzhen.leyoujia.com/zf/detail/77avseUvMrutGbKRjtKUKZ.html</x:v>
      </x:c>
      <x:c r="R1062" s="48" t="str">
        <x:v>2026-08-13</x:v>
      </x:c>
    </x:row>
    <x:row r="1063">
      <x:c r="A1063" s="48" t="str">
        <x:v>怡泰大厦B座</x:v>
      </x:c>
      <x:c r="B1063" s="48" t="str">
        <x:v>怡泰大厦</x:v>
      </x:c>
      <x:c r="C1063" s="48" t="str">
        <x:v>晒布</x:v>
      </x:c>
      <x:c r="D1063" s="56" t="n">
        <x:v>12.5</x:v>
      </x:c>
      <x:c r="E1063" s="61" t="n">
        <x:v>3700</x:v>
      </x:c>
      <x:c r="F1063" s="61" t="n">
        <x:v>37.83</x:v>
      </x:c>
      <x:c r="G1063" s="61" t="n">
        <x:v>97.8</x:v>
      </x:c>
      <x:c r="H1063" s="48" t="str">
        <x:v>1室1厅1</x:v>
      </x:c>
      <x:c r="I1063" s="48" t="str">
        <x:v>北</x:v>
      </x:c>
      <x:c r="J1063" s="48" t="str">
        <x:v>精装</x:v>
      </x:c>
      <x:c r="K1063" s="48" t="str">
        <x:v>普通住宅</x:v>
      </x:c>
      <x:c r="L1063" s="48" t="str">
        <x:v>是</x:v>
      </x:c>
      <x:c r="M1063" s="48" t="str">
        <x:v>保留</x:v>
      </x:c>
      <x:c r="N1063" s="48" t="str">
        <x:v>怡泰大厦|1室1厅1|38|3700|北</x:v>
      </x:c>
      <x:c r="O1063" s="48"/>
      <x:c r="P1063" s="48" t="str">
        <x:v>未知（未逐条补齐）</x:v>
      </x:c>
      <x:c r="Q1063" s="48" t="str">
        <x:v>https://shenzhen.leyoujia.com/zf/detail/QYSwgK5nG5RxCynX2CXnuG.html</x:v>
      </x:c>
      <x:c r="R1063" s="48" t="str">
        <x:v>2026-08-13</x:v>
      </x:c>
    </x:row>
    <x:row r="1064">
      <x:c r="A1064" s="48" t="str">
        <x:v>怡泰大厦B座</x:v>
      </x:c>
      <x:c r="B1064" s="48" t="str">
        <x:v>怡泰大厦</x:v>
      </x:c>
      <x:c r="C1064" s="48" t="str">
        <x:v>晒布</x:v>
      </x:c>
      <x:c r="D1064" s="56" t="n">
        <x:v>12.5</x:v>
      </x:c>
      <x:c r="E1064" s="61" t="n">
        <x:v>3900</x:v>
      </x:c>
      <x:c r="F1064" s="61" t="n">
        <x:v>55</x:v>
      </x:c>
      <x:c r="G1064" s="61" t="n">
        <x:v>70.9</x:v>
      </x:c>
      <x:c r="H1064" s="48" t="str">
        <x:v>1室1厅1</x:v>
      </x:c>
      <x:c r="I1064" s="48" t="str">
        <x:v>东南</x:v>
      </x:c>
      <x:c r="J1064" s="48" t="str">
        <x:v>精装</x:v>
      </x:c>
      <x:c r="K1064" s="48" t="str">
        <x:v>普通住宅</x:v>
      </x:c>
      <x:c r="L1064" s="48" t="str">
        <x:v>是</x:v>
      </x:c>
      <x:c r="M1064" s="48" t="str">
        <x:v>保留</x:v>
      </x:c>
      <x:c r="N1064" s="48" t="str">
        <x:v>怡泰大厦|1室1厅1|55|3900|东南</x:v>
      </x:c>
      <x:c r="O1064" s="48"/>
      <x:c r="P1064" s="48" t="str">
        <x:v>未知（未逐条补齐）</x:v>
      </x:c>
      <x:c r="Q1064" s="48" t="str">
        <x:v>https://shenzhen.leyoujia.com/zf/detail/9M7j7iXWXiYEzxua666zHP.html</x:v>
      </x:c>
      <x:c r="R1064" s="48" t="str">
        <x:v>2026-08-13</x:v>
      </x:c>
    </x:row>
    <x:row r="1065">
      <x:c r="A1065" s="48" t="str">
        <x:v>怡泰大厦B座</x:v>
      </x:c>
      <x:c r="B1065" s="48" t="str">
        <x:v>怡泰大厦</x:v>
      </x:c>
      <x:c r="C1065" s="48" t="str">
        <x:v>晒布</x:v>
      </x:c>
      <x:c r="D1065" s="56" t="n">
        <x:v>12.5</x:v>
      </x:c>
      <x:c r="E1065" s="61" t="n">
        <x:v>3900</x:v>
      </x:c>
      <x:c r="F1065" s="61" t="n">
        <x:v>37.77</x:v>
      </x:c>
      <x:c r="G1065" s="61" t="n">
        <x:v>103.3</x:v>
      </x:c>
      <x:c r="H1065" s="48" t="str">
        <x:v>1室1厅1</x:v>
      </x:c>
      <x:c r="I1065" s="48" t="str">
        <x:v>东</x:v>
      </x:c>
      <x:c r="J1065" s="48" t="str">
        <x:v>普装</x:v>
      </x:c>
      <x:c r="K1065" s="48" t="str">
        <x:v>酒店式公寓</x:v>
      </x:c>
      <x:c r="L1065" s="48" t="str">
        <x:v>是</x:v>
      </x:c>
      <x:c r="M1065" s="48" t="str">
        <x:v>保留</x:v>
      </x:c>
      <x:c r="N1065" s="48" t="str">
        <x:v>怡泰大厦|1室1厅1|38|3900|东</x:v>
      </x:c>
      <x:c r="O1065" s="48"/>
      <x:c r="P1065" s="48" t="str">
        <x:v>未知（未逐条补齐）</x:v>
      </x:c>
      <x:c r="Q1065" s="48" t="str">
        <x:v>https://shenzhen.leyoujia.com/zf/detail/4FBT5YGPxXbTawfr7mxwyC.html</x:v>
      </x:c>
      <x:c r="R1065" s="48" t="str">
        <x:v>2026-08-13</x:v>
      </x:c>
    </x:row>
    <x:row r="1066">
      <x:c r="A1066" s="48" t="str">
        <x:v>怡泰大厦B座</x:v>
      </x:c>
      <x:c r="B1066" s="48" t="str">
        <x:v>怡泰大厦</x:v>
      </x:c>
      <x:c r="C1066" s="48" t="str">
        <x:v>晒布</x:v>
      </x:c>
      <x:c r="D1066" s="56" t="n">
        <x:v>12.5</x:v>
      </x:c>
      <x:c r="E1066" s="61" t="n">
        <x:v>4000</x:v>
      </x:c>
      <x:c r="F1066" s="61" t="n">
        <x:v>58</x:v>
      </x:c>
      <x:c r="G1066" s="61" t="n">
        <x:v>69</x:v>
      </x:c>
      <x:c r="H1066" s="48" t="str">
        <x:v>1室1厅1</x:v>
      </x:c>
      <x:c r="I1066" s="48" t="str">
        <x:v>西南</x:v>
      </x:c>
      <x:c r="J1066" s="48" t="str">
        <x:v>普装</x:v>
      </x:c>
      <x:c r="K1066" s="48" t="str">
        <x:v>普通住宅</x:v>
      </x:c>
      <x:c r="L1066" s="48" t="str">
        <x:v>是</x:v>
      </x:c>
      <x:c r="M1066" s="48" t="str">
        <x:v>保留</x:v>
      </x:c>
      <x:c r="N1066" s="48" t="str">
        <x:v>怡泰大厦|1室1厅1|58|4000|西南</x:v>
      </x:c>
      <x:c r="O1066" s="48"/>
      <x:c r="P1066" s="48" t="str">
        <x:v>未知（未逐条补齐）</x:v>
      </x:c>
      <x:c r="Q1066" s="48" t="str">
        <x:v>https://shenzhen.leyoujia.com/zf/detail/Y9RkQ4mWKseoP8pjeGy67K.html</x:v>
      </x:c>
      <x:c r="R1066" s="48" t="str">
        <x:v>2026-08-13</x:v>
      </x:c>
    </x:row>
    <x:row r="1067">
      <x:c r="A1067" s="48" t="str">
        <x:v>怡泰大厦B座</x:v>
      </x:c>
      <x:c r="B1067" s="48" t="str">
        <x:v>怡泰大厦</x:v>
      </x:c>
      <x:c r="C1067" s="48" t="str">
        <x:v>晒布</x:v>
      </x:c>
      <x:c r="D1067" s="56" t="n">
        <x:v>12.5</x:v>
      </x:c>
      <x:c r="E1067" s="61" t="n">
        <x:v>4000</x:v>
      </x:c>
      <x:c r="F1067" s="61" t="n">
        <x:v>53.66</x:v>
      </x:c>
      <x:c r="G1067" s="61" t="n">
        <x:v>74.5</x:v>
      </x:c>
      <x:c r="H1067" s="48" t="str">
        <x:v>1室1厅1</x:v>
      </x:c>
      <x:c r="I1067" s="48" t="str">
        <x:v>北</x:v>
      </x:c>
      <x:c r="J1067" s="48" t="str">
        <x:v>普装</x:v>
      </x:c>
      <x:c r="K1067" s="48" t="str">
        <x:v>普通住宅</x:v>
      </x:c>
      <x:c r="L1067" s="48" t="str">
        <x:v>是</x:v>
      </x:c>
      <x:c r="M1067" s="48" t="str">
        <x:v>保留</x:v>
      </x:c>
      <x:c r="N1067" s="48" t="str">
        <x:v>怡泰大厦|1室1厅1|54|4000|北</x:v>
      </x:c>
      <x:c r="O1067" s="48"/>
      <x:c r="P1067" s="48" t="str">
        <x:v>未知（未逐条补齐）</x:v>
      </x:c>
      <x:c r="Q1067" s="48" t="str">
        <x:v>https://shenzhen.leyoujia.com/zf/detail/543YGyo7hLWEbmpqWgPNT5.html</x:v>
      </x:c>
      <x:c r="R1067" s="48" t="str">
        <x:v>2026-08-13</x:v>
      </x:c>
    </x:row>
    <x:row r="1068">
      <x:c r="A1068" s="48" t="str">
        <x:v>怡泰大厦B座</x:v>
      </x:c>
      <x:c r="B1068" s="48" t="str">
        <x:v>怡泰大厦</x:v>
      </x:c>
      <x:c r="C1068" s="48" t="str">
        <x:v>晒布</x:v>
      </x:c>
      <x:c r="D1068" s="56" t="n">
        <x:v>12.5</x:v>
      </x:c>
      <x:c r="E1068" s="61" t="n">
        <x:v>4300</x:v>
      </x:c>
      <x:c r="F1068" s="61" t="n">
        <x:v>58.04</x:v>
      </x:c>
      <x:c r="G1068" s="61" t="n">
        <x:v>74.1</x:v>
      </x:c>
      <x:c r="H1068" s="48" t="str">
        <x:v>1室1厅1</x:v>
      </x:c>
      <x:c r="I1068" s="48" t="str">
        <x:v>北</x:v>
      </x:c>
      <x:c r="J1068" s="48" t="str">
        <x:v>精装</x:v>
      </x:c>
      <x:c r="K1068" s="48" t="str">
        <x:v>普通住宅</x:v>
      </x:c>
      <x:c r="L1068" s="48" t="str">
        <x:v>是</x:v>
      </x:c>
      <x:c r="M1068" s="48" t="str">
        <x:v>保留</x:v>
      </x:c>
      <x:c r="N1068" s="48" t="str">
        <x:v>怡泰大厦|1室1厅1|58|4300|北</x:v>
      </x:c>
      <x:c r="O1068" s="48"/>
      <x:c r="P1068" s="48" t="str">
        <x:v>未知（未逐条补齐）</x:v>
      </x:c>
      <x:c r="Q1068" s="48" t="str">
        <x:v>https://shenzhen.leyoujia.com/zf/detail/69F2JzpzYsADQGQxyUq9tb.html</x:v>
      </x:c>
      <x:c r="R1068" s="48" t="str">
        <x:v>2026-08-13</x:v>
      </x:c>
    </x:row>
    <x:row r="1069">
      <x:c r="A1069" s="48" t="str">
        <x:v>怡泰大厦B座</x:v>
      </x:c>
      <x:c r="B1069" s="48" t="str">
        <x:v>怡泰大厦</x:v>
      </x:c>
      <x:c r="C1069" s="48" t="str">
        <x:v>晒布</x:v>
      </x:c>
      <x:c r="D1069" s="56" t="n">
        <x:v>12.5</x:v>
      </x:c>
      <x:c r="E1069" s="61" t="n">
        <x:v>5000</x:v>
      </x:c>
      <x:c r="F1069" s="61" t="n">
        <x:v>35.42</x:v>
      </x:c>
      <x:c r="G1069" s="61" t="n">
        <x:v>141.2</x:v>
      </x:c>
      <x:c r="H1069" s="48" t="str">
        <x:v>1室1厅1</x:v>
      </x:c>
      <x:c r="I1069" s="48" t="str">
        <x:v>南</x:v>
      </x:c>
      <x:c r="J1069" s="48" t="str">
        <x:v>精装</x:v>
      </x:c>
      <x:c r="K1069" s="48" t="str">
        <x:v>公寓</x:v>
      </x:c>
      <x:c r="L1069" s="48" t="str">
        <x:v>是</x:v>
      </x:c>
      <x:c r="M1069" s="48" t="str">
        <x:v>保留</x:v>
      </x:c>
      <x:c r="N1069" s="48" t="str">
        <x:v>怡泰大厦|1室1厅1|35|5000|南</x:v>
      </x:c>
      <x:c r="O1069" s="48"/>
      <x:c r="P1069" s="48" t="str">
        <x:v>未知（未逐条补齐）</x:v>
      </x:c>
      <x:c r="Q1069" s="48" t="str">
        <x:v>https://shenzhen.leyoujia.com/zf/detail/GZ2MCfDkoFVr7fsZRCUFZd.html</x:v>
      </x:c>
      <x:c r="R1069" s="48" t="str">
        <x:v>2026-08-13</x:v>
      </x:c>
    </x:row>
    <x:row r="1070">
      <x:c r="A1070" s="48" t="str">
        <x:v>蓝馨苑</x:v>
      </x:c>
      <x:c r="B1070" s="48" t="str">
        <x:v>蓝馨苑</x:v>
      </x:c>
      <x:c r="C1070" s="48" t="str">
        <x:v>晒布</x:v>
      </x:c>
      <x:c r="D1070" s="56" t="n">
        <x:v>16.8</x:v>
      </x:c>
      <x:c r="E1070" s="61" t="n">
        <x:v>2500</x:v>
      </x:c>
      <x:c r="F1070" s="61" t="n">
        <x:v>27.95</x:v>
      </x:c>
      <x:c r="G1070" s="61" t="n">
        <x:v>89.4</x:v>
      </x:c>
      <x:c r="H1070" s="48" t="str">
        <x:v>1室0厅1</x:v>
      </x:c>
      <x:c r="I1070" s="48" t="str">
        <x:v>东</x:v>
      </x:c>
      <x:c r="J1070" s="48" t="str">
        <x:v>普装</x:v>
      </x:c>
      <x:c r="K1070" s="48" t="str">
        <x:v>普通住宅</x:v>
      </x:c>
      <x:c r="L1070" s="48" t="str">
        <x:v>是</x:v>
      </x:c>
      <x:c r="M1070" s="48" t="str">
        <x:v>保留</x:v>
      </x:c>
      <x:c r="N1070" s="48" t="str">
        <x:v>蓝馨苑|1室0厅1|28|2500|东</x:v>
      </x:c>
      <x:c r="O1070" s="48"/>
      <x:c r="P1070" s="48" t="str">
        <x:v>未知（未逐条补齐）</x:v>
      </x:c>
      <x:c r="Q1070" s="48" t="str">
        <x:v>https://shenzhen.leyoujia.com/zf/detail/2orN7KUYU86jiHyK8ad9iR.html</x:v>
      </x:c>
      <x:c r="R1070" s="48" t="str">
        <x:v>2026-08-13</x:v>
      </x:c>
    </x:row>
    <x:row r="1071">
      <x:c r="A1071" s="48" t="str">
        <x:v>蓝馨苑</x:v>
      </x:c>
      <x:c r="B1071" s="48" t="str">
        <x:v>蓝馨苑</x:v>
      </x:c>
      <x:c r="C1071" s="48" t="str">
        <x:v>晒布</x:v>
      </x:c>
      <x:c r="D1071" s="56" t="n">
        <x:v>16.8</x:v>
      </x:c>
      <x:c r="E1071" s="61" t="n">
        <x:v>2800</x:v>
      </x:c>
      <x:c r="F1071" s="61" t="n">
        <x:v>26.67</x:v>
      </x:c>
      <x:c r="G1071" s="61" t="n">
        <x:v>105</x:v>
      </x:c>
      <x:c r="H1071" s="48" t="str">
        <x:v>1室0厅1</x:v>
      </x:c>
      <x:c r="I1071" s="48" t="str">
        <x:v>东</x:v>
      </x:c>
      <x:c r="J1071" s="48" t="str">
        <x:v>普装</x:v>
      </x:c>
      <x:c r="K1071" s="48" t="str">
        <x:v>普通住宅</x:v>
      </x:c>
      <x:c r="L1071" s="48" t="str">
        <x:v>是</x:v>
      </x:c>
      <x:c r="M1071" s="48" t="str">
        <x:v>保留</x:v>
      </x:c>
      <x:c r="N1071" s="48" t="str">
        <x:v>蓝馨苑|1室0厅1|27|2800|东</x:v>
      </x:c>
      <x:c r="O1071" s="48"/>
      <x:c r="P1071" s="48" t="str">
        <x:v>未知（未逐条补齐）</x:v>
      </x:c>
      <x:c r="Q1071" s="48" t="str">
        <x:v>https://shenzhen.leyoujia.com/zf/detail/WM6h9m8Sh322GN5eu4Zc6m.html</x:v>
      </x:c>
      <x:c r="R1071" s="48" t="str">
        <x:v>2026-08-13</x:v>
      </x:c>
    </x:row>
    <x:row r="1072">
      <x:c r="A1072" s="48" t="str">
        <x:v>碧湖花园</x:v>
      </x:c>
      <x:c r="B1072" s="48" t="str">
        <x:v>碧湖花园（罗湖）</x:v>
      </x:c>
      <x:c r="C1072" s="48" t="str">
        <x:v>晒布</x:v>
      </x:c>
      <x:c r="D1072" s="56" t="n">
        <x:v>16.7</x:v>
      </x:c>
      <x:c r="E1072" s="61" t="n">
        <x:v>3400</x:v>
      </x:c>
      <x:c r="F1072" s="61" t="n">
        <x:v>30.62</x:v>
      </x:c>
      <x:c r="G1072" s="61" t="n">
        <x:v>111</x:v>
      </x:c>
      <x:c r="H1072" s="48" t="str">
        <x:v>1室0厅1</x:v>
      </x:c>
      <x:c r="I1072" s="48" t="str">
        <x:v>东</x:v>
      </x:c>
      <x:c r="J1072" s="48" t="str">
        <x:v>精装</x:v>
      </x:c>
      <x:c r="K1072" s="48" t="str">
        <x:v>公寓</x:v>
      </x:c>
      <x:c r="L1072" s="48" t="str">
        <x:v>是</x:v>
      </x:c>
      <x:c r="M1072" s="48" t="str">
        <x:v>保留</x:v>
      </x:c>
      <x:c r="N1072" s="48" t="str">
        <x:v>碧湖花园（罗湖）|1室0厅1|31|3400|东</x:v>
      </x:c>
      <x:c r="O1072" s="48"/>
      <x:c r="P1072" s="48" t="str">
        <x:v>未知（未逐条补齐）</x:v>
      </x:c>
      <x:c r="Q1072" s="48" t="str">
        <x:v>https://shenzhen.leyoujia.com/zf/detail/H4dGnRkRo1B8sF28CoUSRZ.html</x:v>
      </x:c>
      <x:c r="R1072" s="48" t="str">
        <x:v>2026-08-13</x:v>
      </x:c>
    </x:row>
  </x:sheetData>
  <x:mergeCells>
    <x:mergeCell ref="A1:R1"/>
    <x:mergeCell ref="A2:R2"/>
  </x:mergeCells>
  <x:conditionalFormatting sqref="L5:L1072">
    <x:cfRule type="containsText" dxfId="1" priority="1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db6e8408503642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1" hidden="0" customWidth="1"/>
    <x:col min="5" max="5" width="9" hidden="0" customWidth="1"/>
    <x:col min="6" max="6" width="20" hidden="0" customWidth="1"/>
    <x:col min="7" max="7" width="45" hidden="0" customWidth="1"/>
  </x:cols>
  <x:sheetData>
    <x:row r="1" ht="30" customHeight="1">
      <x:c r="A1" s="60" t="str">
        <x:v>高德实际步行路线</x:v>
      </x:c>
      <x:c r="B1" s="60"/>
      <x:c r="C1" s="60"/>
      <x:c r="D1" s="60"/>
      <x:c r="E1" s="60"/>
      <x:c r="F1" s="60"/>
      <x:c r="G1" s="60"/>
    </x:row>
    <x:row r="2" ht="32" customHeight="1">
      <x:c r="A2" s="51" t="str">
        <x:v>起点为高德小区POI中心点、终点为地铁站点坐标；不是直线距离。实际门禁/出口可造成约1–5分钟误差，签约前请用具体楼栋入口复核。</x:v>
      </x:c>
      <x:c r="B2" s="51"/>
      <x:c r="C2" s="51"/>
      <x:c r="D2" s="51"/>
      <x:c r="E2" s="51"/>
      <x:c r="F2" s="51"/>
      <x:c r="G2" s="51"/>
    </x:row>
    <x:row r="3">
      <x:c r="A3" s="48"/>
      <x:c r="B3" s="48"/>
      <x:c r="C3" s="48"/>
      <x:c r="D3" s="48"/>
      <x:c r="E3" s="48"/>
      <x:c r="F3" s="48"/>
      <x:c r="G3" s="48"/>
    </x:row>
    <x:row r="4">
      <x:c r="A4" s="54" t="str">
        <x:v>小区</x:v>
      </x:c>
      <x:c r="B4" s="54" t="str">
        <x:v>候选站</x:v>
      </x:c>
      <x:c r="C4" s="54" t="str">
        <x:v>步行米</x:v>
      </x:c>
      <x:c r="D4" s="54" t="str">
        <x:v>步行分钟</x:v>
      </x:c>
      <x:c r="E4" s="54" t="str">
        <x:v>是否最快</x:v>
      </x:c>
      <x:c r="F4" s="54" t="str">
        <x:v>测量时间</x:v>
      </x:c>
      <x:c r="G4" s="54" t="str">
        <x:v>高德POI地址</x:v>
      </x:c>
    </x:row>
    <x:row r="5">
      <x:c r="A5" s="48" t="str">
        <x:v>名仕阁</x:v>
      </x:c>
      <x:c r="B5" s="48" t="str">
        <x:v>大剧院</x:v>
      </x:c>
      <x:c r="C5" s="56" t="n">
        <x:v>137</x:v>
      </x:c>
      <x:c r="D5" s="56" t="n">
        <x:v>1.8</x:v>
      </x:c>
      <x:c r="E5" s="48" t="str">
        <x:v>是</x:v>
      </x:c>
      <x:c r="F5" s="48" t="str">
        <x:v>2026-08-13 01:43:52</x:v>
      </x:c>
      <x:c r="G5" s="48" t="str">
        <x:v>桂园街道解放路4068号</x:v>
      </x:c>
    </x:row>
    <x:row r="6">
      <x:c r="A6" s="48" t="str">
        <x:v>名仕阁</x:v>
      </x:c>
      <x:c r="B6" s="48" t="str">
        <x:v>老街</x:v>
      </x:c>
      <x:c r="C6" s="56" t="n">
        <x:v>975</x:v>
      </x:c>
      <x:c r="D6" s="56" t="n">
        <x:v>13</x:v>
      </x:c>
      <x:c r="E6" s="48" t="str"/>
      <x:c r="F6" s="48" t="str">
        <x:v>2026-08-13 01:43:52</x:v>
      </x:c>
      <x:c r="G6" s="48" t="str">
        <x:v>桂园街道解放路4068号</x:v>
      </x:c>
    </x:row>
    <x:row r="7">
      <x:c r="A7" s="48" t="str">
        <x:v>名仕阁</x:v>
      </x:c>
      <x:c r="B7" s="48" t="str">
        <x:v>红岭</x:v>
      </x:c>
      <x:c r="C7" s="56" t="n">
        <x:v>996</x:v>
      </x:c>
      <x:c r="D7" s="56" t="n">
        <x:v>13.3</x:v>
      </x:c>
      <x:c r="E7" s="48" t="str"/>
      <x:c r="F7" s="48" t="str">
        <x:v>2026-08-13 01:43:52</x:v>
      </x:c>
      <x:c r="G7" s="48" t="str">
        <x:v>桂园街道解放路4068号</x:v>
      </x:c>
    </x:row>
    <x:row r="8">
      <x:c r="A8" s="48" t="str">
        <x:v>京基100大厦</x:v>
      </x:c>
      <x:c r="B8" s="48" t="str">
        <x:v>大剧院</x:v>
      </x:c>
      <x:c r="C8" s="56" t="n">
        <x:v>289</x:v>
      </x:c>
      <x:c r="D8" s="56" t="n">
        <x:v>3.9</x:v>
      </x:c>
      <x:c r="E8" s="48" t="str">
        <x:v>是</x:v>
      </x:c>
      <x:c r="F8" s="48" t="str">
        <x:v>2026-08-13 01:43:54</x:v>
      </x:c>
      <x:c r="G8" s="48" t="str">
        <x:v>深南东路5016号</x:v>
      </x:c>
    </x:row>
    <x:row r="9">
      <x:c r="A9" s="48" t="str">
        <x:v>京基100大厦</x:v>
      </x:c>
      <x:c r="B9" s="48" t="str">
        <x:v>红岭</x:v>
      </x:c>
      <x:c r="C9" s="56" t="n">
        <x:v>818</x:v>
      </x:c>
      <x:c r="D9" s="56" t="n">
        <x:v>10.9</x:v>
      </x:c>
      <x:c r="E9" s="48" t="str"/>
      <x:c r="F9" s="48" t="str">
        <x:v>2026-08-13 01:43:54</x:v>
      </x:c>
      <x:c r="G9" s="48" t="str">
        <x:v>深南东路5016号</x:v>
      </x:c>
    </x:row>
    <x:row r="10">
      <x:c r="A10" s="48" t="str">
        <x:v>京基100大厦</x:v>
      </x:c>
      <x:c r="B10" s="48" t="str">
        <x:v>老街</x:v>
      </x:c>
      <x:c r="C10" s="56" t="n">
        <x:v>1328</x:v>
      </x:c>
      <x:c r="D10" s="56" t="n">
        <x:v>17.7</x:v>
      </x:c>
      <x:c r="E10" s="48" t="str"/>
      <x:c r="F10" s="48" t="str">
        <x:v>2026-08-13 01:43:54</x:v>
      </x:c>
      <x:c r="G10" s="48" t="str">
        <x:v>深南东路5016号</x:v>
      </x:c>
    </x:row>
    <x:row r="11">
      <x:c r="A11" s="48" t="str">
        <x:v>都市名园</x:v>
      </x:c>
      <x:c r="B11" s="48" t="str">
        <x:v>大剧院</x:v>
      </x:c>
      <x:c r="C11" s="56" t="n">
        <x:v>970</x:v>
      </x:c>
      <x:c r="D11" s="56" t="n">
        <x:v>12.9</x:v>
      </x:c>
      <x:c r="E11" s="48" t="str">
        <x:v>是</x:v>
      </x:c>
      <x:c r="F11" s="48" t="str">
        <x:v>2026-08-13 01:43:56</x:v>
      </x:c>
      <x:c r="G11" s="48" t="str">
        <x:v>书城路1号(大剧院地铁站F口步行300米)</x:v>
      </x:c>
    </x:row>
    <x:row r="12">
      <x:c r="A12" s="48" t="str">
        <x:v>都市名园</x:v>
      </x:c>
      <x:c r="B12" s="48" t="str">
        <x:v>老街</x:v>
      </x:c>
      <x:c r="C12" s="56" t="n">
        <x:v>1330</x:v>
      </x:c>
      <x:c r="D12" s="56" t="n">
        <x:v>17.7</x:v>
      </x:c>
      <x:c r="E12" s="48" t="str"/>
      <x:c r="F12" s="48" t="str">
        <x:v>2026-08-13 01:43:56</x:v>
      </x:c>
      <x:c r="G12" s="48" t="str">
        <x:v>书城路1号(大剧院地铁站F口步行300米)</x:v>
      </x:c>
    </x:row>
    <x:row r="13">
      <x:c r="A13" s="48" t="str">
        <x:v>都市名园</x:v>
      </x:c>
      <x:c r="B13" s="48" t="str">
        <x:v>国贸</x:v>
      </x:c>
      <x:c r="C13" s="56" t="n">
        <x:v>1377</x:v>
      </x:c>
      <x:c r="D13" s="56" t="n">
        <x:v>18.4</x:v>
      </x:c>
      <x:c r="E13" s="48" t="str"/>
      <x:c r="F13" s="48" t="str">
        <x:v>2026-08-13 01:43:56</x:v>
      </x:c>
      <x:c r="G13" s="48" t="str">
        <x:v>书城路1号(大剧院地铁站F口步行300米)</x:v>
      </x:c>
    </x:row>
    <x:row r="14">
      <x:c r="A14" s="48" t="str">
        <x:v>御河堤</x:v>
      </x:c>
      <x:c r="B14" s="48" t="str">
        <x:v>大剧院</x:v>
      </x:c>
      <x:c r="C14" s="56" t="n">
        <x:v>953</x:v>
      </x:c>
      <x:c r="D14" s="56" t="n">
        <x:v>12.7</x:v>
      </x:c>
      <x:c r="E14" s="48" t="str">
        <x:v>是</x:v>
      </x:c>
      <x:c r="F14" s="48" t="str">
        <x:v>2026-08-13 01:44:10</x:v>
      </x:c>
      <x:c r="G14" s="48" t="str">
        <x:v>东园路28号(红岭南地铁站C口步行240米)</x:v>
      </x:c>
    </x:row>
    <x:row r="15">
      <x:c r="A15" s="48" t="str">
        <x:v>东园新村</x:v>
      </x:c>
      <x:c r="B15" s="48" t="str">
        <x:v>大剧院</x:v>
      </x:c>
      <x:c r="C15" s="56" t="n">
        <x:v>922</x:v>
      </x:c>
      <x:c r="D15" s="56" t="n">
        <x:v>12.3</x:v>
      </x:c>
      <x:c r="E15" s="48" t="str">
        <x:v>是</x:v>
      </x:c>
      <x:c r="F15" s="48" t="str">
        <x:v>2026-08-13 01:44:11</x:v>
      </x:c>
      <x:c r="G15" s="48" t="str">
        <x:v>埔尾路16号(红岭南地铁站C口步行240米)</x:v>
      </x:c>
    </x:row>
    <x:row r="16">
      <x:c r="A16" s="48" t="str">
        <x:v>华瑞大厦</x:v>
      </x:c>
      <x:c r="B16" s="48" t="str">
        <x:v>大剧院</x:v>
      </x:c>
      <x:c r="C16" s="56" t="n">
        <x:v>1234</x:v>
      </x:c>
      <x:c r="D16" s="56" t="n">
        <x:v>16.5</x:v>
      </x:c>
      <x:c r="E16" s="48" t="str">
        <x:v>是</x:v>
      </x:c>
      <x:c r="F16" s="48" t="str">
        <x:v>2026-08-13 01:44:12</x:v>
      </x:c>
      <x:c r="G16" s="48" t="str">
        <x:v>宝安南路1001号(鹿丹村地铁站C口步行70米)</x:v>
      </x:c>
    </x:row>
    <x:row r="17">
      <x:c r="A17" s="48" t="str">
        <x:v>鹿苑小区</x:v>
      </x:c>
      <x:c r="B17" s="48" t="str">
        <x:v>大剧院</x:v>
      </x:c>
      <x:c r="C17" s="56" t="n">
        <x:v>1673</x:v>
      </x:c>
      <x:c r="D17" s="56" t="n">
        <x:v>22.3</x:v>
      </x:c>
      <x:c r="E17" s="48" t="str">
        <x:v>是</x:v>
      </x:c>
      <x:c r="F17" s="48" t="str">
        <x:v>2026-08-13 01:44:13</x:v>
      </x:c>
      <x:c r="G17" s="48" t="str">
        <x:v>滨河大道1005号(鹿丹村地铁站A2口步行130米)</x:v>
      </x:c>
    </x:row>
    <x:row r="18">
      <x:c r="A18" s="48" t="str">
        <x:v>滨河新村(东园路)</x:v>
      </x:c>
      <x:c r="B18" s="48" t="str">
        <x:v>大剧院</x:v>
      </x:c>
      <x:c r="C18" s="56" t="n">
        <x:v>1158</x:v>
      </x:c>
      <x:c r="D18" s="56" t="n">
        <x:v>15.4</x:v>
      </x:c>
      <x:c r="E18" s="48" t="str">
        <x:v>是</x:v>
      </x:c>
      <x:c r="F18" s="48" t="str">
        <x:v>2026-08-13 01:44:14</x:v>
      </x:c>
      <x:c r="G18" s="48" t="str">
        <x:v>东园路17号</x:v>
      </x:c>
    </x:row>
    <x:row r="19">
      <x:c r="A19" s="48" t="str">
        <x:v>南洋大厦</x:v>
      </x:c>
      <x:c r="B19" s="48" t="str">
        <x:v>国贸</x:v>
      </x:c>
      <x:c r="C19" s="56" t="n">
        <x:v>218</x:v>
      </x:c>
      <x:c r="D19" s="56" t="n">
        <x:v>2.9</x:v>
      </x:c>
      <x:c r="E19" s="48" t="str">
        <x:v>是</x:v>
      </x:c>
      <x:c r="F19" s="48" t="str">
        <x:v>2026-08-13 01:44:16</x:v>
      </x:c>
      <x:c r="G19" s="48" t="str">
        <x:v>罗湖建设路2004号</x:v>
      </x:c>
    </x:row>
    <x:row r="20">
      <x:c r="A20" s="48" t="str">
        <x:v>南洋大厦</x:v>
      </x:c>
      <x:c r="B20" s="48" t="str">
        <x:v>老街</x:v>
      </x:c>
      <x:c r="C20" s="56" t="n">
        <x:v>963</x:v>
      </x:c>
      <x:c r="D20" s="56" t="n">
        <x:v>12.8</x:v>
      </x:c>
      <x:c r="E20" s="48" t="str"/>
      <x:c r="F20" s="48" t="str">
        <x:v>2026-08-13 01:44:16</x:v>
      </x:c>
      <x:c r="G20" s="48" t="str">
        <x:v>罗湖建设路2004号</x:v>
      </x:c>
    </x:row>
    <x:row r="21">
      <x:c r="A21" s="48" t="str">
        <x:v>南洋大厦</x:v>
      </x:c>
      <x:c r="B21" s="48" t="str">
        <x:v>罗湖</x:v>
      </x:c>
      <x:c r="C21" s="56" t="n">
        <x:v>1067</x:v>
      </x:c>
      <x:c r="D21" s="56" t="n">
        <x:v>14.2</x:v>
      </x:c>
      <x:c r="E21" s="48" t="str"/>
      <x:c r="F21" s="48" t="str">
        <x:v>2026-08-13 01:44:16</x:v>
      </x:c>
      <x:c r="G21" s="48" t="str">
        <x:v>罗湖建设路2004号</x:v>
      </x:c>
    </x:row>
    <x:row r="22">
      <x:c r="A22" s="48" t="str">
        <x:v>南洋大厦</x:v>
      </x:c>
      <x:c r="B22" s="48" t="str">
        <x:v>大剧院</x:v>
      </x:c>
      <x:c r="C22" s="56" t="n">
        <x:v>1420</x:v>
      </x:c>
      <x:c r="D22" s="56" t="n">
        <x:v>18.9</x:v>
      </x:c>
      <x:c r="E22" s="48" t="str"/>
      <x:c r="F22" s="48" t="str">
        <x:v>2026-08-13 01:44:16</x:v>
      </x:c>
      <x:c r="G22" s="48" t="str">
        <x:v>罗湖建设路2004号</x:v>
      </x:c>
    </x:row>
    <x:row r="23">
      <x:c r="A23" s="48" t="str">
        <x:v>友谊大厦</x:v>
      </x:c>
      <x:c r="B23" s="48" t="str">
        <x:v>国贸</x:v>
      </x:c>
      <x:c r="C23" s="56" t="n">
        <x:v>427</x:v>
      </x:c>
      <x:c r="D23" s="56" t="n">
        <x:v>5.7</x:v>
      </x:c>
      <x:c r="E23" s="48" t="str">
        <x:v>是</x:v>
      </x:c>
      <x:c r="F23" s="48" t="str">
        <x:v>2026-08-13 01:44:18</x:v>
      </x:c>
      <x:c r="G23" s="48" t="str">
        <x:v>建设路1098号(国贸地铁站E口步行160米)</x:v>
      </x:c>
    </x:row>
    <x:row r="24">
      <x:c r="A24" s="48" t="str">
        <x:v>友谊大厦</x:v>
      </x:c>
      <x:c r="B24" s="48" t="str">
        <x:v>罗湖</x:v>
      </x:c>
      <x:c r="C24" s="56" t="n">
        <x:v>818</x:v>
      </x:c>
      <x:c r="D24" s="56" t="n">
        <x:v>10.9</x:v>
      </x:c>
      <x:c r="E24" s="48" t="str"/>
      <x:c r="F24" s="48" t="str">
        <x:v>2026-08-13 01:44:18</x:v>
      </x:c>
      <x:c r="G24" s="48" t="str">
        <x:v>建设路1098号(国贸地铁站E口步行160米)</x:v>
      </x:c>
    </x:row>
    <x:row r="25">
      <x:c r="A25" s="48" t="str">
        <x:v>友谊大厦</x:v>
      </x:c>
      <x:c r="B25" s="48" t="str">
        <x:v>老街</x:v>
      </x:c>
      <x:c r="C25" s="56" t="n">
        <x:v>1108</x:v>
      </x:c>
      <x:c r="D25" s="56" t="n">
        <x:v>14.8</x:v>
      </x:c>
      <x:c r="E25" s="48" t="str"/>
      <x:c r="F25" s="48" t="str">
        <x:v>2026-08-13 01:44:18</x:v>
      </x:c>
      <x:c r="G25" s="48" t="str">
        <x:v>建设路1098号(国贸地铁站E口步行160米)</x:v>
      </x:c>
    </x:row>
    <x:row r="26">
      <x:c r="A26" s="48" t="str">
        <x:v>银座金钻</x:v>
      </x:c>
      <x:c r="B26" s="48" t="str">
        <x:v>国贸</x:v>
      </x:c>
      <x:c r="C26" s="56" t="n">
        <x:v>448</x:v>
      </x:c>
      <x:c r="D26" s="56" t="n">
        <x:v>6</x:v>
      </x:c>
      <x:c r="E26" s="48" t="str">
        <x:v>是</x:v>
      </x:c>
      <x:c r="F26" s="48" t="str">
        <x:v>2026-08-13 01:44:20</x:v>
      </x:c>
      <x:c r="G26" s="48" t="str">
        <x:v>东门南路3003号(国贸地铁站B口步行350米)</x:v>
      </x:c>
    </x:row>
    <x:row r="27">
      <x:c r="A27" s="48" t="str">
        <x:v>银座金钻</x:v>
      </x:c>
      <x:c r="B27" s="48" t="str">
        <x:v>湖贝</x:v>
      </x:c>
      <x:c r="C27" s="56" t="n">
        <x:v>680</x:v>
      </x:c>
      <x:c r="D27" s="56" t="n">
        <x:v>9.1</x:v>
      </x:c>
      <x:c r="E27" s="48" t="str"/>
      <x:c r="F27" s="48" t="str">
        <x:v>2026-08-13 01:44:20</x:v>
      </x:c>
      <x:c r="G27" s="48" t="str">
        <x:v>东门南路3003号(国贸地铁站B口步行350米)</x:v>
      </x:c>
    </x:row>
    <x:row r="28">
      <x:c r="A28" s="48" t="str">
        <x:v>银座金钻</x:v>
      </x:c>
      <x:c r="B28" s="48" t="str">
        <x:v>老街</x:v>
      </x:c>
      <x:c r="C28" s="56" t="n">
        <x:v>970</x:v>
      </x:c>
      <x:c r="D28" s="56" t="n">
        <x:v>12.9</x:v>
      </x:c>
      <x:c r="E28" s="48" t="str"/>
      <x:c r="F28" s="48" t="str">
        <x:v>2026-08-13 01:44:20</x:v>
      </x:c>
      <x:c r="G28" s="48" t="str">
        <x:v>东门南路3003号(国贸地铁站B口步行350米)</x:v>
      </x:c>
    </x:row>
    <x:row r="29">
      <x:c r="A29" s="48" t="str">
        <x:v>银座金钻</x:v>
      </x:c>
      <x:c r="B29" s="48" t="str">
        <x:v>晒布</x:v>
      </x:c>
      <x:c r="C29" s="56" t="n">
        <x:v>988</x:v>
      </x:c>
      <x:c r="D29" s="56" t="n">
        <x:v>13.2</x:v>
      </x:c>
      <x:c r="E29" s="48" t="str"/>
      <x:c r="F29" s="48" t="str">
        <x:v>2026-08-13 01:44:20</x:v>
      </x:c>
      <x:c r="G29" s="48" t="str">
        <x:v>东门南路3003号(国贸地铁站B口步行350米)</x:v>
      </x:c>
    </x:row>
    <x:row r="30">
      <x:c r="A30" s="48" t="str">
        <x:v>置地逸轩</x:v>
      </x:c>
      <x:c r="B30" s="48" t="str">
        <x:v>国贸</x:v>
      </x:c>
      <x:c r="C30" s="56" t="n">
        <x:v>551</x:v>
      </x:c>
      <x:c r="D30" s="56" t="n">
        <x:v>7.4</x:v>
      </x:c>
      <x:c r="E30" s="48" t="str">
        <x:v>是</x:v>
      </x:c>
      <x:c r="F30" s="48" t="str">
        <x:v>2026-08-13 01:44:22</x:v>
      </x:c>
      <x:c r="G30" s="48" t="str">
        <x:v>春风路与春风路高架桥交叉口西120米</x:v>
      </x:c>
    </x:row>
    <x:row r="31">
      <x:c r="A31" s="48" t="str">
        <x:v>置地逸轩</x:v>
      </x:c>
      <x:c r="B31" s="48" t="str">
        <x:v>罗湖</x:v>
      </x:c>
      <x:c r="C31" s="56" t="n">
        <x:v>863</x:v>
      </x:c>
      <x:c r="D31" s="56" t="n">
        <x:v>11.5</x:v>
      </x:c>
      <x:c r="E31" s="48" t="str"/>
      <x:c r="F31" s="48" t="str">
        <x:v>2026-08-13 01:44:22</x:v>
      </x:c>
      <x:c r="G31" s="48" t="str">
        <x:v>春风路与春风路高架桥交叉口西120米</x:v>
      </x:c>
    </x:row>
    <x:row r="32">
      <x:c r="A32" s="48" t="str">
        <x:v>置地逸轩</x:v>
      </x:c>
      <x:c r="B32" s="48" t="str">
        <x:v>湖贝</x:v>
      </x:c>
      <x:c r="C32" s="56" t="n">
        <x:v>1121</x:v>
      </x:c>
      <x:c r="D32" s="56" t="n">
        <x:v>15</x:v>
      </x:c>
      <x:c r="E32" s="48" t="str"/>
      <x:c r="F32" s="48" t="str">
        <x:v>2026-08-13 01:44:22</x:v>
      </x:c>
      <x:c r="G32" s="48" t="str">
        <x:v>春风路与春风路高架桥交叉口西120米</x:v>
      </x:c>
    </x:row>
    <x:row r="33">
      <x:c r="A33" s="48" t="str">
        <x:v>置地逸轩</x:v>
      </x:c>
      <x:c r="B33" s="48" t="str">
        <x:v>老街</x:v>
      </x:c>
      <x:c r="C33" s="56" t="n">
        <x:v>1357</x:v>
      </x:c>
      <x:c r="D33" s="56" t="n">
        <x:v>18.1</x:v>
      </x:c>
      <x:c r="E33" s="48" t="str"/>
      <x:c r="F33" s="48" t="str">
        <x:v>2026-08-13 01:44:22</x:v>
      </x:c>
      <x:c r="G33" s="48" t="str">
        <x:v>春风路与春风路高架桥交叉口西120米</x:v>
      </x:c>
    </x:row>
    <x:row r="34">
      <x:c r="A34" s="48" t="str">
        <x:v>天俊大厦</x:v>
      </x:c>
      <x:c r="B34" s="48" t="str">
        <x:v>国贸</x:v>
      </x:c>
      <x:c r="C34" s="56" t="n">
        <x:v>584</x:v>
      </x:c>
      <x:c r="D34" s="56" t="n">
        <x:v>7.8</x:v>
      </x:c>
      <x:c r="E34" s="48" t="str">
        <x:v>是</x:v>
      </x:c>
      <x:c r="F34" s="48" t="str">
        <x:v>2026-08-13 01:44:24</x:v>
      </x:c>
      <x:c r="G34" s="48" t="str">
        <x:v>东门南路3001号(向西村地铁站D1口步行370米)</x:v>
      </x:c>
    </x:row>
    <x:row r="35">
      <x:c r="A35" s="48" t="str">
        <x:v>天俊大厦</x:v>
      </x:c>
      <x:c r="B35" s="48" t="str">
        <x:v>湖贝</x:v>
      </x:c>
      <x:c r="C35" s="56" t="n">
        <x:v>614</x:v>
      </x:c>
      <x:c r="D35" s="56" t="n">
        <x:v>8.2</x:v>
      </x:c>
      <x:c r="E35" s="48" t="str"/>
      <x:c r="F35" s="48" t="str">
        <x:v>2026-08-13 01:44:24</x:v>
      </x:c>
      <x:c r="G35" s="48" t="str">
        <x:v>东门南路3001号(向西村地铁站D1口步行370米)</x:v>
      </x:c>
    </x:row>
    <x:row r="36">
      <x:c r="A36" s="48" t="str">
        <x:v>天俊大厦</x:v>
      </x:c>
      <x:c r="B36" s="48" t="str">
        <x:v>晒布</x:v>
      </x:c>
      <x:c r="C36" s="56" t="n">
        <x:v>922</x:v>
      </x:c>
      <x:c r="D36" s="56" t="n">
        <x:v>12.3</x:v>
      </x:c>
      <x:c r="E36" s="48" t="str"/>
      <x:c r="F36" s="48" t="str">
        <x:v>2026-08-13 01:44:24</x:v>
      </x:c>
      <x:c r="G36" s="48" t="str">
        <x:v>东门南路3001号(向西村地铁站D1口步行370米)</x:v>
      </x:c>
    </x:row>
    <x:row r="37">
      <x:c r="A37" s="48" t="str">
        <x:v>天俊大厦</x:v>
      </x:c>
      <x:c r="B37" s="48" t="str">
        <x:v>老街</x:v>
      </x:c>
      <x:c r="C37" s="56" t="n">
        <x:v>964</x:v>
      </x:c>
      <x:c r="D37" s="56" t="n">
        <x:v>12.9</x:v>
      </x:c>
      <x:c r="E37" s="48" t="str"/>
      <x:c r="F37" s="48" t="str">
        <x:v>2026-08-13 01:44:24</x:v>
      </x:c>
      <x:c r="G37" s="48" t="str">
        <x:v>东门南路3001号(向西村地铁站D1口步行370米)</x:v>
      </x:c>
    </x:row>
    <x:row r="38">
      <x:c r="A38" s="48" t="str">
        <x:v>粤海花园</x:v>
      </x:c>
      <x:c r="B38" s="48" t="str">
        <x:v>国贸</x:v>
      </x:c>
      <x:c r="C38" s="56" t="n">
        <x:v>555</x:v>
      </x:c>
      <x:c r="D38" s="56" t="n">
        <x:v>7.4</x:v>
      </x:c>
      <x:c r="E38" s="48" t="str">
        <x:v>是</x:v>
      </x:c>
      <x:c r="F38" s="48" t="str">
        <x:v>2026-08-13 01:44:26</x:v>
      </x:c>
      <x:c r="G38" s="48" t="str">
        <x:v>南湖路3044号(国贸地铁站B口步行480米)</x:v>
      </x:c>
    </x:row>
    <x:row r="39">
      <x:c r="A39" s="48" t="str">
        <x:v>粤海花园</x:v>
      </x:c>
      <x:c r="B39" s="48" t="str">
        <x:v>湖贝</x:v>
      </x:c>
      <x:c r="C39" s="56" t="n">
        <x:v>569</x:v>
      </x:c>
      <x:c r="D39" s="56" t="n">
        <x:v>7.6</x:v>
      </x:c>
      <x:c r="E39" s="48" t="str"/>
      <x:c r="F39" s="48" t="str">
        <x:v>2026-08-13 01:44:26</x:v>
      </x:c>
      <x:c r="G39" s="48" t="str">
        <x:v>南湖路3044号(国贸地铁站B口步行480米)</x:v>
      </x:c>
    </x:row>
    <x:row r="40">
      <x:c r="A40" s="48" t="str">
        <x:v>粤海花园</x:v>
      </x:c>
      <x:c r="B40" s="48" t="str">
        <x:v>老街</x:v>
      </x:c>
      <x:c r="C40" s="56" t="n">
        <x:v>819</x:v>
      </x:c>
      <x:c r="D40" s="56" t="n">
        <x:v>10.9</x:v>
      </x:c>
      <x:c r="E40" s="48" t="str"/>
      <x:c r="F40" s="48" t="str">
        <x:v>2026-08-13 01:44:26</x:v>
      </x:c>
      <x:c r="G40" s="48" t="str">
        <x:v>南湖路3044号(国贸地铁站B口步行480米)</x:v>
      </x:c>
    </x:row>
    <x:row r="41">
      <x:c r="A41" s="48" t="str">
        <x:v>粤海花园</x:v>
      </x:c>
      <x:c r="B41" s="48" t="str">
        <x:v>晒布</x:v>
      </x:c>
      <x:c r="C41" s="56" t="n">
        <x:v>877</x:v>
      </x:c>
      <x:c r="D41" s="56" t="n">
        <x:v>11.7</x:v>
      </x:c>
      <x:c r="E41" s="48" t="str"/>
      <x:c r="F41" s="48" t="str">
        <x:v>2026-08-13 01:44:26</x:v>
      </x:c>
      <x:c r="G41" s="48" t="str">
        <x:v>南湖路3044号(国贸地铁站B口步行480米)</x:v>
      </x:c>
    </x:row>
    <x:row r="42">
      <x:c r="A42" s="48" t="str">
        <x:v>寸金大厦</x:v>
      </x:c>
      <x:c r="B42" s="48" t="str">
        <x:v>国贸</x:v>
      </x:c>
      <x:c r="C42" s="56" t="n">
        <x:v>542</x:v>
      </x:c>
      <x:c r="D42" s="56" t="n">
        <x:v>7.2</x:v>
      </x:c>
      <x:c r="E42" s="48" t="str">
        <x:v>是</x:v>
      </x:c>
      <x:c r="F42" s="48" t="str">
        <x:v>2026-08-13 01:44:29</x:v>
      </x:c>
      <x:c r="G42" s="48" t="str">
        <x:v>东门南路3005号(湖贝地铁站F口步行290米)</x:v>
      </x:c>
    </x:row>
    <x:row r="43">
      <x:c r="A43" s="48" t="str">
        <x:v>寸金大厦</x:v>
      </x:c>
      <x:c r="B43" s="48" t="str">
        <x:v>湖贝</x:v>
      </x:c>
      <x:c r="C43" s="56" t="n">
        <x:v>586</x:v>
      </x:c>
      <x:c r="D43" s="56" t="n">
        <x:v>7.8</x:v>
      </x:c>
      <x:c r="E43" s="48" t="str"/>
      <x:c r="F43" s="48" t="str">
        <x:v>2026-08-13 01:44:29</x:v>
      </x:c>
      <x:c r="G43" s="48" t="str">
        <x:v>东门南路3005号(湖贝地铁站F口步行290米)</x:v>
      </x:c>
    </x:row>
    <x:row r="44">
      <x:c r="A44" s="48" t="str">
        <x:v>寸金大厦</x:v>
      </x:c>
      <x:c r="B44" s="48" t="str">
        <x:v>晒布</x:v>
      </x:c>
      <x:c r="C44" s="56" t="n">
        <x:v>894</x:v>
      </x:c>
      <x:c r="D44" s="56" t="n">
        <x:v>11.9</x:v>
      </x:c>
      <x:c r="E44" s="48" t="str"/>
      <x:c r="F44" s="48" t="str">
        <x:v>2026-08-13 01:44:29</x:v>
      </x:c>
      <x:c r="G44" s="48" t="str">
        <x:v>东门南路3005号(湖贝地铁站F口步行290米)</x:v>
      </x:c>
    </x:row>
    <x:row r="45">
      <x:c r="A45" s="48" t="str">
        <x:v>寸金大厦</x:v>
      </x:c>
      <x:c r="B45" s="48" t="str">
        <x:v>老街</x:v>
      </x:c>
      <x:c r="C45" s="56" t="n">
        <x:v>936</x:v>
      </x:c>
      <x:c r="D45" s="56" t="n">
        <x:v>12.5</x:v>
      </x:c>
      <x:c r="E45" s="48" t="str"/>
      <x:c r="F45" s="48" t="str">
        <x:v>2026-08-13 01:44:29</x:v>
      </x:c>
      <x:c r="G45" s="48" t="str">
        <x:v>东门南路3005号(湖贝地铁站F口步行290米)</x:v>
      </x:c>
    </x:row>
    <x:row r="46">
      <x:c r="A46" s="48" t="str">
        <x:v>国际名园</x:v>
      </x:c>
      <x:c r="B46" s="48" t="str">
        <x:v>国贸</x:v>
      </x:c>
      <x:c r="C46" s="56" t="n">
        <x:v>614</x:v>
      </x:c>
      <x:c r="D46" s="56" t="n">
        <x:v>8.2</x:v>
      </x:c>
      <x:c r="E46" s="48" t="str">
        <x:v>是</x:v>
      </x:c>
      <x:c r="F46" s="48" t="str">
        <x:v>2026-08-13 01:44:31</x:v>
      </x:c>
      <x:c r="G46" s="48" t="str">
        <x:v>江背路18号(向西村地铁站D2口步行280米)</x:v>
      </x:c>
    </x:row>
    <x:row r="47">
      <x:c r="A47" s="48" t="str">
        <x:v>国际名园</x:v>
      </x:c>
      <x:c r="B47" s="48" t="str">
        <x:v>湖贝</x:v>
      </x:c>
      <x:c r="C47" s="56" t="n">
        <x:v>910</x:v>
      </x:c>
      <x:c r="D47" s="56" t="n">
        <x:v>12.1</x:v>
      </x:c>
      <x:c r="E47" s="48" t="str"/>
      <x:c r="F47" s="48" t="str">
        <x:v>2026-08-13 01:44:31</x:v>
      </x:c>
      <x:c r="G47" s="48" t="str">
        <x:v>江背路18号(向西村地铁站D2口步行280米)</x:v>
      </x:c>
    </x:row>
    <x:row r="48">
      <x:c r="A48" s="48" t="str">
        <x:v>国际名园</x:v>
      </x:c>
      <x:c r="B48" s="48" t="str">
        <x:v>罗湖</x:v>
      </x:c>
      <x:c r="C48" s="56" t="n">
        <x:v>1210</x:v>
      </x:c>
      <x:c r="D48" s="56" t="n">
        <x:v>16.1</x:v>
      </x:c>
      <x:c r="E48" s="48" t="str"/>
      <x:c r="F48" s="48" t="str">
        <x:v>2026-08-13 01:44:31</x:v>
      </x:c>
      <x:c r="G48" s="48" t="str">
        <x:v>江背路18号(向西村地铁站D2口步行280米)</x:v>
      </x:c>
    </x:row>
    <x:row r="49">
      <x:c r="A49" s="48" t="str">
        <x:v>国际名园</x:v>
      </x:c>
      <x:c r="B49" s="48" t="str">
        <x:v>老街</x:v>
      </x:c>
      <x:c r="C49" s="56" t="n">
        <x:v>1358</x:v>
      </x:c>
      <x:c r="D49" s="56" t="n">
        <x:v>18.1</x:v>
      </x:c>
      <x:c r="E49" s="48" t="str"/>
      <x:c r="F49" s="48" t="str">
        <x:v>2026-08-13 01:44:31</x:v>
      </x:c>
      <x:c r="G49" s="48" t="str">
        <x:v>江背路18号(向西村地铁站D2口步行280米)</x:v>
      </x:c>
    </x:row>
    <x:row r="50">
      <x:c r="A50" s="48" t="str">
        <x:v>城市天地广场</x:v>
      </x:c>
      <x:c r="B50" s="48" t="str">
        <x:v>国贸</x:v>
      </x:c>
      <x:c r="C50" s="56" t="n">
        <x:v>723</x:v>
      </x:c>
      <x:c r="D50" s="56" t="n">
        <x:v>9.6</x:v>
      </x:c>
      <x:c r="E50" s="48" t="str">
        <x:v>是</x:v>
      </x:c>
      <x:c r="F50" s="48" t="str">
        <x:v>2026-08-13 01:44:33</x:v>
      </x:c>
      <x:c r="G50" s="48" t="str">
        <x:v>嘉宾路4055号</x:v>
      </x:c>
    </x:row>
    <x:row r="51">
      <x:c r="A51" s="48" t="str">
        <x:v>城市天地广场</x:v>
      </x:c>
      <x:c r="B51" s="48" t="str">
        <x:v>大剧院</x:v>
      </x:c>
      <x:c r="C51" s="56" t="n">
        <x:v>1064</x:v>
      </x:c>
      <x:c r="D51" s="56" t="n">
        <x:v>14.2</x:v>
      </x:c>
      <x:c r="E51" s="48" t="str"/>
      <x:c r="F51" s="48" t="str">
        <x:v>2026-08-13 01:44:33</x:v>
      </x:c>
      <x:c r="G51" s="48" t="str">
        <x:v>嘉宾路4055号</x:v>
      </x:c>
    </x:row>
    <x:row r="52">
      <x:c r="A52" s="48" t="str">
        <x:v>城市天地广场</x:v>
      </x:c>
      <x:c r="B52" s="48" t="str">
        <x:v>老街</x:v>
      </x:c>
      <x:c r="C52" s="56" t="n">
        <x:v>1154</x:v>
      </x:c>
      <x:c r="D52" s="56" t="n">
        <x:v>15.4</x:v>
      </x:c>
      <x:c r="E52" s="48" t="str"/>
      <x:c r="F52" s="48" t="str">
        <x:v>2026-08-13 01:44:33</x:v>
      </x:c>
      <x:c r="G52" s="48" t="str">
        <x:v>嘉宾路4055号</x:v>
      </x:c>
    </x:row>
    <x:row r="53">
      <x:c r="A53" s="48" t="str">
        <x:v>城市天地广场</x:v>
      </x:c>
      <x:c r="B53" s="48" t="str">
        <x:v>罗湖</x:v>
      </x:c>
      <x:c r="C53" s="56" t="n">
        <x:v>1428</x:v>
      </x:c>
      <x:c r="D53" s="56" t="n">
        <x:v>19</x:v>
      </x:c>
      <x:c r="E53" s="48" t="str"/>
      <x:c r="F53" s="48" t="str">
        <x:v>2026-08-13 01:44:33</x:v>
      </x:c>
      <x:c r="G53" s="48" t="str">
        <x:v>嘉宾路4055号</x:v>
      </x:c>
    </x:row>
    <x:row r="54">
      <x:c r="A54" s="48" t="str">
        <x:v>庐山花园</x:v>
      </x:c>
      <x:c r="B54" s="48" t="str">
        <x:v>国贸</x:v>
      </x:c>
      <x:c r="C54" s="56" t="n">
        <x:v>856</x:v>
      </x:c>
      <x:c r="D54" s="56" t="n">
        <x:v>11.4</x:v>
      </x:c>
      <x:c r="E54" s="48" t="str">
        <x:v>是</x:v>
      </x:c>
      <x:c r="F54" s="48" t="str">
        <x:v>2026-08-13 01:44:35</x:v>
      </x:c>
      <x:c r="G54" s="48" t="str">
        <x:v>南湖街道嘉南社区春风路3019号(江背路3-15号)</x:v>
      </x:c>
    </x:row>
    <x:row r="55">
      <x:c r="A55" s="48" t="str">
        <x:v>庐山花园</x:v>
      </x:c>
      <x:c r="B55" s="48" t="str">
        <x:v>湖贝</x:v>
      </x:c>
      <x:c r="C55" s="56" t="n">
        <x:v>1041</x:v>
      </x:c>
      <x:c r="D55" s="56" t="n">
        <x:v>13.9</x:v>
      </x:c>
      <x:c r="E55" s="48" t="str"/>
      <x:c r="F55" s="48" t="str">
        <x:v>2026-08-13 01:44:35</x:v>
      </x:c>
      <x:c r="G55" s="48" t="str">
        <x:v>南湖街道嘉南社区春风路3019号(江背路3-15号)</x:v>
      </x:c>
    </x:row>
    <x:row r="56">
      <x:c r="A56" s="48" t="str">
        <x:v>庐山花园</x:v>
      </x:c>
      <x:c r="B56" s="48" t="str">
        <x:v>罗湖</x:v>
      </x:c>
      <x:c r="C56" s="56" t="n">
        <x:v>1150</x:v>
      </x:c>
      <x:c r="D56" s="56" t="n">
        <x:v>15.3</x:v>
      </x:c>
      <x:c r="E56" s="48" t="str"/>
      <x:c r="F56" s="48" t="str">
        <x:v>2026-08-13 01:44:35</x:v>
      </x:c>
      <x:c r="G56" s="48" t="str">
        <x:v>南湖街道嘉南社区春风路3019号(江背路3-15号)</x:v>
      </x:c>
    </x:row>
    <x:row r="57">
      <x:c r="A57" s="48" t="str">
        <x:v>园岭新村一区</x:v>
      </x:c>
      <x:c r="B57" s="48" t="str">
        <x:v>红岭</x:v>
      </x:c>
      <x:c r="C57" s="56" t="n">
        <x:v>334</x:v>
      </x:c>
      <x:c r="D57" s="56" t="n">
        <x:v>4.5</x:v>
      </x:c>
      <x:c r="E57" s="48" t="str">
        <x:v>是</x:v>
      </x:c>
      <x:c r="F57" s="48" t="str">
        <x:v>2026-08-13 01:44:36</x:v>
      </x:c>
      <x:c r="G57" s="48" t="str">
        <x:v>红荔路(红岭地铁站C1口步行60米)</x:v>
      </x:c>
    </x:row>
    <x:row r="58">
      <x:c r="A58" s="48" t="str">
        <x:v>能源宿舍</x:v>
      </x:c>
      <x:c r="B58" s="48" t="str">
        <x:v>红岭</x:v>
      </x:c>
      <x:c r="C58" s="56" t="n">
        <x:v>310</x:v>
      </x:c>
      <x:c r="D58" s="56" t="n">
        <x:v>4.1</x:v>
      </x:c>
      <x:c r="E58" s="48" t="str">
        <x:v>是</x:v>
      </x:c>
      <x:c r="F58" s="48" t="str">
        <x:v>2026-08-13 01:44:37</x:v>
      </x:c>
      <x:c r="G58" s="48" t="str">
        <x:v>红岭中路(红岭地铁站F口步行200米)</x:v>
      </x:c>
    </x:row>
    <x:row r="59">
      <x:c r="A59" s="48" t="str">
        <x:v>能源宿舍</x:v>
      </x:c>
      <x:c r="B59" s="48" t="str">
        <x:v>大剧院</x:v>
      </x:c>
      <x:c r="C59" s="56" t="n">
        <x:v>933</x:v>
      </x:c>
      <x:c r="D59" s="56" t="n">
        <x:v>12.4</x:v>
      </x:c>
      <x:c r="E59" s="48" t="str"/>
      <x:c r="F59" s="48" t="str">
        <x:v>2026-08-13 01:44:37</x:v>
      </x:c>
      <x:c r="G59" s="48" t="str">
        <x:v>红岭中路(红岭地铁站F口步行200米)</x:v>
      </x:c>
    </x:row>
    <x:row r="60">
      <x:c r="A60" s="48" t="str">
        <x:v>红桂二街2号大院</x:v>
      </x:c>
      <x:c r="B60" s="48" t="str">
        <x:v>红岭</x:v>
      </x:c>
      <x:c r="C60" s="56" t="n">
        <x:v>412</x:v>
      </x:c>
      <x:c r="D60" s="56" t="n">
        <x:v>5.5</x:v>
      </x:c>
      <x:c r="E60" s="48" t="str">
        <x:v>是</x:v>
      </x:c>
      <x:c r="F60" s="48" t="str">
        <x:v>2026-08-13 01:44:38</x:v>
      </x:c>
      <x:c r="G60" s="48" t="str">
        <x:v>红桂二街与红桂横街交叉口北60米</x:v>
      </x:c>
    </x:row>
    <x:row r="61">
      <x:c r="A61" s="48" t="str">
        <x:v>红桂二街2号大院</x:v>
      </x:c>
      <x:c r="B61" s="48" t="str">
        <x:v>大剧院</x:v>
      </x:c>
      <x:c r="C61" s="56" t="n">
        <x:v>940</x:v>
      </x:c>
      <x:c r="D61" s="56" t="n">
        <x:v>12.5</x:v>
      </x:c>
      <x:c r="E61" s="48" t="str"/>
      <x:c r="F61" s="48" t="str">
        <x:v>2026-08-13 01:44:38</x:v>
      </x:c>
      <x:c r="G61" s="48" t="str">
        <x:v>红桂二街与红桂横街交叉口北60米</x:v>
      </x:c>
    </x:row>
    <x:row r="62">
      <x:c r="A62" s="48" t="str">
        <x:v>松园小区</x:v>
      </x:c>
      <x:c r="B62" s="48" t="str">
        <x:v>红岭</x:v>
      </x:c>
      <x:c r="C62" s="56" t="n">
        <x:v>496</x:v>
      </x:c>
      <x:c r="D62" s="56" t="n">
        <x:v>6.6</x:v>
      </x:c>
      <x:c r="E62" s="48" t="str">
        <x:v>是</x:v>
      </x:c>
      <x:c r="F62" s="48" t="str">
        <x:v>2026-08-13 01:44:39</x:v>
      </x:c>
      <x:c r="G62" s="48" t="str">
        <x:v>松园西街52号(红岭地铁站C2口步行250米)</x:v>
      </x:c>
    </x:row>
    <x:row r="63">
      <x:c r="A63" s="48" t="str">
        <x:v>幸福华府</x:v>
      </x:c>
      <x:c r="B63" s="48" t="str">
        <x:v>红岭</x:v>
      </x:c>
      <x:c r="C63" s="56" t="n">
        <x:v>666</x:v>
      </x:c>
      <x:c r="D63" s="56" t="n">
        <x:v>8.9</x:v>
      </x:c>
      <x:c r="E63" s="48" t="str">
        <x:v>是</x:v>
      </x:c>
      <x:c r="F63" s="48" t="str">
        <x:v>2026-08-13 01:44:41</x:v>
      </x:c>
      <x:c r="G63" s="48" t="str">
        <x:v>宝安南路101号</x:v>
      </x:c>
    </x:row>
    <x:row r="64">
      <x:c r="A64" s="48" t="str">
        <x:v>幸福华府</x:v>
      </x:c>
      <x:c r="B64" s="48" t="str">
        <x:v>大剧院</x:v>
      </x:c>
      <x:c r="C64" s="56" t="n">
        <x:v>1354</x:v>
      </x:c>
      <x:c r="D64" s="56" t="n">
        <x:v>18.1</x:v>
      </x:c>
      <x:c r="E64" s="48" t="str"/>
      <x:c r="F64" s="48" t="str">
        <x:v>2026-08-13 01:44:41</x:v>
      </x:c>
      <x:c r="G64" s="48" t="str">
        <x:v>宝安南路101号</x:v>
      </x:c>
    </x:row>
    <x:row r="65">
      <x:c r="A65" s="48" t="str">
        <x:v>幸福华府</x:v>
      </x:c>
      <x:c r="B65" s="48" t="str">
        <x:v>老街</x:v>
      </x:c>
      <x:c r="C65" s="56" t="n">
        <x:v>1588</x:v>
      </x:c>
      <x:c r="D65" s="56" t="n">
        <x:v>21.2</x:v>
      </x:c>
      <x:c r="E65" s="48" t="str"/>
      <x:c r="F65" s="48" t="str">
        <x:v>2026-08-13 01:44:41</x:v>
      </x:c>
      <x:c r="G65" s="48" t="str">
        <x:v>宝安南路101号</x:v>
      </x:c>
    </x:row>
    <x:row r="66">
      <x:c r="A66" s="48" t="str">
        <x:v>红桂皇冠名庭</x:v>
      </x:c>
      <x:c r="B66" s="48" t="str">
        <x:v>红岭</x:v>
      </x:c>
      <x:c r="C66" s="56" t="n">
        <x:v>566</x:v>
      </x:c>
      <x:c r="D66" s="56" t="n">
        <x:v>7.6</x:v>
      </x:c>
      <x:c r="E66" s="48" t="str">
        <x:v>是</x:v>
      </x:c>
      <x:c r="F66" s="48" t="str">
        <x:v>2026-08-13 01:44:43</x:v>
      </x:c>
      <x:c r="G66" s="48" t="str">
        <x:v>宝安南路2169(红岭地铁站C2口步行410米)</x:v>
      </x:c>
    </x:row>
    <x:row r="67">
      <x:c r="A67" s="48" t="str">
        <x:v>红桂皇冠名庭</x:v>
      </x:c>
      <x:c r="B67" s="48" t="str">
        <x:v>大剧院</x:v>
      </x:c>
      <x:c r="C67" s="56" t="n">
        <x:v>1214</x:v>
      </x:c>
      <x:c r="D67" s="56" t="n">
        <x:v>16.2</x:v>
      </x:c>
      <x:c r="E67" s="48" t="str"/>
      <x:c r="F67" s="48" t="str">
        <x:v>2026-08-13 01:44:43</x:v>
      </x:c>
      <x:c r="G67" s="48" t="str">
        <x:v>宝安南路2169(红岭地铁站C2口步行410米)</x:v>
      </x:c>
    </x:row>
    <x:row r="68">
      <x:c r="A68" s="48" t="str">
        <x:v>红桂皇冠名庭</x:v>
      </x:c>
      <x:c r="B68" s="48" t="str">
        <x:v>老街</x:v>
      </x:c>
      <x:c r="C68" s="56" t="n">
        <x:v>1451</x:v>
      </x:c>
      <x:c r="D68" s="56" t="n">
        <x:v>19.4</x:v>
      </x:c>
      <x:c r="E68" s="48" t="str"/>
      <x:c r="F68" s="48" t="str">
        <x:v>2026-08-13 01:44:43</x:v>
      </x:c>
      <x:c r="G68" s="48" t="str">
        <x:v>宝安南路2169(红岭地铁站C2口步行410米)</x:v>
      </x:c>
    </x:row>
    <x:row r="69">
      <x:c r="A69" s="48" t="str">
        <x:v>怡正发大厦</x:v>
      </x:c>
      <x:c r="B69" s="48" t="str">
        <x:v>红岭</x:v>
      </x:c>
      <x:c r="C69" s="56" t="n">
        <x:v>661</x:v>
      </x:c>
      <x:c r="D69" s="56" t="n">
        <x:v>8.8</x:v>
      </x:c>
      <x:c r="E69" s="48" t="str">
        <x:v>是</x:v>
      </x:c>
      <x:c r="F69" s="48" t="str">
        <x:v>2026-08-13 01:44:44</x:v>
      </x:c>
      <x:c r="G69" s="48" t="str">
        <x:v>蔡屋围松园路89号(园岭地铁站C口步行400米)</x:v>
      </x:c>
    </x:row>
    <x:row r="70">
      <x:c r="A70" s="48" t="str">
        <x:v>景园大厦(松园路)</x:v>
      </x:c>
      <x:c r="B70" s="48" t="str">
        <x:v>红岭</x:v>
      </x:c>
      <x:c r="C70" s="56" t="n">
        <x:v>619</x:v>
      </x:c>
      <x:c r="D70" s="56" t="n">
        <x:v>8.3</x:v>
      </x:c>
      <x:c r="E70" s="48" t="str">
        <x:v>是</x:v>
      </x:c>
      <x:c r="F70" s="48" t="str">
        <x:v>2026-08-13 01:44:45</x:v>
      </x:c>
      <x:c r="G70" s="48" t="str">
        <x:v>松园路88号</x:v>
      </x:c>
    </x:row>
    <x:row r="71">
      <x:c r="A71" s="48" t="str">
        <x:v>日豪名园2A</x:v>
      </x:c>
      <x:c r="B71" s="48" t="str">
        <x:v>红岭</x:v>
      </x:c>
      <x:c r="C71" s="56" t="n">
        <x:v>846</x:v>
      </x:c>
      <x:c r="D71" s="56" t="n">
        <x:v>11.3</x:v>
      </x:c>
      <x:c r="E71" s="48" t="str">
        <x:v>是</x:v>
      </x:c>
      <x:c r="F71" s="48" t="str">
        <x:v>2026-08-13 01:44:47</x:v>
      </x:c>
      <x:c r="G71" s="48" t="str">
        <x:v>宝安南路与煤场路交叉口西80米</x:v>
      </x:c>
    </x:row>
    <x:row r="72">
      <x:c r="A72" s="48" t="str">
        <x:v>日豪名园2A</x:v>
      </x:c>
      <x:c r="B72" s="48" t="str">
        <x:v>大剧院</x:v>
      </x:c>
      <x:c r="C72" s="56" t="n">
        <x:v>1091</x:v>
      </x:c>
      <x:c r="D72" s="56" t="n">
        <x:v>14.6</x:v>
      </x:c>
      <x:c r="E72" s="48" t="str"/>
      <x:c r="F72" s="48" t="str">
        <x:v>2026-08-13 01:44:47</x:v>
      </x:c>
      <x:c r="G72" s="48" t="str">
        <x:v>宝安南路与煤场路交叉口西80米</x:v>
      </x:c>
    </x:row>
    <x:row r="73">
      <x:c r="A73" s="48" t="str">
        <x:v>日豪名园2A</x:v>
      </x:c>
      <x:c r="B73" s="48" t="str">
        <x:v>老街</x:v>
      </x:c>
      <x:c r="C73" s="56" t="n">
        <x:v>1325</x:v>
      </x:c>
      <x:c r="D73" s="56" t="n">
        <x:v>17.7</x:v>
      </x:c>
      <x:c r="E73" s="48" t="str"/>
      <x:c r="F73" s="48" t="str">
        <x:v>2026-08-13 01:44:47</x:v>
      </x:c>
      <x:c r="G73" s="48" t="str">
        <x:v>宝安南路与煤场路交叉口西80米</x:v>
      </x:c>
    </x:row>
    <x:row r="74">
      <x:c r="A74" s="48" t="str">
        <x:v>洪二村</x:v>
      </x:c>
      <x:c r="B74" s="48" t="str">
        <x:v>红岭</x:v>
      </x:c>
      <x:c r="C74" s="56" t="n">
        <x:v>902</x:v>
      </x:c>
      <x:c r="D74" s="56" t="n">
        <x:v>12</x:v>
      </x:c>
      <x:c r="E74" s="48" t="str">
        <x:v>是</x:v>
      </x:c>
      <x:c r="F74" s="48" t="str">
        <x:v>2026-08-13 01:44:48</x:v>
      </x:c>
      <x:c r="G74" s="48" t="str">
        <x:v>宝安南路与煤场路交叉口西南100米</x:v>
      </x:c>
    </x:row>
    <x:row r="75">
      <x:c r="A75" s="48" t="str">
        <x:v>洪二村</x:v>
      </x:c>
      <x:c r="B75" s="48" t="str">
        <x:v>大剧院</x:v>
      </x:c>
      <x:c r="C75" s="56" t="n">
        <x:v>1025</x:v>
      </x:c>
      <x:c r="D75" s="56" t="n">
        <x:v>13.7</x:v>
      </x:c>
      <x:c r="E75" s="48" t="str"/>
      <x:c r="F75" s="48" t="str">
        <x:v>2026-08-13 01:44:48</x:v>
      </x:c>
      <x:c r="G75" s="48" t="str">
        <x:v>宝安南路与煤场路交叉口西南100米</x:v>
      </x:c>
    </x:row>
    <x:row r="76">
      <x:c r="A76" s="48" t="str">
        <x:v>洪二村</x:v>
      </x:c>
      <x:c r="B76" s="48" t="str">
        <x:v>老街</x:v>
      </x:c>
      <x:c r="C76" s="56" t="n">
        <x:v>1277</x:v>
      </x:c>
      <x:c r="D76" s="56" t="n">
        <x:v>17</x:v>
      </x:c>
      <x:c r="E76" s="48" t="str"/>
      <x:c r="F76" s="48" t="str">
        <x:v>2026-08-13 01:44:48</x:v>
      </x:c>
      <x:c r="G76" s="48" t="str">
        <x:v>宝安南路与煤场路交叉口西南100米</x:v>
      </x:c>
    </x:row>
    <x:row r="77">
      <x:c r="A77" s="48" t="str">
        <x:v>中南小区(宝安南路)</x:v>
      </x:c>
      <x:c r="B77" s="48" t="str">
        <x:v>红岭</x:v>
      </x:c>
      <x:c r="C77" s="56" t="n">
        <x:v>677</x:v>
      </x:c>
      <x:c r="D77" s="56" t="n">
        <x:v>9</x:v>
      </x:c>
      <x:c r="E77" s="48" t="str">
        <x:v>是</x:v>
      </x:c>
      <x:c r="F77" s="48" t="str">
        <x:v>2026-08-13 01:44:49</x:v>
      </x:c>
      <x:c r="G77" s="48" t="str">
        <x:v>宝安南路3007号</x:v>
      </x:c>
    </x:row>
    <x:row r="78">
      <x:c r="A78" s="48" t="str">
        <x:v>骏庭名园</x:v>
      </x:c>
      <x:c r="B78" s="48" t="str">
        <x:v>大剧院</x:v>
      </x:c>
      <x:c r="C78" s="56" t="n">
        <x:v>892</x:v>
      </x:c>
      <x:c r="D78" s="56" t="n">
        <x:v>11.9</x:v>
      </x:c>
      <x:c r="E78" s="48" t="str">
        <x:v>是</x:v>
      </x:c>
      <x:c r="F78" s="48" t="str">
        <x:v>2026-08-13 01:44:51</x:v>
      </x:c>
      <x:c r="G78" s="48" t="str">
        <x:v>宝安南路2107号</x:v>
      </x:c>
    </x:row>
    <x:row r="79">
      <x:c r="A79" s="48" t="str">
        <x:v>骏庭名园</x:v>
      </x:c>
      <x:c r="B79" s="48" t="str">
        <x:v>红岭</x:v>
      </x:c>
      <x:c r="C79" s="56" t="n">
        <x:v>1091</x:v>
      </x:c>
      <x:c r="D79" s="56" t="n">
        <x:v>14.6</x:v>
      </x:c>
      <x:c r="E79" s="48" t="str"/>
      <x:c r="F79" s="48" t="str">
        <x:v>2026-08-13 01:44:51</x:v>
      </x:c>
      <x:c r="G79" s="48" t="str">
        <x:v>宝安南路2107号</x:v>
      </x:c>
    </x:row>
    <x:row r="80">
      <x:c r="A80" s="48" t="str">
        <x:v>骏庭名园</x:v>
      </x:c>
      <x:c r="B80" s="48" t="str">
        <x:v>老街</x:v>
      </x:c>
      <x:c r="C80" s="56" t="n">
        <x:v>1137</x:v>
      </x:c>
      <x:c r="D80" s="56" t="n">
        <x:v>15.2</x:v>
      </x:c>
      <x:c r="E80" s="48" t="str"/>
      <x:c r="F80" s="48" t="str">
        <x:v>2026-08-13 01:44:51</x:v>
      </x:c>
      <x:c r="G80" s="48" t="str">
        <x:v>宝安南路2107号</x:v>
      </x:c>
    </x:row>
    <x:row r="81">
      <x:c r="A81" s="48" t="str">
        <x:v>中航凯特公寓</x:v>
      </x:c>
      <x:c r="B81" s="48" t="str">
        <x:v>红岭</x:v>
      </x:c>
      <x:c r="C81" s="56" t="n">
        <x:v>669</x:v>
      </x:c>
      <x:c r="D81" s="56" t="n">
        <x:v>8.9</x:v>
      </x:c>
      <x:c r="E81" s="48" t="str">
        <x:v>是</x:v>
      </x:c>
      <x:c r="F81" s="48" t="str">
        <x:v>2026-08-13 01:44:52</x:v>
      </x:c>
      <x:c r="G81" s="48" t="str">
        <x:v>宝安南路3019号(红岭地铁站C2口步行490米)</x:v>
      </x:c>
    </x:row>
    <x:row r="82">
      <x:c r="A82" s="48" t="str">
        <x:v>红岭大厦</x:v>
      </x:c>
      <x:c r="B82" s="48" t="str">
        <x:v>大剧院</x:v>
      </x:c>
      <x:c r="C82" s="56" t="n">
        <x:v>674</x:v>
      </x:c>
      <x:c r="D82" s="56" t="n">
        <x:v>9</x:v>
      </x:c>
      <x:c r="E82" s="48" t="str">
        <x:v>是</x:v>
      </x:c>
      <x:c r="F82" s="48" t="str">
        <x:v>2026-08-13 01:45:42</x:v>
      </x:c>
      <x:c r="G82" s="48" t="str">
        <x:v>红岭南路1049号(红岭南地铁站c口)</x:v>
      </x:c>
    </x:row>
    <x:row r="83">
      <x:c r="A83" s="48" t="str">
        <x:v>红岭大厦</x:v>
      </x:c>
      <x:c r="B83" s="48" t="str">
        <x:v>红岭</x:v>
      </x:c>
      <x:c r="C83" s="56" t="n">
        <x:v>1147</x:v>
      </x:c>
      <x:c r="D83" s="56" t="n">
        <x:v>15.3</x:v>
      </x:c>
      <x:c r="E83" s="48" t="str"/>
      <x:c r="F83" s="48" t="str">
        <x:v>2026-08-13 01:45:42</x:v>
      </x:c>
      <x:c r="G83" s="48" t="str">
        <x:v>红岭南路1049号(红岭南地铁站c口)</x:v>
      </x:c>
    </x:row>
    <x:row r="84">
      <x:c r="A84" s="48" t="str">
        <x:v>深港豪苑</x:v>
      </x:c>
      <x:c r="B84" s="48" t="str">
        <x:v>红岭</x:v>
      </x:c>
      <x:c r="C84" s="56" t="n">
        <x:v>762</x:v>
      </x:c>
      <x:c r="D84" s="56" t="n">
        <x:v>10.2</x:v>
      </x:c>
      <x:c r="E84" s="48" t="str">
        <x:v>是</x:v>
      </x:c>
      <x:c r="F84" s="48" t="str">
        <x:v>2026-08-13 01:45:44</x:v>
      </x:c>
      <x:c r="G84" s="48" t="str">
        <x:v>桂园街道桂木园社区宝安南路2078号(红岭H口步行约600m)</x:v>
      </x:c>
    </x:row>
    <x:row r="85">
      <x:c r="A85" s="48" t="str">
        <x:v>深港豪苑</x:v>
      </x:c>
      <x:c r="B85" s="48" t="str">
        <x:v>大剧院</x:v>
      </x:c>
      <x:c r="C85" s="56" t="n">
        <x:v>1169</x:v>
      </x:c>
      <x:c r="D85" s="56" t="n">
        <x:v>15.6</x:v>
      </x:c>
      <x:c r="E85" s="48" t="str"/>
      <x:c r="F85" s="48" t="str">
        <x:v>2026-08-13 01:45:44</x:v>
      </x:c>
      <x:c r="G85" s="48" t="str">
        <x:v>桂园街道桂木园社区宝安南路2078号(红岭H口步行约600m)</x:v>
      </x:c>
    </x:row>
    <x:row r="86">
      <x:c r="A86" s="48" t="str">
        <x:v>深港豪苑</x:v>
      </x:c>
      <x:c r="B86" s="48" t="str">
        <x:v>老街</x:v>
      </x:c>
      <x:c r="C86" s="56" t="n">
        <x:v>1320</x:v>
      </x:c>
      <x:c r="D86" s="56" t="n">
        <x:v>17.6</x:v>
      </x:c>
      <x:c r="E86" s="48" t="str"/>
      <x:c r="F86" s="48" t="str">
        <x:v>2026-08-13 01:45:44</x:v>
      </x:c>
      <x:c r="G86" s="48" t="str">
        <x:v>桂园街道桂木园社区宝安南路2078号(红岭H口步行约600m)</x:v>
      </x:c>
    </x:row>
    <x:row r="87">
      <x:c r="A87" s="48" t="str">
        <x:v>风格名苑</x:v>
      </x:c>
      <x:c r="B87" s="48" t="str">
        <x:v>红岭</x:v>
      </x:c>
      <x:c r="C87" s="56" t="n">
        <x:v>681</x:v>
      </x:c>
      <x:c r="D87" s="56" t="n">
        <x:v>9.1</x:v>
      </x:c>
      <x:c r="E87" s="48" t="str">
        <x:v>是</x:v>
      </x:c>
      <x:c r="F87" s="48" t="str">
        <x:v>2026-08-13 01:45:44</x:v>
      </x:c>
      <x:c r="G87" s="48" t="str">
        <x:v>红桂路1038号(近宝安南路)</x:v>
      </x:c>
    </x:row>
    <x:row r="88">
      <x:c r="A88" s="48" t="str">
        <x:v>鸿翔花园</x:v>
      </x:c>
      <x:c r="B88" s="48" t="str">
        <x:v>红岭</x:v>
      </x:c>
      <x:c r="C88" s="56" t="n">
        <x:v>788</x:v>
      </x:c>
      <x:c r="D88" s="56" t="n">
        <x:v>10.5</x:v>
      </x:c>
      <x:c r="E88" s="48" t="str">
        <x:v>是</x:v>
      </x:c>
      <x:c r="F88" s="48" t="str">
        <x:v>2026-08-13 01:45:45</x:v>
      </x:c>
      <x:c r="G88" s="48" t="str">
        <x:v>松园路68号(园岭地铁站C口步行150米)</x:v>
      </x:c>
    </x:row>
    <x:row r="89">
      <x:c r="A89" s="48" t="str">
        <x:v>国都花园</x:v>
      </x:c>
      <x:c r="B89" s="48" t="str">
        <x:v>红岭</x:v>
      </x:c>
      <x:c r="C89" s="56" t="n">
        <x:v>979</x:v>
      </x:c>
      <x:c r="D89" s="56" t="n">
        <x:v>13.1</x:v>
      </x:c>
      <x:c r="E89" s="48" t="str">
        <x:v>是</x:v>
      </x:c>
      <x:c r="F89" s="48" t="str">
        <x:v>2026-08-13 01:45:47</x:v>
      </x:c>
      <x:c r="G89" s="48" t="str">
        <x:v>宝安南路2060号</x:v>
      </x:c>
    </x:row>
    <x:row r="90">
      <x:c r="A90" s="48" t="str">
        <x:v>国都花园</x:v>
      </x:c>
      <x:c r="B90" s="48" t="str">
        <x:v>大剧院</x:v>
      </x:c>
      <x:c r="C90" s="56" t="n">
        <x:v>1050</x:v>
      </x:c>
      <x:c r="D90" s="56" t="n">
        <x:v>14</x:v>
      </x:c>
      <x:c r="E90" s="48" t="str"/>
      <x:c r="F90" s="48" t="str">
        <x:v>2026-08-13 01:45:47</x:v>
      </x:c>
      <x:c r="G90" s="48" t="str">
        <x:v>宝安南路2060号</x:v>
      </x:c>
    </x:row>
    <x:row r="91">
      <x:c r="A91" s="48" t="str">
        <x:v>国都花园</x:v>
      </x:c>
      <x:c r="B91" s="48" t="str">
        <x:v>老街</x:v>
      </x:c>
      <x:c r="C91" s="56" t="n">
        <x:v>1111</x:v>
      </x:c>
      <x:c r="D91" s="56" t="n">
        <x:v>14.8</x:v>
      </x:c>
      <x:c r="E91" s="48" t="str"/>
      <x:c r="F91" s="48" t="str">
        <x:v>2026-08-13 01:45:47</x:v>
      </x:c>
      <x:c r="G91" s="48" t="str">
        <x:v>宝安南路2060号</x:v>
      </x:c>
    </x:row>
    <x:row r="92">
      <x:c r="A92" s="48" t="str">
        <x:v>嘉福苑</x:v>
      </x:c>
      <x:c r="B92" s="48" t="str">
        <x:v>红岭</x:v>
      </x:c>
      <x:c r="C92" s="56" t="n">
        <x:v>879</x:v>
      </x:c>
      <x:c r="D92" s="56" t="n">
        <x:v>11.7</x:v>
      </x:c>
      <x:c r="E92" s="48" t="str">
        <x:v>是</x:v>
      </x:c>
      <x:c r="F92" s="48" t="str">
        <x:v>2026-08-13 01:45:49</x:v>
      </x:c>
      <x:c r="G92" s="48" t="str">
        <x:v>红桂路1041号</x:v>
      </x:c>
    </x:row>
    <x:row r="93">
      <x:c r="A93" s="48" t="str">
        <x:v>嘉福苑</x:v>
      </x:c>
      <x:c r="B93" s="48" t="str">
        <x:v>老街</x:v>
      </x:c>
      <x:c r="C93" s="56" t="n">
        <x:v>1258</x:v>
      </x:c>
      <x:c r="D93" s="56" t="n">
        <x:v>16.8</x:v>
      </x:c>
      <x:c r="E93" s="48" t="str"/>
      <x:c r="F93" s="48" t="str">
        <x:v>2026-08-13 01:45:49</x:v>
      </x:c>
      <x:c r="G93" s="48" t="str">
        <x:v>红桂路1041号</x:v>
      </x:c>
    </x:row>
    <x:row r="94">
      <x:c r="A94" s="48" t="str">
        <x:v>嘉福苑</x:v>
      </x:c>
      <x:c r="B94" s="48" t="str">
        <x:v>大剧院</x:v>
      </x:c>
      <x:c r="C94" s="56" t="n">
        <x:v>1258</x:v>
      </x:c>
      <x:c r="D94" s="56" t="n">
        <x:v>16.8</x:v>
      </x:c>
      <x:c r="E94" s="48" t="str"/>
      <x:c r="F94" s="48" t="str">
        <x:v>2026-08-13 01:45:49</x:v>
      </x:c>
      <x:c r="G94" s="48" t="str">
        <x:v>红桂路1041号</x:v>
      </x:c>
    </x:row>
    <x:row r="95">
      <x:c r="A95" s="48" t="str">
        <x:v>建设集团大院</x:v>
      </x:c>
      <x:c r="B95" s="48" t="str">
        <x:v>红岭</x:v>
      </x:c>
      <x:c r="C95" s="56" t="n">
        <x:v>761</x:v>
      </x:c>
      <x:c r="D95" s="56" t="n">
        <x:v>10.2</x:v>
      </x:c>
      <x:c r="E95" s="48" t="str">
        <x:v>是</x:v>
      </x:c>
      <x:c r="F95" s="48" t="str">
        <x:v>2026-08-13 01:46:03</x:v>
      </x:c>
      <x:c r="G95" s="48" t="str">
        <x:v>红岭中路与园岭六街交叉口东80米</x:v>
      </x:c>
    </x:row>
    <x:row r="96">
      <x:c r="A96" s="48" t="str">
        <x:v>长虹大厦</x:v>
      </x:c>
      <x:c r="B96" s="48" t="str">
        <x:v>红岭</x:v>
      </x:c>
      <x:c r="C96" s="56" t="n">
        <x:v>1228</x:v>
      </x:c>
      <x:c r="D96" s="56" t="n">
        <x:v>16.4</x:v>
      </x:c>
      <x:c r="E96" s="48" t="str">
        <x:v>是</x:v>
      </x:c>
      <x:c r="F96" s="48" t="str">
        <x:v>2026-08-13 01:46:04</x:v>
      </x:c>
      <x:c r="G96" s="48" t="str">
        <x:v>笋岗东路3013号(园岭地铁站C口步行340米)</x:v>
      </x:c>
    </x:row>
    <x:row r="97">
      <x:c r="A97" s="48" t="str">
        <x:v>松园南小区</x:v>
      </x:c>
      <x:c r="B97" s="48" t="str">
        <x:v>红岭</x:v>
      </x:c>
      <x:c r="C97" s="56" t="n">
        <x:v>1061</x:v>
      </x:c>
      <x:c r="D97" s="56" t="n">
        <x:v>14.2</x:v>
      </x:c>
      <x:c r="E97" s="48" t="str">
        <x:v>是</x:v>
      </x:c>
      <x:c r="F97" s="48" t="str">
        <x:v>2026-08-13 01:46:05</x:v>
      </x:c>
      <x:c r="G97" s="48" t="str">
        <x:v>宝安南路3042号</x:v>
      </x:c>
    </x:row>
    <x:row r="98">
      <x:c r="A98" s="48" t="str">
        <x:v>西湖小区</x:v>
      </x:c>
      <x:c r="B98" s="48" t="str">
        <x:v>红岭</x:v>
      </x:c>
      <x:c r="C98" s="56" t="n">
        <x:v>1190</x:v>
      </x:c>
      <x:c r="D98" s="56" t="n">
        <x:v>15.9</x:v>
      </x:c>
      <x:c r="E98" s="48" t="str">
        <x:v>是</x:v>
      </x:c>
      <x:c r="F98" s="48" t="str">
        <x:v>2026-08-13 01:46:06</x:v>
      </x:c>
      <x:c r="G98" s="48" t="str">
        <x:v>桂园北街与松园东街交叉口东120米</x:v>
      </x:c>
    </x:row>
    <x:row r="99">
      <x:c r="A99" s="48" t="str">
        <x:v>金园花园</x:v>
      </x:c>
      <x:c r="B99" s="48" t="str">
        <x:v>红岭</x:v>
      </x:c>
      <x:c r="C99" s="56" t="n">
        <x:v>1122</x:v>
      </x:c>
      <x:c r="D99" s="56" t="n">
        <x:v>15</x:v>
      </x:c>
      <x:c r="E99" s="48" t="str">
        <x:v>是</x:v>
      </x:c>
      <x:c r="F99" s="48" t="str">
        <x:v>2026-08-13 01:46:07</x:v>
      </x:c>
      <x:c r="G99" s="48" t="str">
        <x:v>宝安南路3088号</x:v>
      </x:c>
    </x:row>
    <x:row r="100">
      <x:c r="A100" s="48" t="str">
        <x:v>鹏盛村</x:v>
      </x:c>
      <x:c r="B100" s="48" t="str">
        <x:v>红岭</x:v>
      </x:c>
      <x:c r="C100" s="56" t="n">
        <x:v>1148</x:v>
      </x:c>
      <x:c r="D100" s="56" t="n">
        <x:v>15.3</x:v>
      </x:c>
      <x:c r="E100" s="48" t="str">
        <x:v>是</x:v>
      </x:c>
      <x:c r="F100" s="48" t="str">
        <x:v>2026-08-13 01:46:08</x:v>
      </x:c>
      <x:c r="G100" s="48" t="str">
        <x:v>八卦一路39号(园岭地铁站A口步行150米)</x:v>
      </x:c>
    </x:row>
    <x:row r="101">
      <x:c r="A101" s="48" t="str">
        <x:v>盛夏公寓</x:v>
      </x:c>
      <x:c r="B101" s="48" t="str">
        <x:v>红岭</x:v>
      </x:c>
      <x:c r="C101" s="56" t="n">
        <x:v>1217</x:v>
      </x:c>
      <x:c r="D101" s="56" t="n">
        <x:v>16.2</x:v>
      </x:c>
      <x:c r="E101" s="48" t="str">
        <x:v>是</x:v>
      </x:c>
      <x:c r="F101" s="48" t="str">
        <x:v>2026-08-13 01:46:08</x:v>
      </x:c>
      <x:c r="G101" s="48" t="str">
        <x:v>上步中路1043号深勘大厦旁</x:v>
      </x:c>
    </x:row>
    <x:row r="102">
      <x:c r="A102" s="48" t="str">
        <x:v>东门广场</x:v>
      </x:c>
      <x:c r="B102" s="48" t="str">
        <x:v>湖贝</x:v>
      </x:c>
      <x:c r="C102" s="56" t="n">
        <x:v>445</x:v>
      </x:c>
      <x:c r="D102" s="56" t="n">
        <x:v>5.9</x:v>
      </x:c>
      <x:c r="E102" s="48" t="str">
        <x:v>是</x:v>
      </x:c>
      <x:c r="F102" s="48" t="str">
        <x:v>2026-08-13 01:46:11</x:v>
      </x:c>
      <x:c r="G102" s="48" t="str">
        <x:v>湖贝路2163号(湖贝地铁站C口步行60米)</x:v>
      </x:c>
    </x:row>
    <x:row r="103">
      <x:c r="A103" s="48" t="str">
        <x:v>东门广场</x:v>
      </x:c>
      <x:c r="B103" s="48" t="str">
        <x:v>晒布</x:v>
      </x:c>
      <x:c r="C103" s="56" t="n">
        <x:v>722</x:v>
      </x:c>
      <x:c r="D103" s="56" t="n">
        <x:v>9.6</x:v>
      </x:c>
      <x:c r="E103" s="48" t="str"/>
      <x:c r="F103" s="48" t="str">
        <x:v>2026-08-13 01:46:11</x:v>
      </x:c>
      <x:c r="G103" s="48" t="str">
        <x:v>湖贝路2163号(湖贝地铁站C口步行60米)</x:v>
      </x:c>
    </x:row>
    <x:row r="104">
      <x:c r="A104" s="48" t="str">
        <x:v>东门广场</x:v>
      </x:c>
      <x:c r="B104" s="48" t="str">
        <x:v>老街</x:v>
      </x:c>
      <x:c r="C104" s="56" t="n">
        <x:v>921</x:v>
      </x:c>
      <x:c r="D104" s="56" t="n">
        <x:v>12.3</x:v>
      </x:c>
      <x:c r="E104" s="48" t="str"/>
      <x:c r="F104" s="48" t="str">
        <x:v>2026-08-13 01:46:11</x:v>
      </x:c>
      <x:c r="G104" s="48" t="str">
        <x:v>湖贝路2163号(湖贝地铁站C口步行60米)</x:v>
      </x:c>
    </x:row>
    <x:row r="105">
      <x:c r="A105" s="48" t="str">
        <x:v>东门广场</x:v>
      </x:c>
      <x:c r="B105" s="48" t="str">
        <x:v>国贸</x:v>
      </x:c>
      <x:c r="C105" s="56" t="n">
        <x:v>1039</x:v>
      </x:c>
      <x:c r="D105" s="56" t="n">
        <x:v>13.9</x:v>
      </x:c>
      <x:c r="E105" s="48" t="str"/>
      <x:c r="F105" s="48" t="str">
        <x:v>2026-08-13 01:46:11</x:v>
      </x:c>
      <x:c r="G105" s="48" t="str">
        <x:v>湖贝路2163号(湖贝地铁站C口步行60米)</x:v>
      </x:c>
    </x:row>
    <x:row r="106">
      <x:c r="A106" s="48" t="str">
        <x:v>南华大厦</x:v>
      </x:c>
      <x:c r="B106" s="48" t="str">
        <x:v>湖贝</x:v>
      </x:c>
      <x:c r="C106" s="56" t="n">
        <x:v>247</x:v>
      </x:c>
      <x:c r="D106" s="56" t="n">
        <x:v>3.3</x:v>
      </x:c>
      <x:c r="E106" s="48" t="str">
        <x:v>是</x:v>
      </x:c>
      <x:c r="F106" s="48" t="str">
        <x:v>2026-08-13 01:46:13</x:v>
      </x:c>
      <x:c r="G106" s="48" t="str">
        <x:v>南极路19号(湖贝地铁站A口步行140米)</x:v>
      </x:c>
    </x:row>
    <x:row r="107">
      <x:c r="A107" s="48" t="str">
        <x:v>南华大厦</x:v>
      </x:c>
      <x:c r="B107" s="48" t="str">
        <x:v>国贸</x:v>
      </x:c>
      <x:c r="C107" s="56" t="n">
        <x:v>982</x:v>
      </x:c>
      <x:c r="D107" s="56" t="n">
        <x:v>13.1</x:v>
      </x:c>
      <x:c r="E107" s="48" t="str"/>
      <x:c r="F107" s="48" t="str">
        <x:v>2026-08-13 01:46:13</x:v>
      </x:c>
      <x:c r="G107" s="48" t="str">
        <x:v>南极路19号(湖贝地铁站A口步行140米)</x:v>
      </x:c>
    </x:row>
    <x:row r="108">
      <x:c r="A108" s="48" t="str">
        <x:v>南华大厦</x:v>
      </x:c>
      <x:c r="B108" s="48" t="str">
        <x:v>晒布</x:v>
      </x:c>
      <x:c r="C108" s="56" t="n">
        <x:v>1190</x:v>
      </x:c>
      <x:c r="D108" s="56" t="n">
        <x:v>15.9</x:v>
      </x:c>
      <x:c r="E108" s="48" t="str"/>
      <x:c r="F108" s="48" t="str">
        <x:v>2026-08-13 01:46:13</x:v>
      </x:c>
      <x:c r="G108" s="48" t="str">
        <x:v>南极路19号(湖贝地铁站A口步行140米)</x:v>
      </x:c>
    </x:row>
    <x:row r="109">
      <x:c r="A109" s="48" t="str">
        <x:v>金鼎大厦</x:v>
      </x:c>
      <x:c r="B109" s="48" t="str">
        <x:v>湖贝</x:v>
      </x:c>
      <x:c r="C109" s="56" t="n">
        <x:v>420</x:v>
      </x:c>
      <x:c r="D109" s="56" t="n">
        <x:v>5.6</x:v>
      </x:c>
      <x:c r="E109" s="48" t="str">
        <x:v>是</x:v>
      </x:c>
      <x:c r="F109" s="48" t="str">
        <x:v>2026-08-13 01:46:15</x:v>
      </x:c>
      <x:c r="G109" s="48" t="str">
        <x:v>嘉宾路1001号(湖贝地铁站D口步行340米)</x:v>
      </x:c>
    </x:row>
    <x:row r="110">
      <x:c r="A110" s="48" t="str">
        <x:v>金鼎大厦</x:v>
      </x:c>
      <x:c r="B110" s="48" t="str">
        <x:v>国贸</x:v>
      </x:c>
      <x:c r="C110" s="56" t="n">
        <x:v>700</x:v>
      </x:c>
      <x:c r="D110" s="56" t="n">
        <x:v>9.3</x:v>
      </x:c>
      <x:c r="E110" s="48" t="str"/>
      <x:c r="F110" s="48" t="str">
        <x:v>2026-08-13 01:46:15</x:v>
      </x:c>
      <x:c r="G110" s="48" t="str">
        <x:v>嘉宾路1001号(湖贝地铁站D口步行340米)</x:v>
      </x:c>
    </x:row>
    <x:row r="111">
      <x:c r="A111" s="48" t="str">
        <x:v>金鼎大厦</x:v>
      </x:c>
      <x:c r="B111" s="48" t="str">
        <x:v>晒布</x:v>
      </x:c>
      <x:c r="C111" s="56" t="n">
        <x:v>1210</x:v>
      </x:c>
      <x:c r="D111" s="56" t="n">
        <x:v>16.1</x:v>
      </x:c>
      <x:c r="E111" s="48" t="str"/>
      <x:c r="F111" s="48" t="str">
        <x:v>2026-08-13 01:46:15</x:v>
      </x:c>
      <x:c r="G111" s="48" t="str">
        <x:v>嘉宾路1001号(湖贝地铁站D口步行340米)</x:v>
      </x:c>
    </x:row>
    <x:row r="112">
      <x:c r="A112" s="48" t="str">
        <x:v>金鼎大厦</x:v>
      </x:c>
      <x:c r="B112" s="48" t="str">
        <x:v>老街</x:v>
      </x:c>
      <x:c r="C112" s="56" t="n">
        <x:v>1252</x:v>
      </x:c>
      <x:c r="D112" s="56" t="n">
        <x:v>16.7</x:v>
      </x:c>
      <x:c r="E112" s="48" t="str"/>
      <x:c r="F112" s="48" t="str">
        <x:v>2026-08-13 01:46:15</x:v>
      </x:c>
      <x:c r="G112" s="48" t="str">
        <x:v>嘉宾路1001号(湖贝地铁站D口步行340米)</x:v>
      </x:c>
    </x:row>
    <x:row r="113">
      <x:c r="A113" s="48" t="str">
        <x:v>联城美园</x:v>
      </x:c>
      <x:c r="B113" s="48" t="str">
        <x:v>湖贝</x:v>
      </x:c>
      <x:c r="C113" s="56" t="n">
        <x:v>556</x:v>
      </x:c>
      <x:c r="D113" s="56" t="n">
        <x:v>7.4</x:v>
      </x:c>
      <x:c r="E113" s="48" t="str">
        <x:v>是</x:v>
      </x:c>
      <x:c r="F113" s="48" t="str">
        <x:v>2026-08-13 01:46:17</x:v>
      </x:c>
      <x:c r="G113" s="48" t="str">
        <x:v>新安路59号(文锦地铁站D口步行350米)</x:v>
      </x:c>
    </x:row>
    <x:row r="114">
      <x:c r="A114" s="48" t="str">
        <x:v>联城美园</x:v>
      </x:c>
      <x:c r="B114" s="48" t="str">
        <x:v>黄贝岭</x:v>
      </x:c>
      <x:c r="C114" s="56" t="n">
        <x:v>1039</x:v>
      </x:c>
      <x:c r="D114" s="56" t="n">
        <x:v>13.9</x:v>
      </x:c>
      <x:c r="E114" s="48" t="str"/>
      <x:c r="F114" s="48" t="str">
        <x:v>2026-08-13 01:46:17</x:v>
      </x:c>
      <x:c r="G114" s="48" t="str">
        <x:v>新安路59号(文锦地铁站D口步行350米)</x:v>
      </x:c>
    </x:row>
    <x:row r="115">
      <x:c r="A115" s="48" t="str">
        <x:v>联城美园</x:v>
      </x:c>
      <x:c r="B115" s="48" t="str">
        <x:v>晒布</x:v>
      </x:c>
      <x:c r="C115" s="56" t="n">
        <x:v>1541</x:v>
      </x:c>
      <x:c r="D115" s="56" t="n">
        <x:v>20.6</x:v>
      </x:c>
      <x:c r="E115" s="48" t="str"/>
      <x:c r="F115" s="48" t="str">
        <x:v>2026-08-13 01:46:17</x:v>
      </x:c>
      <x:c r="G115" s="48" t="str">
        <x:v>新安路59号(文锦地铁站D口步行350米)</x:v>
      </x:c>
    </x:row>
    <x:row r="116">
      <x:c r="A116" s="48" t="str">
        <x:v>长丰苑</x:v>
      </x:c>
      <x:c r="B116" s="48" t="str">
        <x:v>湖贝</x:v>
      </x:c>
      <x:c r="C116" s="56" t="n">
        <x:v>526</x:v>
      </x:c>
      <x:c r="D116" s="56" t="n">
        <x:v>7</x:v>
      </x:c>
      <x:c r="E116" s="48" t="str">
        <x:v>是</x:v>
      </x:c>
      <x:c r="F116" s="48" t="str">
        <x:v>2026-08-13 01:46:18</x:v>
      </x:c>
      <x:c r="G116" s="48" t="str">
        <x:v>春风路2021号(向西村地铁站B口步行100米)</x:v>
      </x:c>
    </x:row>
    <x:row r="117">
      <x:c r="A117" s="48" t="str">
        <x:v>长丰苑</x:v>
      </x:c>
      <x:c r="B117" s="48" t="str">
        <x:v>国贸</x:v>
      </x:c>
      <x:c r="C117" s="56" t="n">
        <x:v>973</x:v>
      </x:c>
      <x:c r="D117" s="56" t="n">
        <x:v>13</x:v>
      </x:c>
      <x:c r="E117" s="48" t="str"/>
      <x:c r="F117" s="48" t="str">
        <x:v>2026-08-13 01:46:18</x:v>
      </x:c>
      <x:c r="G117" s="48" t="str">
        <x:v>春风路2021号(向西村地铁站B口步行100米)</x:v>
      </x:c>
    </x:row>
    <x:row r="118">
      <x:c r="A118" s="48" t="str">
        <x:v>金龙大厦</x:v>
      </x:c>
      <x:c r="B118" s="48" t="str">
        <x:v>湖贝</x:v>
      </x:c>
      <x:c r="C118" s="56" t="n">
        <x:v>549</x:v>
      </x:c>
      <x:c r="D118" s="56" t="n">
        <x:v>7.3</x:v>
      </x:c>
      <x:c r="E118" s="48" t="str">
        <x:v>是</x:v>
      </x:c>
      <x:c r="F118" s="48" t="str">
        <x:v>2026-08-13 01:46:20</x:v>
      </x:c>
      <x:c r="G118" s="48" t="str">
        <x:v>东门南路3007号(湖贝地铁站C口步行390米)</x:v>
      </x:c>
    </x:row>
    <x:row r="119">
      <x:c r="A119" s="48" t="str">
        <x:v>金龙大厦</x:v>
      </x:c>
      <x:c r="B119" s="48" t="str">
        <x:v>国贸</x:v>
      </x:c>
      <x:c r="C119" s="56" t="n">
        <x:v>573</x:v>
      </x:c>
      <x:c r="D119" s="56" t="n">
        <x:v>7.6</x:v>
      </x:c>
      <x:c r="E119" s="48" t="str"/>
      <x:c r="F119" s="48" t="str">
        <x:v>2026-08-13 01:46:20</x:v>
      </x:c>
      <x:c r="G119" s="48" t="str">
        <x:v>东门南路3007号(湖贝地铁站C口步行390米)</x:v>
      </x:c>
    </x:row>
    <x:row r="120">
      <x:c r="A120" s="48" t="str">
        <x:v>金龙大厦</x:v>
      </x:c>
      <x:c r="B120" s="48" t="str">
        <x:v>晒布</x:v>
      </x:c>
      <x:c r="C120" s="56" t="n">
        <x:v>857</x:v>
      </x:c>
      <x:c r="D120" s="56" t="n">
        <x:v>11.4</x:v>
      </x:c>
      <x:c r="E120" s="48" t="str"/>
      <x:c r="F120" s="48" t="str">
        <x:v>2026-08-13 01:46:20</x:v>
      </x:c>
      <x:c r="G120" s="48" t="str">
        <x:v>东门南路3007号(湖贝地铁站C口步行390米)</x:v>
      </x:c>
    </x:row>
    <x:row r="121">
      <x:c r="A121" s="48" t="str">
        <x:v>金龙大厦</x:v>
      </x:c>
      <x:c r="B121" s="48" t="str">
        <x:v>老街</x:v>
      </x:c>
      <x:c r="C121" s="56" t="n">
        <x:v>899</x:v>
      </x:c>
      <x:c r="D121" s="56" t="n">
        <x:v>12</x:v>
      </x:c>
      <x:c r="E121" s="48" t="str"/>
      <x:c r="F121" s="48" t="str">
        <x:v>2026-08-13 01:46:20</x:v>
      </x:c>
      <x:c r="G121" s="48" t="str">
        <x:v>东门南路3007号(湖贝地铁站C口步行390米)</x:v>
      </x:c>
    </x:row>
    <x:row r="122">
      <x:c r="A122" s="48" t="str">
        <x:v>鸿基大厦</x:v>
      </x:c>
      <x:c r="B122" s="48" t="str">
        <x:v>晒布</x:v>
      </x:c>
      <x:c r="C122" s="56" t="n">
        <x:v>547</x:v>
      </x:c>
      <x:c r="D122" s="56" t="n">
        <x:v>7.3</x:v>
      </x:c>
      <x:c r="E122" s="48" t="str">
        <x:v>是</x:v>
      </x:c>
      <x:c r="F122" s="48" t="str">
        <x:v>2026-08-13 01:46:22</x:v>
      </x:c>
      <x:c r="G122" s="48" t="str">
        <x:v>东门中路1011号(晒布地铁站A1口步行430米)</x:v>
      </x:c>
    </x:row>
    <x:row r="123">
      <x:c r="A123" s="48" t="str">
        <x:v>鸿基大厦</x:v>
      </x:c>
      <x:c r="B123" s="48" t="str">
        <x:v>老街</x:v>
      </x:c>
      <x:c r="C123" s="56" t="n">
        <x:v>559</x:v>
      </x:c>
      <x:c r="D123" s="56" t="n">
        <x:v>7.5</x:v>
      </x:c>
      <x:c r="E123" s="48" t="str"/>
      <x:c r="F123" s="48" t="str">
        <x:v>2026-08-13 01:46:22</x:v>
      </x:c>
      <x:c r="G123" s="48" t="str">
        <x:v>东门中路1011号(晒布地铁站A1口步行430米)</x:v>
      </x:c>
    </x:row>
    <x:row r="124">
      <x:c r="A124" s="48" t="str">
        <x:v>鸿基大厦</x:v>
      </x:c>
      <x:c r="B124" s="48" t="str">
        <x:v>湖贝</x:v>
      </x:c>
      <x:c r="C124" s="56" t="n">
        <x:v>569</x:v>
      </x:c>
      <x:c r="D124" s="56" t="n">
        <x:v>7.6</x:v>
      </x:c>
      <x:c r="E124" s="48" t="str"/>
      <x:c r="F124" s="48" t="str">
        <x:v>2026-08-13 01:46:22</x:v>
      </x:c>
      <x:c r="G124" s="48" t="str">
        <x:v>东门中路1011号(晒布地铁站A1口步行430米)</x:v>
      </x:c>
    </x:row>
    <x:row r="125">
      <x:c r="A125" s="48" t="str">
        <x:v>鸿基大厦</x:v>
      </x:c>
      <x:c r="B125" s="48" t="str">
        <x:v>国贸</x:v>
      </x:c>
      <x:c r="C125" s="56" t="n">
        <x:v>825</x:v>
      </x:c>
      <x:c r="D125" s="56" t="n">
        <x:v>11</x:v>
      </x:c>
      <x:c r="E125" s="48" t="str"/>
      <x:c r="F125" s="48" t="str">
        <x:v>2026-08-13 01:46:22</x:v>
      </x:c>
      <x:c r="G125" s="48" t="str">
        <x:v>东门中路1011号(晒布地铁站A1口步行430米)</x:v>
      </x:c>
    </x:row>
    <x:row r="126">
      <x:c r="A126" s="48" t="str">
        <x:v>钻石时代</x:v>
      </x:c>
      <x:c r="B126" s="48" t="str">
        <x:v>湖贝</x:v>
      </x:c>
      <x:c r="C126" s="56" t="n">
        <x:v>631</x:v>
      </x:c>
      <x:c r="D126" s="56" t="n">
        <x:v>8.4</x:v>
      </x:c>
      <x:c r="E126" s="48" t="str">
        <x:v>是</x:v>
      </x:c>
      <x:c r="F126" s="48" t="str">
        <x:v>2026-08-13 01:46:24</x:v>
      </x:c>
      <x:c r="G126" s="48" t="str">
        <x:v>新安路45号(文锦地铁站A口步行310米)</x:v>
      </x:c>
    </x:row>
    <x:row r="127">
      <x:c r="A127" s="48" t="str">
        <x:v>钻石时代</x:v>
      </x:c>
      <x:c r="B127" s="48" t="str">
        <x:v>黄贝岭</x:v>
      </x:c>
      <x:c r="C127" s="56" t="n">
        <x:v>1133</x:v>
      </x:c>
      <x:c r="D127" s="56" t="n">
        <x:v>15.1</x:v>
      </x:c>
      <x:c r="E127" s="48" t="str"/>
      <x:c r="F127" s="48" t="str">
        <x:v>2026-08-13 01:46:24</x:v>
      </x:c>
      <x:c r="G127" s="48" t="str">
        <x:v>新安路45号(文锦地铁站A口步行310米)</x:v>
      </x:c>
    </x:row>
    <x:row r="128">
      <x:c r="A128" s="48" t="str">
        <x:v>金色都汇</x:v>
      </x:c>
      <x:c r="B128" s="48" t="str">
        <x:v>湖贝</x:v>
      </x:c>
      <x:c r="C128" s="56" t="n">
        <x:v>523</x:v>
      </x:c>
      <x:c r="D128" s="56" t="n">
        <x:v>7</x:v>
      </x:c>
      <x:c r="E128" s="48" t="str">
        <x:v>是</x:v>
      </x:c>
      <x:c r="F128" s="48" t="str">
        <x:v>2026-08-13 01:46:25</x:v>
      </x:c>
      <x:c r="G128" s="48" t="str">
        <x:v>春风路2040号(向西村地铁站C口步行80米)</x:v>
      </x:c>
    </x:row>
    <x:row r="129">
      <x:c r="A129" s="48" t="str">
        <x:v>金色都汇</x:v>
      </x:c>
      <x:c r="B129" s="48" t="str">
        <x:v>国贸</x:v>
      </x:c>
      <x:c r="C129" s="56" t="n">
        <x:v>899</x:v>
      </x:c>
      <x:c r="D129" s="56" t="n">
        <x:v>12</x:v>
      </x:c>
      <x:c r="E129" s="48" t="str"/>
      <x:c r="F129" s="48" t="str">
        <x:v>2026-08-13 01:46:25</x:v>
      </x:c>
      <x:c r="G129" s="48" t="str">
        <x:v>春风路2040号(向西村地铁站C口步行80米)</x:v>
      </x:c>
    </x:row>
    <x:row r="130">
      <x:c r="A130" s="48" t="str">
        <x:v>高嘉花园</x:v>
      </x:c>
      <x:c r="B130" s="48" t="str">
        <x:v>湖贝</x:v>
      </x:c>
      <x:c r="C130" s="56" t="n">
        <x:v>683</x:v>
      </x:c>
      <x:c r="D130" s="56" t="n">
        <x:v>9.1</x:v>
      </x:c>
      <x:c r="E130" s="48" t="str">
        <x:v>是</x:v>
      </x:c>
      <x:c r="F130" s="48" t="str">
        <x:v>2026-08-13 01:46:26</x:v>
      </x:c>
      <x:c r="G130" s="48" t="str">
        <x:v>春风路2002号(文锦地铁站D口步行150米)</x:v>
      </x:c>
    </x:row>
    <x:row r="131">
      <x:c r="A131" s="48" t="str">
        <x:v>高嘉花园</x:v>
      </x:c>
      <x:c r="B131" s="48" t="str">
        <x:v>黄贝岭</x:v>
      </x:c>
      <x:c r="C131" s="56" t="n">
        <x:v>900</x:v>
      </x:c>
      <x:c r="D131" s="56" t="n">
        <x:v>12</x:v>
      </x:c>
      <x:c r="E131" s="48" t="str"/>
      <x:c r="F131" s="48" t="str">
        <x:v>2026-08-13 01:46:26</x:v>
      </x:c>
      <x:c r="G131" s="48" t="str">
        <x:v>春风路2002号(文锦地铁站D口步行150米)</x:v>
      </x:c>
    </x:row>
    <x:row r="132">
      <x:c r="A132" s="48" t="str">
        <x:v>高嘉花园</x:v>
      </x:c>
      <x:c r="B132" s="48" t="str">
        <x:v>晒布</x:v>
      </x:c>
      <x:c r="C132" s="56" t="n">
        <x:v>1668</x:v>
      </x:c>
      <x:c r="D132" s="56" t="n">
        <x:v>22.2</x:v>
      </x:c>
      <x:c r="E132" s="48" t="str"/>
      <x:c r="F132" s="48" t="str">
        <x:v>2026-08-13 01:46:26</x:v>
      </x:c>
      <x:c r="G132" s="48" t="str">
        <x:v>春风路2002号(文锦地铁站D口步行150米)</x:v>
      </x:c>
    </x:row>
    <x:row r="133">
      <x:c r="A133" s="48" t="str">
        <x:v>文星花园</x:v>
      </x:c>
      <x:c r="B133" s="48" t="str">
        <x:v>湖贝</x:v>
      </x:c>
      <x:c r="C133" s="56" t="n">
        <x:v>763</x:v>
      </x:c>
      <x:c r="D133" s="56" t="n">
        <x:v>10.2</x:v>
      </x:c>
      <x:c r="E133" s="48" t="str">
        <x:v>是</x:v>
      </x:c>
      <x:c r="F133" s="48" t="str">
        <x:v>2026-08-13 01:46:28</x:v>
      </x:c>
      <x:c r="G133" s="48" t="str">
        <x:v>新安路43号(文锦地铁站A口步行390米)</x:v>
      </x:c>
    </x:row>
    <x:row r="134">
      <x:c r="A134" s="48" t="str">
        <x:v>文星花园</x:v>
      </x:c>
      <x:c r="B134" s="48" t="str">
        <x:v>国贸</x:v>
      </x:c>
      <x:c r="C134" s="56" t="n">
        <x:v>1169</x:v>
      </x:c>
      <x:c r="D134" s="56" t="n">
        <x:v>15.6</x:v>
      </x:c>
      <x:c r="E134" s="48" t="str"/>
      <x:c r="F134" s="48" t="str">
        <x:v>2026-08-13 01:46:28</x:v>
      </x:c>
      <x:c r="G134" s="48" t="str">
        <x:v>新安路43号(文锦地铁站A口步行390米)</x:v>
      </x:c>
    </x:row>
    <x:row r="135">
      <x:c r="A135" s="48" t="str">
        <x:v>云景豪园</x:v>
      </x:c>
      <x:c r="B135" s="48" t="str">
        <x:v>湖贝</x:v>
      </x:c>
      <x:c r="C135" s="56" t="n">
        <x:v>590</x:v>
      </x:c>
      <x:c r="D135" s="56" t="n">
        <x:v>7.9</x:v>
      </x:c>
      <x:c r="E135" s="48" t="str">
        <x:v>是</x:v>
      </x:c>
      <x:c r="F135" s="48" t="str">
        <x:v>2026-08-13 01:46:29</x:v>
      </x:c>
      <x:c r="G135" s="48" t="str">
        <x:v>南湖街道文锦社区春风路2041号(向西村地铁站B口)</x:v>
      </x:c>
    </x:row>
    <x:row r="136">
      <x:c r="A136" s="48" t="str">
        <x:v>云景豪园</x:v>
      </x:c>
      <x:c r="B136" s="48" t="str">
        <x:v>国贸</x:v>
      </x:c>
      <x:c r="C136" s="56" t="n">
        <x:v>996</x:v>
      </x:c>
      <x:c r="D136" s="56" t="n">
        <x:v>13.3</x:v>
      </x:c>
      <x:c r="E136" s="48" t="str"/>
      <x:c r="F136" s="48" t="str">
        <x:v>2026-08-13 01:46:29</x:v>
      </x:c>
      <x:c r="G136" s="48" t="str">
        <x:v>南湖街道文锦社区春风路2041号(向西村地铁站B口)</x:v>
      </x:c>
    </x:row>
    <x:row r="137">
      <x:c r="A137" s="48" t="str">
        <x:v>凯悦华庭</x:v>
      </x:c>
      <x:c r="B137" s="48" t="str">
        <x:v>湖贝</x:v>
      </x:c>
      <x:c r="C137" s="56" t="n">
        <x:v>565</x:v>
      </x:c>
      <x:c r="D137" s="56" t="n">
        <x:v>7.5</x:v>
      </x:c>
      <x:c r="E137" s="48" t="str">
        <x:v>是</x:v>
      </x:c>
      <x:c r="F137" s="48" t="str">
        <x:v>2026-08-13 01:46:30</x:v>
      </x:c>
      <x:c r="G137" s="48" t="str">
        <x:v>春风路2047号(向西村地铁站A1口步行190米)</x:v>
      </x:c>
    </x:row>
    <x:row r="138">
      <x:c r="A138" s="48" t="str">
        <x:v>凯悦华庭</x:v>
      </x:c>
      <x:c r="B138" s="48" t="str">
        <x:v>国贸</x:v>
      </x:c>
      <x:c r="C138" s="56" t="n">
        <x:v>971</x:v>
      </x:c>
      <x:c r="D138" s="56" t="n">
        <x:v>13</x:v>
      </x:c>
      <x:c r="E138" s="48" t="str"/>
      <x:c r="F138" s="48" t="str">
        <x:v>2026-08-13 01:46:30</x:v>
      </x:c>
      <x:c r="G138" s="48" t="str">
        <x:v>春风路2047号(向西村地铁站A1口步行190米)</x:v>
      </x:c>
    </x:row>
    <x:row r="139">
      <x:c r="A139" s="48" t="str">
        <x:v>高嘉大厦</x:v>
      </x:c>
      <x:c r="B139" s="48" t="str">
        <x:v>湖贝</x:v>
      </x:c>
      <x:c r="C139" s="56" t="n">
        <x:v>711</x:v>
      </x:c>
      <x:c r="D139" s="56" t="n">
        <x:v>9.5</x:v>
      </x:c>
      <x:c r="E139" s="48" t="str">
        <x:v>是</x:v>
      </x:c>
      <x:c r="F139" s="48" t="str">
        <x:v>2026-08-13 01:46:31</x:v>
      </x:c>
      <x:c r="G139" s="48" t="str">
        <x:v>春风路2002-9号(文锦地铁站D口步行110米)</x:v>
      </x:c>
    </x:row>
    <x:row r="140">
      <x:c r="A140" s="48" t="str">
        <x:v>高嘉大厦</x:v>
      </x:c>
      <x:c r="B140" s="48" t="str">
        <x:v>黄贝岭</x:v>
      </x:c>
      <x:c r="C140" s="56" t="n">
        <x:v>928</x:v>
      </x:c>
      <x:c r="D140" s="56" t="n">
        <x:v>12.4</x:v>
      </x:c>
      <x:c r="E140" s="48" t="str"/>
      <x:c r="F140" s="48" t="str">
        <x:v>2026-08-13 01:46:31</x:v>
      </x:c>
      <x:c r="G140" s="48" t="str">
        <x:v>春风路2002-9号(文锦地铁站D口步行110米)</x:v>
      </x:c>
    </x:row>
    <x:row r="141">
      <x:c r="A141" s="48" t="str">
        <x:v>文锦中学教工楼</x:v>
      </x:c>
      <x:c r="B141" s="48" t="str">
        <x:v>湖贝</x:v>
      </x:c>
      <x:c r="C141" s="56" t="n">
        <x:v>955</x:v>
      </x:c>
      <x:c r="D141" s="56" t="n">
        <x:v>12.7</x:v>
      </x:c>
      <x:c r="E141" s="48" t="str">
        <x:v>是</x:v>
      </x:c>
      <x:c r="F141" s="48" t="str">
        <x:v>2026-08-13 01:46:33</x:v>
      </x:c>
      <x:c r="G141" s="48" t="str">
        <x:v>文锦南路1011号(文锦地铁站A口步行130米)</x:v>
      </x:c>
    </x:row>
    <x:row r="142">
      <x:c r="A142" s="48" t="str">
        <x:v>文锦中学教工楼</x:v>
      </x:c>
      <x:c r="B142" s="48" t="str">
        <x:v>黄贝岭</x:v>
      </x:c>
      <x:c r="C142" s="56" t="n">
        <x:v>1112</x:v>
      </x:c>
      <x:c r="D142" s="56" t="n">
        <x:v>14.8</x:v>
      </x:c>
      <x:c r="E142" s="48" t="str"/>
      <x:c r="F142" s="48" t="str">
        <x:v>2026-08-13 01:46:33</x:v>
      </x:c>
      <x:c r="G142" s="48" t="str">
        <x:v>文锦南路1011号(文锦地铁站A口步行130米)</x:v>
      </x:c>
    </x:row>
    <x:row r="143">
      <x:c r="A143" s="48" t="str">
        <x:v>森威大厦</x:v>
      </x:c>
      <x:c r="B143" s="48" t="str">
        <x:v>湖贝</x:v>
      </x:c>
      <x:c r="C143" s="56" t="n">
        <x:v>842</x:v>
      </x:c>
      <x:c r="D143" s="56" t="n">
        <x:v>11.2</x:v>
      </x:c>
      <x:c r="E143" s="48" t="str">
        <x:v>是</x:v>
      </x:c>
      <x:c r="F143" s="48" t="str">
        <x:v>2026-08-13 01:46:34</x:v>
      </x:c>
      <x:c r="G143" s="48" t="str">
        <x:v>新安路4-9号(文锦地铁站B口步行450米)</x:v>
      </x:c>
    </x:row>
    <x:row r="144">
      <x:c r="A144" s="48" t="str">
        <x:v>森威大厦</x:v>
      </x:c>
      <x:c r="B144" s="48" t="str">
        <x:v>黄贝岭</x:v>
      </x:c>
      <x:c r="C144" s="56" t="n">
        <x:v>1254</x:v>
      </x:c>
      <x:c r="D144" s="56" t="n">
        <x:v>16.7</x:v>
      </x:c>
      <x:c r="E144" s="48" t="str"/>
      <x:c r="F144" s="48" t="str">
        <x:v>2026-08-13 01:46:34</x:v>
      </x:c>
      <x:c r="G144" s="48" t="str">
        <x:v>新安路4-9号(文锦地铁站B口步行450米)</x:v>
      </x:c>
    </x:row>
    <x:row r="145">
      <x:c r="A145" s="48" t="str">
        <x:v>阳光新干线家园</x:v>
      </x:c>
      <x:c r="B145" s="48" t="str">
        <x:v>湖贝</x:v>
      </x:c>
      <x:c r="C145" s="56" t="n">
        <x:v>1117</x:v>
      </x:c>
      <x:c r="D145" s="56" t="n">
        <x:v>14.9</x:v>
      </x:c>
      <x:c r="E145" s="48" t="str">
        <x:v>是</x:v>
      </x:c>
      <x:c r="F145" s="48" t="str">
        <x:v>2026-08-13 01:46:36</x:v>
      </x:c>
      <x:c r="G145" s="48" t="str">
        <x:v>南湖街道嘉南社区东门南路1021号(向西村地铁站A2口步行320米)</x:v>
      </x:c>
    </x:row>
    <x:row r="146">
      <x:c r="A146" s="48" t="str">
        <x:v>阳光新干线家园</x:v>
      </x:c>
      <x:c r="B146" s="48" t="str">
        <x:v>国贸</x:v>
      </x:c>
      <x:c r="C146" s="56" t="n">
        <x:v>1159</x:v>
      </x:c>
      <x:c r="D146" s="56" t="n">
        <x:v>15.5</x:v>
      </x:c>
      <x:c r="E146" s="48" t="str"/>
      <x:c r="F146" s="48" t="str">
        <x:v>2026-08-13 01:46:36</x:v>
      </x:c>
      <x:c r="G146" s="48" t="str">
        <x:v>南湖街道嘉南社区东门南路1021号(向西村地铁站A2口步行320米)</x:v>
      </x:c>
    </x:row>
    <x:row r="147">
      <x:c r="A147" s="48" t="str">
        <x:v>集浩大厦</x:v>
      </x:c>
      <x:c r="B147" s="48" t="str">
        <x:v>黄贝岭</x:v>
      </x:c>
      <x:c r="C147" s="56" t="n">
        <x:v>144</x:v>
      </x:c>
      <x:c r="D147" s="56" t="n">
        <x:v>1.9</x:v>
      </x:c>
      <x:c r="E147" s="48" t="str">
        <x:v>是</x:v>
      </x:c>
      <x:c r="F147" s="48" t="str">
        <x:v>2026-08-13 01:46:37</x:v>
      </x:c>
      <x:c r="G147" s="48" t="str">
        <x:v>深南东路1086号(黄贝岭地铁站E口旁)</x:v>
      </x:c>
    </x:row>
    <x:row r="148">
      <x:c r="A148" s="48" t="str">
        <x:v>文华大厦</x:v>
      </x:c>
      <x:c r="B148" s="48" t="str">
        <x:v>黄贝岭</x:v>
      </x:c>
      <x:c r="C148" s="56" t="n">
        <x:v>290</x:v>
      </x:c>
      <x:c r="D148" s="56" t="n">
        <x:v>3.9</x:v>
      </x:c>
      <x:c r="E148" s="48" t="str">
        <x:v>是</x:v>
      </x:c>
      <x:c r="F148" s="48" t="str">
        <x:v>2026-08-13 01:46:37</x:v>
      </x:c>
      <x:c r="G148" s="48" t="str">
        <x:v>深南东路1022号(黄贝岭地铁站H口旁)</x:v>
      </x:c>
    </x:row>
    <x:row r="149">
      <x:c r="A149" s="48" t="str">
        <x:v>新天地名居</x:v>
      </x:c>
      <x:c r="B149" s="48" t="str">
        <x:v>黄贝岭</x:v>
      </x:c>
      <x:c r="C149" s="56" t="n">
        <x:v>459</x:v>
      </x:c>
      <x:c r="D149" s="56" t="n">
        <x:v>6.1</x:v>
      </x:c>
      <x:c r="E149" s="48" t="str">
        <x:v>是</x:v>
      </x:c>
      <x:c r="F149" s="48" t="str">
        <x:v>2026-08-13 01:46:39</x:v>
      </x:c>
      <x:c r="G149" s="48" t="str">
        <x:v>北斗路9号(黄贝岭地铁站G2口步行120米)</x:v>
      </x:c>
    </x:row>
    <x:row r="150">
      <x:c r="A150" s="48" t="str">
        <x:v>新天地名居</x:v>
      </x:c>
      <x:c r="B150" s="48" t="str">
        <x:v>湖贝</x:v>
      </x:c>
      <x:c r="C150" s="56" t="n">
        <x:v>1234</x:v>
      </x:c>
      <x:c r="D150" s="56" t="n">
        <x:v>16.5</x:v>
      </x:c>
      <x:c r="E150" s="48" t="str"/>
      <x:c r="F150" s="48" t="str">
        <x:v>2026-08-13 01:46:39</x:v>
      </x:c>
      <x:c r="G150" s="48" t="str">
        <x:v>北斗路9号(黄贝岭地铁站G2口步行120米)</x:v>
      </x:c>
    </x:row>
    <x:row r="151">
      <x:c r="A151" s="48" t="str">
        <x:v>福德花园</x:v>
      </x:c>
      <x:c r="B151" s="48" t="str">
        <x:v>黄贝岭</x:v>
      </x:c>
      <x:c r="C151" s="56" t="n">
        <x:v>349</x:v>
      </x:c>
      <x:c r="D151" s="56" t="n">
        <x:v>4.7</x:v>
      </x:c>
      <x:c r="E151" s="48" t="str">
        <x:v>是</x:v>
      </x:c>
      <x:c r="F151" s="48" t="str">
        <x:v>2026-08-13 01:46:40</x:v>
      </x:c>
      <x:c r="G151" s="48" t="str">
        <x:v>深南东路1110号(黄贝岭地铁站F1口步行180米)</x:v>
      </x:c>
    </x:row>
    <x:row r="152">
      <x:c r="A152" s="48" t="str">
        <x:v>福德花园</x:v>
      </x:c>
      <x:c r="B152" s="48" t="str">
        <x:v>湖贝</x:v>
      </x:c>
      <x:c r="C152" s="56" t="n">
        <x:v>903</x:v>
      </x:c>
      <x:c r="D152" s="56" t="n">
        <x:v>12</x:v>
      </x:c>
      <x:c r="E152" s="48" t="str"/>
      <x:c r="F152" s="48" t="str">
        <x:v>2026-08-13 01:46:40</x:v>
      </x:c>
      <x:c r="G152" s="48" t="str">
        <x:v>深南东路1110号(黄贝岭地铁站F1口步行180米)</x:v>
      </x:c>
    </x:row>
    <x:row r="153">
      <x:c r="A153" s="48" t="str">
        <x:v>广东基础楼</x:v>
      </x:c>
      <x:c r="B153" s="48" t="str">
        <x:v>黄贝岭</x:v>
      </x:c>
      <x:c r="C153" s="56" t="n">
        <x:v>770</x:v>
      </x:c>
      <x:c r="D153" s="56" t="n">
        <x:v>10.3</x:v>
      </x:c>
      <x:c r="E153" s="48" t="str">
        <x:v>是</x:v>
      </x:c>
      <x:c r="F153" s="48" t="str">
        <x:v>2026-08-13 01:46:41</x:v>
      </x:c>
      <x:c r="G153" s="48" t="str">
        <x:v>华丽东村18栋</x:v>
      </x:c>
    </x:row>
    <x:row r="154">
      <x:c r="A154" s="48" t="str">
        <x:v>京基·凤凰印象A座</x:v>
      </x:c>
      <x:c r="B154" s="48" t="str">
        <x:v>黄贝岭</x:v>
      </x:c>
      <x:c r="C154" s="56" t="n">
        <x:v>518</x:v>
      </x:c>
      <x:c r="D154" s="56" t="n">
        <x:v>6.9</x:v>
      </x:c>
      <x:c r="E154" s="48" t="str">
        <x:v>是</x:v>
      </x:c>
      <x:c r="F154" s="48" t="str">
        <x:v>2026-08-13 01:46:42</x:v>
      </x:c>
      <x:c r="G154" s="48" t="str">
        <x:v>凤凰路181号(黄贝岭地铁站F1口步行320米)</x:v>
      </x:c>
    </x:row>
    <x:row r="155">
      <x:c r="A155" s="48" t="str">
        <x:v>京基·凤凰印象A座</x:v>
      </x:c>
      <x:c r="B155" s="48" t="str">
        <x:v>湖贝</x:v>
      </x:c>
      <x:c r="C155" s="56" t="n">
        <x:v>947</x:v>
      </x:c>
      <x:c r="D155" s="56" t="n">
        <x:v>12.6</x:v>
      </x:c>
      <x:c r="E155" s="48" t="str"/>
      <x:c r="F155" s="48" t="str">
        <x:v>2026-08-13 01:46:42</x:v>
      </x:c>
      <x:c r="G155" s="48" t="str">
        <x:v>凤凰路181号(黄贝岭地铁站F1口步行320米)</x:v>
      </x:c>
    </x:row>
    <x:row r="156">
      <x:c r="A156" s="48" t="str">
        <x:v>海珑华苑</x:v>
      </x:c>
      <x:c r="B156" s="48" t="str">
        <x:v>黄贝岭</x:v>
      </x:c>
      <x:c r="C156" s="56" t="n">
        <x:v>475</x:v>
      </x:c>
      <x:c r="D156" s="56" t="n">
        <x:v>6.3</x:v>
      </x:c>
      <x:c r="E156" s="48" t="str">
        <x:v>是</x:v>
      </x:c>
      <x:c r="F156" s="48" t="str">
        <x:v>2026-08-13 01:46:45</x:v>
      </x:c>
      <x:c r="G156" s="48" t="str">
        <x:v>凤凰路179号(黄贝岭地铁站F1口步行270米)</x:v>
      </x:c>
    </x:row>
    <x:row r="157">
      <x:c r="A157" s="48" t="str">
        <x:v>海珑华苑</x:v>
      </x:c>
      <x:c r="B157" s="48" t="str">
        <x:v>湖贝</x:v>
      </x:c>
      <x:c r="C157" s="56" t="n">
        <x:v>930</x:v>
      </x:c>
      <x:c r="D157" s="56" t="n">
        <x:v>12.4</x:v>
      </x:c>
      <x:c r="E157" s="48" t="str"/>
      <x:c r="F157" s="48" t="str">
        <x:v>2026-08-13 01:46:45</x:v>
      </x:c>
      <x:c r="G157" s="48" t="str">
        <x:v>凤凰路179号(黄贝岭地铁站F1口步行270米)</x:v>
      </x:c>
    </x:row>
    <x:row r="158">
      <x:c r="A158" s="48" t="str">
        <x:v>金城华庭</x:v>
      </x:c>
      <x:c r="B158" s="48" t="str">
        <x:v>黄贝岭</x:v>
      </x:c>
      <x:c r="C158" s="56" t="n">
        <x:v>800</x:v>
      </x:c>
      <x:c r="D158" s="56" t="n">
        <x:v>10.7</x:v>
      </x:c>
      <x:c r="E158" s="48" t="str">
        <x:v>是</x:v>
      </x:c>
      <x:c r="F158" s="48" t="str">
        <x:v>2026-08-13 01:46:46</x:v>
      </x:c>
      <x:c r="G158" s="48" t="str">
        <x:v>凤凰街18号(黄贝岭地铁站F1口步行440米)</x:v>
      </x:c>
    </x:row>
    <x:row r="159">
      <x:c r="A159" s="48" t="str">
        <x:v>文锦花园(春风路)</x:v>
      </x:c>
      <x:c r="B159" s="48" t="str">
        <x:v>黄贝岭</x:v>
      </x:c>
      <x:c r="C159" s="56" t="n">
        <x:v>914</x:v>
      </x:c>
      <x:c r="D159" s="56" t="n">
        <x:v>12.2</x:v>
      </x:c>
      <x:c r="E159" s="48" t="str">
        <x:v>是</x:v>
      </x:c>
      <x:c r="F159" s="48" t="str">
        <x:v>2026-08-13 01:46:47</x:v>
      </x:c>
      <x:c r="G159" s="48" t="str">
        <x:v>春风路1046号(文锦地铁站C口步行330米)</x:v>
      </x:c>
    </x:row>
    <x:row r="160">
      <x:c r="A160" s="48" t="str">
        <x:v>文锦花园(春风路)</x:v>
      </x:c>
      <x:c r="B160" s="48" t="str">
        <x:v>湖贝</x:v>
      </x:c>
      <x:c r="C160" s="56" t="n">
        <x:v>957</x:v>
      </x:c>
      <x:c r="D160" s="56" t="n">
        <x:v>12.8</x:v>
      </x:c>
      <x:c r="E160" s="48" t="str"/>
      <x:c r="F160" s="48" t="str">
        <x:v>2026-08-13 01:46:47</x:v>
      </x:c>
      <x:c r="G160" s="48" t="str">
        <x:v>春风路1046号(文锦地铁站C口步行330米)</x:v>
      </x:c>
    </x:row>
    <x:row r="161">
      <x:c r="A161" s="48" t="str">
        <x:v>深业东岭</x:v>
      </x:c>
      <x:c r="B161" s="48" t="str">
        <x:v>黄贝岭</x:v>
      </x:c>
      <x:c r="C161" s="56" t="n">
        <x:v>584</x:v>
      </x:c>
      <x:c r="D161" s="56" t="n">
        <x:v>7.8</x:v>
      </x:c>
      <x:c r="E161" s="48" t="str">
        <x:v>是</x:v>
      </x:c>
      <x:c r="F161" s="48" t="str">
        <x:v>2026-08-13 01:46:48</x:v>
      </x:c>
      <x:c r="G161" s="48" t="str">
        <x:v>黄贝岭三路9号</x:v>
      </x:c>
    </x:row>
    <x:row r="162">
      <x:c r="A162" s="48" t="str">
        <x:v>锦星花园</x:v>
      </x:c>
      <x:c r="B162" s="48" t="str">
        <x:v>黄贝岭</x:v>
      </x:c>
      <x:c r="C162" s="56" t="n">
        <x:v>725</x:v>
      </x:c>
      <x:c r="D162" s="56" t="n">
        <x:v>9.7</x:v>
      </x:c>
      <x:c r="E162" s="48" t="str">
        <x:v>是</x:v>
      </x:c>
      <x:c r="F162" s="48" t="str">
        <x:v>2026-08-13 01:46:49</x:v>
      </x:c>
      <x:c r="G162" s="48" t="str">
        <x:v>春风路1001号(文锦地铁站B口步行110米)</x:v>
      </x:c>
    </x:row>
    <x:row r="163">
      <x:c r="A163" s="48" t="str">
        <x:v>锦星花园</x:v>
      </x:c>
      <x:c r="B163" s="48" t="str">
        <x:v>湖贝</x:v>
      </x:c>
      <x:c r="C163" s="56" t="n">
        <x:v>1123</x:v>
      </x:c>
      <x:c r="D163" s="56" t="n">
        <x:v>15</x:v>
      </x:c>
      <x:c r="E163" s="48" t="str"/>
      <x:c r="F163" s="48" t="str">
        <x:v>2026-08-13 01:46:49</x:v>
      </x:c>
      <x:c r="G163" s="48" t="str">
        <x:v>春风路1001号(文锦地铁站B口步行110米)</x:v>
      </x:c>
    </x:row>
    <x:row r="164">
      <x:c r="A164" s="48" t="str">
        <x:v>华丽东村</x:v>
      </x:c>
      <x:c r="B164" s="48" t="str">
        <x:v>黄贝岭</x:v>
      </x:c>
      <x:c r="C164" s="56" t="n">
        <x:v>1063</x:v>
      </x:c>
      <x:c r="D164" s="56" t="n">
        <x:v>14.2</x:v>
      </x:c>
      <x:c r="E164" s="48" t="str">
        <x:v>是</x:v>
      </x:c>
      <x:c r="F164" s="48" t="str">
        <x:v>2026-08-13 01:46:50</x:v>
      </x:c>
      <x:c r="G164" s="48" t="str">
        <x:v>黄贝路1002号</x:v>
      </x:c>
    </x:row>
    <x:row r="165">
      <x:c r="A165" s="48" t="str">
        <x:v>金盾花园</x:v>
      </x:c>
      <x:c r="B165" s="48" t="str">
        <x:v>黄贝岭</x:v>
      </x:c>
      <x:c r="C165" s="56" t="n">
        <x:v>973</x:v>
      </x:c>
      <x:c r="D165" s="56" t="n">
        <x:v>13</x:v>
      </x:c>
      <x:c r="E165" s="48" t="str">
        <x:v>是</x:v>
      </x:c>
      <x:c r="F165" s="48" t="str">
        <x:v>2026-08-13 01:46:51</x:v>
      </x:c>
      <x:c r="G165" s="48" t="str">
        <x:v>华丽路1067号</x:v>
      </x:c>
    </x:row>
    <x:row r="166">
      <x:c r="A166" s="48" t="str">
        <x:v>华丽西村</x:v>
      </x:c>
      <x:c r="B166" s="48" t="str">
        <x:v>黄贝岭</x:v>
      </x:c>
      <x:c r="C166" s="56" t="n">
        <x:v>958</x:v>
      </x:c>
      <x:c r="D166" s="56" t="n">
        <x:v>12.8</x:v>
      </x:c>
      <x:c r="E166" s="48" t="str">
        <x:v>是</x:v>
      </x:c>
      <x:c r="F166" s="48" t="str">
        <x:v>2026-08-13 01:46:52</x:v>
      </x:c>
      <x:c r="G166" s="48" t="str">
        <x:v>华丽路1069号</x:v>
      </x:c>
    </x:row>
    <x:row r="167">
      <x:c r="A167" s="48" t="str">
        <x:v>朗钜御风庭</x:v>
      </x:c>
      <x:c r="B167" s="48" t="str">
        <x:v>湖贝</x:v>
      </x:c>
      <x:c r="C167" s="56" t="n">
        <x:v>931</x:v>
      </x:c>
      <x:c r="D167" s="56" t="n">
        <x:v>12.4</x:v>
      </x:c>
      <x:c r="E167" s="48" t="str">
        <x:v>是</x:v>
      </x:c>
      <x:c r="F167" s="48" t="str">
        <x:v>2026-08-13 01:46:53</x:v>
      </x:c>
      <x:c r="G167" s="48" t="str">
        <x:v>文锦南路1010号(文锦地铁站B口步行90米)</x:v>
      </x:c>
    </x:row>
    <x:row r="168">
      <x:c r="A168" s="48" t="str">
        <x:v>朗钜御风庭</x:v>
      </x:c>
      <x:c r="B168" s="48" t="str">
        <x:v>黄贝岭</x:v>
      </x:c>
      <x:c r="C168" s="56" t="n">
        <x:v>976</x:v>
      </x:c>
      <x:c r="D168" s="56" t="n">
        <x:v>13</x:v>
      </x:c>
      <x:c r="E168" s="48" t="str"/>
      <x:c r="F168" s="48" t="str">
        <x:v>2026-08-13 01:46:53</x:v>
      </x:c>
      <x:c r="G168" s="48" t="str">
        <x:v>文锦南路1010号(文锦地铁站B口步行90米)</x:v>
      </x:c>
    </x:row>
    <x:row r="169">
      <x:c r="A169" s="48" t="str">
        <x:v>华深公寓</x:v>
      </x:c>
      <x:c r="B169" s="48" t="str">
        <x:v>黄贝岭</x:v>
      </x:c>
      <x:c r="C169" s="56" t="n">
        <x:v>1133</x:v>
      </x:c>
      <x:c r="D169" s="56" t="n">
        <x:v>15.1</x:v>
      </x:c>
      <x:c r="E169" s="48" t="str">
        <x:v>是</x:v>
      </x:c>
      <x:c r="F169" s="48" t="str">
        <x:v>2026-08-13 01:46:54</x:v>
      </x:c>
      <x:c r="G169" s="48" t="str">
        <x:v>爱国路1040号12栋</x:v>
      </x:c>
    </x:row>
    <x:row r="170">
      <x:c r="A170" s="48" t="str">
        <x:v>乐美居</x:v>
      </x:c>
      <x:c r="B170" s="48" t="str">
        <x:v>黄贝岭</x:v>
      </x:c>
      <x:c r="C170" s="56" t="n">
        <x:v>1450</x:v>
      </x:c>
      <x:c r="D170" s="56" t="n">
        <x:v>19.3</x:v>
      </x:c>
      <x:c r="E170" s="48" t="str">
        <x:v>是</x:v>
      </x:c>
      <x:c r="F170" s="48" t="str">
        <x:v>2026-08-13 01:46:55</x:v>
      </x:c>
      <x:c r="G170" s="48" t="str">
        <x:v>秀东街39号</x:v>
      </x:c>
    </x:row>
    <x:row r="171">
      <x:c r="A171" s="48" t="str">
        <x:v>景贝南小区</x:v>
      </x:c>
      <x:c r="B171" s="48" t="str">
        <x:v>黄贝岭</x:v>
      </x:c>
      <x:c r="C171" s="56" t="n">
        <x:v>1237</x:v>
      </x:c>
      <x:c r="D171" s="56" t="n">
        <x:v>16.5</x:v>
      </x:c>
      <x:c r="E171" s="48" t="str">
        <x:v>是</x:v>
      </x:c>
      <x:c r="F171" s="48" t="str">
        <x:v>2026-08-13 01:46:56</x:v>
      </x:c>
      <x:c r="G171" s="48" t="str">
        <x:v>黄贝路1008号(怡景地铁站B口步行140米)</x:v>
      </x:c>
    </x:row>
    <x:row r="172">
      <x:c r="A172" s="48" t="str">
        <x:v>电影大厦</x:v>
      </x:c>
      <x:c r="B172" s="48" t="str">
        <x:v>老街</x:v>
      </x:c>
      <x:c r="C172" s="56" t="n">
        <x:v>474</x:v>
      </x:c>
      <x:c r="D172" s="56" t="n">
        <x:v>6.3</x:v>
      </x:c>
      <x:c r="E172" s="48" t="str">
        <x:v>是</x:v>
      </x:c>
      <x:c r="F172" s="48" t="str">
        <x:v>2026-08-13 01:46:58</x:v>
      </x:c>
      <x:c r="G172" s="48" t="str">
        <x:v>桂园路2号(老街地铁站G口步行320米)</x:v>
      </x:c>
    </x:row>
    <x:row r="173">
      <x:c r="A173" s="48" t="str">
        <x:v>电影大厦</x:v>
      </x:c>
      <x:c r="B173" s="48" t="str">
        <x:v>大剧院</x:v>
      </x:c>
      <x:c r="C173" s="56" t="n">
        <x:v>809</x:v>
      </x:c>
      <x:c r="D173" s="56" t="n">
        <x:v>10.8</x:v>
      </x:c>
      <x:c r="E173" s="48" t="str"/>
      <x:c r="F173" s="48" t="str">
        <x:v>2026-08-13 01:46:58</x:v>
      </x:c>
      <x:c r="G173" s="48" t="str">
        <x:v>桂园路2号(老街地铁站G口步行320米)</x:v>
      </x:c>
    </x:row>
    <x:row r="174">
      <x:c r="A174" s="48" t="str">
        <x:v>电影大厦</x:v>
      </x:c>
      <x:c r="B174" s="48" t="str">
        <x:v>国贸</x:v>
      </x:c>
      <x:c r="C174" s="56" t="n">
        <x:v>1333</x:v>
      </x:c>
      <x:c r="D174" s="56" t="n">
        <x:v>17.8</x:v>
      </x:c>
      <x:c r="E174" s="48" t="str"/>
      <x:c r="F174" s="48" t="str">
        <x:v>2026-08-13 01:46:58</x:v>
      </x:c>
      <x:c r="G174" s="48" t="str">
        <x:v>桂园路2号(老街地铁站G口步行320米)</x:v>
      </x:c>
    </x:row>
    <x:row r="175">
      <x:c r="A175" s="48" t="str">
        <x:v>电影大厦</x:v>
      </x:c>
      <x:c r="B175" s="48" t="str">
        <x:v>红岭</x:v>
      </x:c>
      <x:c r="C175" s="56" t="n">
        <x:v>1539</x:v>
      </x:c>
      <x:c r="D175" s="56" t="n">
        <x:v>20.5</x:v>
      </x:c>
      <x:c r="E175" s="48" t="str"/>
      <x:c r="F175" s="48" t="str">
        <x:v>2026-08-13 01:46:58</x:v>
      </x:c>
      <x:c r="G175" s="48" t="str">
        <x:v>桂园路2号(老街地铁站G口步行320米)</x:v>
      </x:c>
    </x:row>
    <x:row r="176">
      <x:c r="A176" s="48" t="str">
        <x:v>桂木园(桂园路)</x:v>
      </x:c>
      <x:c r="B176" s="48" t="str">
        <x:v>老街</x:v>
      </x:c>
      <x:c r="C176" s="56" t="n">
        <x:v>765</x:v>
      </x:c>
      <x:c r="D176" s="56" t="n">
        <x:v>10.2</x:v>
      </x:c>
      <x:c r="E176" s="48" t="str">
        <x:v>是</x:v>
      </x:c>
      <x:c r="F176" s="48" t="str">
        <x:v>2026-08-13 01:47:00</x:v>
      </x:c>
      <x:c r="G176" s="48" t="str">
        <x:v>桂园街道桂园路141号(老街地铁站G口步行430米)</x:v>
      </x:c>
    </x:row>
    <x:row r="177">
      <x:c r="A177" s="48" t="str">
        <x:v>桂木园(桂园路)</x:v>
      </x:c>
      <x:c r="B177" s="48" t="str">
        <x:v>大剧院</x:v>
      </x:c>
      <x:c r="C177" s="56" t="n">
        <x:v>948</x:v>
      </x:c>
      <x:c r="D177" s="56" t="n">
        <x:v>12.6</x:v>
      </x:c>
      <x:c r="E177" s="48" t="str"/>
      <x:c r="F177" s="48" t="str">
        <x:v>2026-08-13 01:47:00</x:v>
      </x:c>
      <x:c r="G177" s="48" t="str">
        <x:v>桂园街道桂园路141号(老街地铁站G口步行430米)</x:v>
      </x:c>
    </x:row>
    <x:row r="178">
      <x:c r="A178" s="48" t="str">
        <x:v>桂木园(桂园路)</x:v>
      </x:c>
      <x:c r="B178" s="48" t="str">
        <x:v>红岭</x:v>
      </x:c>
      <x:c r="C178" s="56" t="n">
        <x:v>1410</x:v>
      </x:c>
      <x:c r="D178" s="56" t="n">
        <x:v>18.8</x:v>
      </x:c>
      <x:c r="E178" s="48" t="str"/>
      <x:c r="F178" s="48" t="str">
        <x:v>2026-08-13 01:47:00</x:v>
      </x:c>
      <x:c r="G178" s="48" t="str">
        <x:v>桂园街道桂园路141号(老街地铁站G口步行430米)</x:v>
      </x:c>
    </x:row>
    <x:row r="179">
      <x:c r="A179" s="48" t="str">
        <x:v>桂木园(桂园路)</x:v>
      </x:c>
      <x:c r="B179" s="48" t="str">
        <x:v>国贸</x:v>
      </x:c>
      <x:c r="C179" s="56" t="n">
        <x:v>1472</x:v>
      </x:c>
      <x:c r="D179" s="56" t="n">
        <x:v>19.6</x:v>
      </x:c>
      <x:c r="E179" s="48" t="str"/>
      <x:c r="F179" s="48" t="str">
        <x:v>2026-08-13 01:47:00</x:v>
      </x:c>
      <x:c r="G179" s="48" t="str">
        <x:v>桂园街道桂园路141号(老街地铁站G口步行430米)</x:v>
      </x:c>
    </x:row>
    <x:row r="180">
      <x:c r="A180" s="48" t="str">
        <x:v>桂木园(桂园路)</x:v>
      </x:c>
      <x:c r="B180" s="48" t="str">
        <x:v>晒布</x:v>
      </x:c>
      <x:c r="C180" s="56" t="n">
        <x:v>1603</x:v>
      </x:c>
      <x:c r="D180" s="56" t="n">
        <x:v>21.4</x:v>
      </x:c>
      <x:c r="E180" s="48" t="str"/>
      <x:c r="F180" s="48" t="str">
        <x:v>2026-08-13 01:47:00</x:v>
      </x:c>
      <x:c r="G180" s="48" t="str">
        <x:v>桂园街道桂园路141号(老街地铁站G口步行430米)</x:v>
      </x:c>
    </x:row>
    <x:row r="181">
      <x:c r="A181" s="48" t="str">
        <x:v>粤华小区</x:v>
      </x:c>
      <x:c r="B181" s="48" t="str">
        <x:v>老街</x:v>
      </x:c>
      <x:c r="C181" s="56" t="n">
        <x:v>694</x:v>
      </x:c>
      <x:c r="D181" s="56" t="n">
        <x:v>9.3</x:v>
      </x:c>
      <x:c r="E181" s="48" t="str">
        <x:v>是</x:v>
      </x:c>
      <x:c r="F181" s="48" t="str">
        <x:v>2026-08-13 01:47:02</x:v>
      </x:c>
      <x:c r="G181" s="48" t="str">
        <x:v>沿河东路与深南东路交叉口南120米</x:v>
      </x:c>
    </x:row>
    <x:row r="182">
      <x:c r="A182" s="48" t="str">
        <x:v>粤华小区</x:v>
      </x:c>
      <x:c r="B182" s="48" t="str">
        <x:v>国贸</x:v>
      </x:c>
      <x:c r="C182" s="56" t="n">
        <x:v>866</x:v>
      </x:c>
      <x:c r="D182" s="56" t="n">
        <x:v>11.6</x:v>
      </x:c>
      <x:c r="E182" s="48" t="str"/>
      <x:c r="F182" s="48" t="str">
        <x:v>2026-08-13 01:47:02</x:v>
      </x:c>
      <x:c r="G182" s="48" t="str">
        <x:v>沿河东路与深南东路交叉口南120米</x:v>
      </x:c>
    </x:row>
    <x:row r="183">
      <x:c r="A183" s="48" t="str">
        <x:v>粤华小区</x:v>
      </x:c>
      <x:c r="B183" s="48" t="str">
        <x:v>大剧院</x:v>
      </x:c>
      <x:c r="C183" s="56" t="n">
        <x:v>929</x:v>
      </x:c>
      <x:c r="D183" s="56" t="n">
        <x:v>12.4</x:v>
      </x:c>
      <x:c r="E183" s="48" t="str"/>
      <x:c r="F183" s="48" t="str">
        <x:v>2026-08-13 01:47:02</x:v>
      </x:c>
      <x:c r="G183" s="48" t="str">
        <x:v>沿河东路与深南东路交叉口南120米</x:v>
      </x:c>
    </x:row>
    <x:row r="184">
      <x:c r="A184" s="48" t="str">
        <x:v>红围坊</x:v>
      </x:c>
      <x:c r="B184" s="48" t="str">
        <x:v>老街</x:v>
      </x:c>
      <x:c r="C184" s="56" t="n">
        <x:v>620</x:v>
      </x:c>
      <x:c r="D184" s="56" t="n">
        <x:v>8.3</x:v>
      </x:c>
      <x:c r="E184" s="48" t="str">
        <x:v>是</x:v>
      </x:c>
      <x:c r="F184" s="48" t="str">
        <x:v>2026-08-13 01:47:04</x:v>
      </x:c>
      <x:c r="G184" s="48" t="str">
        <x:v>红围街1号(老街地铁站G口步行390米)</x:v>
      </x:c>
    </x:row>
    <x:row r="185">
      <x:c r="A185" s="48" t="str">
        <x:v>红围坊</x:v>
      </x:c>
      <x:c r="B185" s="48" t="str">
        <x:v>大剧院</x:v>
      </x:c>
      <x:c r="C185" s="56" t="n">
        <x:v>665</x:v>
      </x:c>
      <x:c r="D185" s="56" t="n">
        <x:v>8.9</x:v>
      </x:c>
      <x:c r="E185" s="48" t="str"/>
      <x:c r="F185" s="48" t="str">
        <x:v>2026-08-13 01:47:04</x:v>
      </x:c>
      <x:c r="G185" s="48" t="str">
        <x:v>红围街1号(老街地铁站G口步行390米)</x:v>
      </x:c>
    </x:row>
    <x:row r="186">
      <x:c r="A186" s="48" t="str">
        <x:v>红围坊</x:v>
      </x:c>
      <x:c r="B186" s="48" t="str">
        <x:v>国贸</x:v>
      </x:c>
      <x:c r="C186" s="56" t="n">
        <x:v>1327</x:v>
      </x:c>
      <x:c r="D186" s="56" t="n">
        <x:v>17.7</x:v>
      </x:c>
      <x:c r="E186" s="48" t="str"/>
      <x:c r="F186" s="48" t="str">
        <x:v>2026-08-13 01:47:04</x:v>
      </x:c>
      <x:c r="G186" s="48" t="str">
        <x:v>红围街1号(老街地铁站G口步行390米)</x:v>
      </x:c>
    </x:row>
    <x:row r="187">
      <x:c r="A187" s="48" t="str">
        <x:v>红围坊</x:v>
      </x:c>
      <x:c r="B187" s="48" t="str">
        <x:v>红岭</x:v>
      </x:c>
      <x:c r="C187" s="56" t="n">
        <x:v>1591</x:v>
      </x:c>
      <x:c r="D187" s="56" t="n">
        <x:v>21.2</x:v>
      </x:c>
      <x:c r="E187" s="48" t="str"/>
      <x:c r="F187" s="48" t="str">
        <x:v>2026-08-13 01:47:04</x:v>
      </x:c>
      <x:c r="G187" s="48" t="str">
        <x:v>红围街1号(老街地铁站G口步行390米)</x:v>
      </x:c>
    </x:row>
    <x:row r="188">
      <x:c r="A188" s="48" t="str">
        <x:v>恒大天玺公馆</x:v>
      </x:c>
      <x:c r="B188" s="48" t="str">
        <x:v>老街</x:v>
      </x:c>
      <x:c r="C188" s="56" t="n">
        <x:v>746</x:v>
      </x:c>
      <x:c r="D188" s="56" t="n">
        <x:v>10</x:v>
      </x:c>
      <x:c r="E188" s="48" t="str">
        <x:v>是</x:v>
      </x:c>
      <x:c r="F188" s="48" t="str">
        <x:v>2026-08-13 01:47:06</x:v>
      </x:c>
      <x:c r="G188" s="48" t="str">
        <x:v>桂园路99号</x:v>
      </x:c>
    </x:row>
    <x:row r="189">
      <x:c r="A189" s="48" t="str">
        <x:v>恒大天玺公馆</x:v>
      </x:c>
      <x:c r="B189" s="48" t="str">
        <x:v>大剧院</x:v>
      </x:c>
      <x:c r="C189" s="56" t="n">
        <x:v>780</x:v>
      </x:c>
      <x:c r="D189" s="56" t="n">
        <x:v>10.4</x:v>
      </x:c>
      <x:c r="E189" s="48" t="str"/>
      <x:c r="F189" s="48" t="str">
        <x:v>2026-08-13 01:47:06</x:v>
      </x:c>
      <x:c r="G189" s="48" t="str">
        <x:v>桂园路99号</x:v>
      </x:c>
    </x:row>
    <x:row r="190">
      <x:c r="A190" s="48" t="str">
        <x:v>恒大天玺公馆</x:v>
      </x:c>
      <x:c r="B190" s="48" t="str">
        <x:v>红岭</x:v>
      </x:c>
      <x:c r="C190" s="56" t="n">
        <x:v>1431</x:v>
      </x:c>
      <x:c r="D190" s="56" t="n">
        <x:v>19.1</x:v>
      </x:c>
      <x:c r="E190" s="48" t="str"/>
      <x:c r="F190" s="48" t="str">
        <x:v>2026-08-13 01:47:06</x:v>
      </x:c>
      <x:c r="G190" s="48" t="str">
        <x:v>桂园路99号</x:v>
      </x:c>
    </x:row>
    <x:row r="191">
      <x:c r="A191" s="48" t="str">
        <x:v>恒大天玺公馆</x:v>
      </x:c>
      <x:c r="B191" s="48" t="str">
        <x:v>国贸</x:v>
      </x:c>
      <x:c r="C191" s="56" t="n">
        <x:v>1453</x:v>
      </x:c>
      <x:c r="D191" s="56" t="n">
        <x:v>19.4</x:v>
      </x:c>
      <x:c r="E191" s="48" t="str"/>
      <x:c r="F191" s="48" t="str">
        <x:v>2026-08-13 01:47:06</x:v>
      </x:c>
      <x:c r="G191" s="48" t="str">
        <x:v>桂园路99号</x:v>
      </x:c>
    </x:row>
    <x:row r="192">
      <x:c r="A192" s="48" t="str">
        <x:v>供电南苑</x:v>
      </x:c>
      <x:c r="B192" s="48" t="str">
        <x:v>大剧院</x:v>
      </x:c>
      <x:c r="C192" s="56" t="n">
        <x:v>747</x:v>
      </x:c>
      <x:c r="D192" s="56" t="n">
        <x:v>10</x:v>
      </x:c>
      <x:c r="E192" s="48" t="str">
        <x:v>是</x:v>
      </x:c>
      <x:c r="F192" s="48" t="str">
        <x:v>2026-08-13 01:47:08</x:v>
      </x:c>
      <x:c r="G192" s="48" t="str">
        <x:v>宝安南路1052号(大剧院地铁站F口步行460米)</x:v>
      </x:c>
    </x:row>
    <x:row r="193">
      <x:c r="A193" s="48" t="str">
        <x:v>供电南苑</x:v>
      </x:c>
      <x:c r="B193" s="48" t="str">
        <x:v>老街</x:v>
      </x:c>
      <x:c r="C193" s="56" t="n">
        <x:v>846</x:v>
      </x:c>
      <x:c r="D193" s="56" t="n">
        <x:v>11.3</x:v>
      </x:c>
      <x:c r="E193" s="48" t="str"/>
      <x:c r="F193" s="48" t="str">
        <x:v>2026-08-13 01:47:08</x:v>
      </x:c>
      <x:c r="G193" s="48" t="str">
        <x:v>宝安南路1052号(大剧院地铁站F口步行460米)</x:v>
      </x:c>
    </x:row>
    <x:row r="194">
      <x:c r="A194" s="48" t="str">
        <x:v>供电南苑</x:v>
      </x:c>
      <x:c r="B194" s="48" t="str">
        <x:v>国贸</x:v>
      </x:c>
      <x:c r="C194" s="56" t="n">
        <x:v>1033</x:v>
      </x:c>
      <x:c r="D194" s="56" t="n">
        <x:v>13.8</x:v>
      </x:c>
      <x:c r="E194" s="48" t="str"/>
      <x:c r="F194" s="48" t="str">
        <x:v>2026-08-13 01:47:08</x:v>
      </x:c>
      <x:c r="G194" s="48" t="str">
        <x:v>宝安南路1052号(大剧院地铁站F口步行460米)</x:v>
      </x:c>
    </x:row>
    <x:row r="195">
      <x:c r="A195" s="48" t="str">
        <x:v>广东省银行大厦</x:v>
      </x:c>
      <x:c r="B195" s="48" t="str">
        <x:v>罗湖</x:v>
      </x:c>
      <x:c r="C195" s="56" t="n">
        <x:v>433</x:v>
      </x:c>
      <x:c r="D195" s="56" t="n">
        <x:v>5.8</x:v>
      </x:c>
      <x:c r="E195" s="48" t="str">
        <x:v>是</x:v>
      </x:c>
      <x:c r="F195" s="48" t="str">
        <x:v>2026-08-13 01:47:22</x:v>
      </x:c>
      <x:c r="G195" s="48" t="str">
        <x:v>人民南路1015号(人民南地铁站B口步行80米)</x:v>
      </x:c>
    </x:row>
    <x:row r="196">
      <x:c r="A196" s="48" t="str">
        <x:v>广东省银行大厦</x:v>
      </x:c>
      <x:c r="B196" s="48" t="str">
        <x:v>国贸</x:v>
      </x:c>
      <x:c r="C196" s="56" t="n">
        <x:v>541</x:v>
      </x:c>
      <x:c r="D196" s="56" t="n">
        <x:v>7.2</x:v>
      </x:c>
      <x:c r="E196" s="48" t="str"/>
      <x:c r="F196" s="48" t="str">
        <x:v>2026-08-13 01:47:22</x:v>
      </x:c>
      <x:c r="G196" s="48" t="str">
        <x:v>人民南路1015号(人民南地铁站B口步行80米)</x:v>
      </x:c>
    </x:row>
    <x:row r="197">
      <x:c r="A197" s="48" t="str">
        <x:v>铂金时代公寓</x:v>
      </x:c>
      <x:c r="B197" s="48" t="str">
        <x:v>罗湖</x:v>
      </x:c>
      <x:c r="C197" s="56" t="n">
        <x:v>743</x:v>
      </x:c>
      <x:c r="D197" s="56" t="n">
        <x:v>9.9</x:v>
      </x:c>
      <x:c r="E197" s="48" t="str">
        <x:v>是</x:v>
      </x:c>
      <x:c r="F197" s="48" t="str">
        <x:v>2026-08-13 01:47:23</x:v>
      </x:c>
      <x:c r="G197" s="48" t="str">
        <x:v>南湖路1009号(罗湖中学西侧正对面)</x:v>
      </x:c>
    </x:row>
    <x:row r="198">
      <x:c r="A198" s="48" t="str">
        <x:v>铂金时代公寓</x:v>
      </x:c>
      <x:c r="B198" s="48" t="str">
        <x:v>国贸</x:v>
      </x:c>
      <x:c r="C198" s="56" t="n">
        <x:v>852</x:v>
      </x:c>
      <x:c r="D198" s="56" t="n">
        <x:v>11.4</x:v>
      </x:c>
      <x:c r="E198" s="48" t="str"/>
      <x:c r="F198" s="48" t="str">
        <x:v>2026-08-13 01:47:23</x:v>
      </x:c>
      <x:c r="G198" s="48" t="str">
        <x:v>南湖路1009号(罗湖中学西侧正对面)</x:v>
      </x:c>
    </x:row>
    <x:row r="199">
      <x:c r="A199" s="48" t="str">
        <x:v>罗湖金岸</x:v>
      </x:c>
      <x:c r="B199" s="48" t="str">
        <x:v>罗湖</x:v>
      </x:c>
      <x:c r="C199" s="56" t="n">
        <x:v>800</x:v>
      </x:c>
      <x:c r="D199" s="56" t="n">
        <x:v>10.7</x:v>
      </x:c>
      <x:c r="E199" s="48" t="str">
        <x:v>是</x:v>
      </x:c>
      <x:c r="F199" s="48" t="str">
        <x:v>2026-08-13 01:47:24</x:v>
      </x:c>
      <x:c r="G199" s="48" t="str">
        <x:v>沿河南路1070号</x:v>
      </x:c>
    </x:row>
    <x:row r="200">
      <x:c r="A200" s="48" t="str">
        <x:v>罗湖金岸</x:v>
      </x:c>
      <x:c r="B200" s="48" t="str">
        <x:v>国贸</x:v>
      </x:c>
      <x:c r="C200" s="56" t="n">
        <x:v>1135</x:v>
      </x:c>
      <x:c r="D200" s="56" t="n">
        <x:v>15.1</x:v>
      </x:c>
      <x:c r="E200" s="48" t="str"/>
      <x:c r="F200" s="48" t="str">
        <x:v>2026-08-13 01:47:24</x:v>
      </x:c>
      <x:c r="G200" s="48" t="str">
        <x:v>沿河南路1070号</x:v>
      </x:c>
    </x:row>
    <x:row r="201">
      <x:c r="A201" s="48" t="str">
        <x:v>渔民村</x:v>
      </x:c>
      <x:c r="B201" s="48" t="str">
        <x:v>罗湖</x:v>
      </x:c>
      <x:c r="C201" s="56" t="n">
        <x:v>1121</x:v>
      </x:c>
      <x:c r="D201" s="56" t="n">
        <x:v>15</x:v>
      </x:c>
      <x:c r="E201" s="48" t="str">
        <x:v>是</x:v>
      </x:c>
      <x:c r="F201" s="48" t="str">
        <x:v>2026-08-13 01:47:25</x:v>
      </x:c>
      <x:c r="G201" s="48" t="str">
        <x:v>鹿丹村地铁站A2口步行450米</x:v>
      </x:c>
    </x:row>
    <x:row r="202">
      <x:c r="A202" s="48" t="str">
        <x:v>渔民村</x:v>
      </x:c>
      <x:c r="B202" s="48" t="str">
        <x:v>国贸</x:v>
      </x:c>
      <x:c r="C202" s="56" t="n">
        <x:v>1273</x:v>
      </x:c>
      <x:c r="D202" s="56" t="n">
        <x:v>17</x:v>
      </x:c>
      <x:c r="E202" s="48" t="str"/>
      <x:c r="F202" s="48" t="str">
        <x:v>2026-08-13 01:47:25</x:v>
      </x:c>
      <x:c r="G202" s="48" t="str">
        <x:v>鹿丹村地铁站A2口步行450米</x:v>
      </x:c>
    </x:row>
    <x:row r="203">
      <x:c r="A203" s="48" t="str">
        <x:v>港逸豪庭</x:v>
      </x:c>
      <x:c r="B203" s="48" t="str">
        <x:v>罗湖</x:v>
      </x:c>
      <x:c r="C203" s="56" t="n">
        <x:v>1013</x:v>
      </x:c>
      <x:c r="D203" s="56" t="n">
        <x:v>13.5</x:v>
      </x:c>
      <x:c r="E203" s="48" t="str">
        <x:v>是</x:v>
      </x:c>
      <x:c r="F203" s="48" t="str">
        <x:v>2026-08-13 01:47:27</x:v>
      </x:c>
      <x:c r="G203" s="48" t="str">
        <x:v>渔村路38号(鹿丹村地铁站A2口步行460米)</x:v>
      </x:c>
    </x:row>
    <x:row r="204">
      <x:c r="A204" s="48" t="str">
        <x:v>港逸豪庭</x:v>
      </x:c>
      <x:c r="B204" s="48" t="str">
        <x:v>国贸</x:v>
      </x:c>
      <x:c r="C204" s="56" t="n">
        <x:v>1177</x:v>
      </x:c>
      <x:c r="D204" s="56" t="n">
        <x:v>15.7</x:v>
      </x:c>
      <x:c r="E204" s="48" t="str"/>
      <x:c r="F204" s="48" t="str">
        <x:v>2026-08-13 01:47:27</x:v>
      </x:c>
      <x:c r="G204" s="48" t="str">
        <x:v>渔村路38号(鹿丹村地铁站A2口步行460米)</x:v>
      </x:c>
    </x:row>
    <x:row r="205">
      <x:c r="A205" s="48" t="str">
        <x:v>港逸豪庭</x:v>
      </x:c>
      <x:c r="B205" s="48" t="str">
        <x:v>大剧院</x:v>
      </x:c>
      <x:c r="C205" s="56" t="n">
        <x:v>1590</x:v>
      </x:c>
      <x:c r="D205" s="56" t="n">
        <x:v>21.2</x:v>
      </x:c>
      <x:c r="E205" s="48" t="str"/>
      <x:c r="F205" s="48" t="str">
        <x:v>2026-08-13 01:47:27</x:v>
      </x:c>
      <x:c r="G205" s="48" t="str">
        <x:v>渔村路38号(鹿丹村地铁站A2口步行460米)</x:v>
      </x:c>
    </x:row>
    <x:row r="206">
      <x:c r="A206" s="48" t="str">
        <x:v>裕安花园(渔民村路)</x:v>
      </x:c>
      <x:c r="B206" s="48" t="str">
        <x:v>罗湖</x:v>
      </x:c>
      <x:c r="C206" s="56" t="n">
        <x:v>1080</x:v>
      </x:c>
      <x:c r="D206" s="56" t="n">
        <x:v>14.4</x:v>
      </x:c>
      <x:c r="E206" s="48" t="str">
        <x:v>是</x:v>
      </x:c>
      <x:c r="F206" s="48" t="str">
        <x:v>2026-08-13 01:47:29</x:v>
      </x:c>
      <x:c r="G206" s="48" t="str">
        <x:v>渔民村53号(鹿丹村地铁站A2口步行470米)</x:v>
      </x:c>
    </x:row>
    <x:row r="207">
      <x:c r="A207" s="48" t="str">
        <x:v>裕安花园(渔民村路)</x:v>
      </x:c>
      <x:c r="B207" s="48" t="str">
        <x:v>国贸</x:v>
      </x:c>
      <x:c r="C207" s="56" t="n">
        <x:v>1232</x:v>
      </x:c>
      <x:c r="D207" s="56" t="n">
        <x:v>16.4</x:v>
      </x:c>
      <x:c r="E207" s="48" t="str"/>
      <x:c r="F207" s="48" t="str">
        <x:v>2026-08-13 01:47:29</x:v>
      </x:c>
      <x:c r="G207" s="48" t="str">
        <x:v>渔民村53号(鹿丹村地铁站A2口步行470米)</x:v>
      </x:c>
    </x:row>
    <x:row r="208">
      <x:c r="A208" s="48" t="str">
        <x:v>裕安花园(渔民村路)</x:v>
      </x:c>
      <x:c r="B208" s="48" t="str">
        <x:v>大剧院</x:v>
      </x:c>
      <x:c r="C208" s="56" t="n">
        <x:v>1666</x:v>
      </x:c>
      <x:c r="D208" s="56" t="n">
        <x:v>22.2</x:v>
      </x:c>
      <x:c r="E208" s="48" t="str"/>
      <x:c r="F208" s="48" t="str">
        <x:v>2026-08-13 01:47:29</x:v>
      </x:c>
      <x:c r="G208" s="48" t="str">
        <x:v>渔民村53号(鹿丹村地铁站A2口步行470米)</x:v>
      </x:c>
    </x:row>
    <x:row r="209">
      <x:c r="A209" s="48" t="str">
        <x:v>东门天地</x:v>
      </x:c>
      <x:c r="B209" s="48" t="str">
        <x:v>晒布</x:v>
      </x:c>
      <x:c r="C209" s="56" t="n">
        <x:v>64</x:v>
      </x:c>
      <x:c r="D209" s="56" t="n">
        <x:v>0.9</x:v>
      </x:c>
      <x:c r="E209" s="48" t="str">
        <x:v>是</x:v>
      </x:c>
      <x:c r="F209" s="48" t="str">
        <x:v>2026-08-13 01:47:31</x:v>
      </x:c>
      <x:c r="G209" s="48" t="str">
        <x:v>东门中路2123号(晒布地铁站D1口步行70米)</x:v>
      </x:c>
    </x:row>
    <x:row r="210">
      <x:c r="A210" s="48" t="str">
        <x:v>东门天地</x:v>
      </x:c>
      <x:c r="B210" s="48" t="str">
        <x:v>湖贝</x:v>
      </x:c>
      <x:c r="C210" s="56" t="n">
        <x:v>1018</x:v>
      </x:c>
      <x:c r="D210" s="56" t="n">
        <x:v>13.6</x:v>
      </x:c>
      <x:c r="E210" s="48" t="str"/>
      <x:c r="F210" s="48" t="str">
        <x:v>2026-08-13 01:47:31</x:v>
      </x:c>
      <x:c r="G210" s="48" t="str">
        <x:v>东门中路2123号(晒布地铁站D1口步行70米)</x:v>
      </x:c>
    </x:row>
    <x:row r="211">
      <x:c r="A211" s="48" t="str">
        <x:v>东门天地</x:v>
      </x:c>
      <x:c r="B211" s="48" t="str">
        <x:v>老街</x:v>
      </x:c>
      <x:c r="C211" s="56" t="n">
        <x:v>1140</x:v>
      </x:c>
      <x:c r="D211" s="56" t="n">
        <x:v>15.2</x:v>
      </x:c>
      <x:c r="E211" s="48" t="str"/>
      <x:c r="F211" s="48" t="str">
        <x:v>2026-08-13 01:47:31</x:v>
      </x:c>
      <x:c r="G211" s="48" t="str">
        <x:v>东门中路2123号(晒布地铁站D1口步行70米)</x:v>
      </x:c>
    </x:row>
    <x:row r="212">
      <x:c r="A212" s="48" t="str">
        <x:v>嘉年华名苑</x:v>
      </x:c>
      <x:c r="B212" s="48" t="str">
        <x:v>晒布</x:v>
      </x:c>
      <x:c r="C212" s="56" t="n">
        <x:v>300</x:v>
      </x:c>
      <x:c r="D212" s="56" t="n">
        <x:v>4</x:v>
      </x:c>
      <x:c r="E212" s="48" t="str">
        <x:v>是</x:v>
      </x:c>
      <x:c r="F212" s="48" t="str">
        <x:v>2026-08-13 01:47:33</x:v>
      </x:c>
      <x:c r="G212" s="48" t="str">
        <x:v>晒布路18号(晒布地铁站D1口步行140米)</x:v>
      </x:c>
    </x:row>
    <x:row r="213">
      <x:c r="A213" s="48" t="str">
        <x:v>嘉年华名苑</x:v>
      </x:c>
      <x:c r="B213" s="48" t="str">
        <x:v>湖贝</x:v>
      </x:c>
      <x:c r="C213" s="56" t="n">
        <x:v>1115</x:v>
      </x:c>
      <x:c r="D213" s="56" t="n">
        <x:v>14.9</x:v>
      </x:c>
      <x:c r="E213" s="48" t="str"/>
      <x:c r="F213" s="48" t="str">
        <x:v>2026-08-13 01:47:33</x:v>
      </x:c>
      <x:c r="G213" s="48" t="str">
        <x:v>晒布路18号(晒布地铁站D1口步行140米)</x:v>
      </x:c>
    </x:row>
    <x:row r="214">
      <x:c r="A214" s="48" t="str">
        <x:v>嘉年华名苑</x:v>
      </x:c>
      <x:c r="B214" s="48" t="str">
        <x:v>老街</x:v>
      </x:c>
      <x:c r="C214" s="56" t="n">
        <x:v>1246</x:v>
      </x:c>
      <x:c r="D214" s="56" t="n">
        <x:v>16.6</x:v>
      </x:c>
      <x:c r="E214" s="48" t="str"/>
      <x:c r="F214" s="48" t="str">
        <x:v>2026-08-13 01:47:33</x:v>
      </x:c>
      <x:c r="G214" s="48" t="str">
        <x:v>晒布路18号(晒布地铁站D1口步行140米)</x:v>
      </x:c>
    </x:row>
    <x:row r="215">
      <x:c r="A215" s="48" t="str">
        <x:v>新世界大厦</x:v>
      </x:c>
      <x:c r="B215" s="48" t="str">
        <x:v>晒布</x:v>
      </x:c>
      <x:c r="C215" s="56" t="n">
        <x:v>370</x:v>
      </x:c>
      <x:c r="D215" s="56" t="n">
        <x:v>4.9</x:v>
      </x:c>
      <x:c r="E215" s="48" t="str">
        <x:v>是</x:v>
      </x:c>
      <x:c r="F215" s="48" t="str">
        <x:v>2026-08-13 01:47:35</x:v>
      </x:c>
      <x:c r="G215" s="48" t="str">
        <x:v>东门中路2074号(晒布地铁站B口旁)</x:v>
      </x:c>
    </x:row>
    <x:row r="216">
      <x:c r="A216" s="48" t="str">
        <x:v>新世界大厦</x:v>
      </x:c>
      <x:c r="B216" s="48" t="str">
        <x:v>湖贝</x:v>
      </x:c>
      <x:c r="C216" s="56" t="n">
        <x:v>1080</x:v>
      </x:c>
      <x:c r="D216" s="56" t="n">
        <x:v>14.4</x:v>
      </x:c>
      <x:c r="E216" s="48" t="str"/>
      <x:c r="F216" s="48" t="str">
        <x:v>2026-08-13 01:47:35</x:v>
      </x:c>
      <x:c r="G216" s="48" t="str">
        <x:v>东门中路2074号(晒布地铁站B口旁)</x:v>
      </x:c>
    </x:row>
    <x:row r="217">
      <x:c r="A217" s="48" t="str">
        <x:v>新世界大厦</x:v>
      </x:c>
      <x:c r="B217" s="48" t="str">
        <x:v>老街</x:v>
      </x:c>
      <x:c r="C217" s="56" t="n">
        <x:v>1367</x:v>
      </x:c>
      <x:c r="D217" s="56" t="n">
        <x:v>18.2</x:v>
      </x:c>
      <x:c r="E217" s="48" t="str"/>
      <x:c r="F217" s="48" t="str">
        <x:v>2026-08-13 01:47:35</x:v>
      </x:c>
      <x:c r="G217" s="48" t="str">
        <x:v>东门中路2074号(晒布地铁站B口旁)</x:v>
      </x:c>
    </x:row>
    <x:row r="218">
      <x:c r="A218" s="48" t="str">
        <x:v>华盛君荟名庭</x:v>
      </x:c>
      <x:c r="B218" s="48" t="str">
        <x:v>晒布</x:v>
      </x:c>
      <x:c r="C218" s="56" t="n">
        <x:v>203</x:v>
      </x:c>
      <x:c r="D218" s="56" t="n">
        <x:v>2.7</x:v>
      </x:c>
      <x:c r="E218" s="48" t="str">
        <x:v>是</x:v>
      </x:c>
      <x:c r="F218" s="48" t="str">
        <x:v>2026-08-13 01:47:36</x:v>
      </x:c>
      <x:c r="G218" s="48" t="str">
        <x:v>东门街道花场社区东门中路2125号(晒布地铁站C口步行80米)</x:v>
      </x:c>
    </x:row>
    <x:row r="219">
      <x:c r="A219" s="48" t="str">
        <x:v>华盛君荟名庭</x:v>
      </x:c>
      <x:c r="B219" s="48" t="str">
        <x:v>湖贝</x:v>
      </x:c>
      <x:c r="C219" s="56" t="n">
        <x:v>1188</x:v>
      </x:c>
      <x:c r="D219" s="56" t="n">
        <x:v>15.8</x:v>
      </x:c>
      <x:c r="E219" s="48" t="str"/>
      <x:c r="F219" s="48" t="str">
        <x:v>2026-08-13 01:47:36</x:v>
      </x:c>
      <x:c r="G219" s="48" t="str">
        <x:v>东门街道花场社区东门中路2125号(晒布地铁站C口步行80米)</x:v>
      </x:c>
    </x:row>
    <x:row r="220">
      <x:c r="A220" s="48" t="str">
        <x:v>华盛君荟名庭</x:v>
      </x:c>
      <x:c r="B220" s="48" t="str">
        <x:v>老街</x:v>
      </x:c>
      <x:c r="C220" s="56" t="n">
        <x:v>1310</x:v>
      </x:c>
      <x:c r="D220" s="56" t="n">
        <x:v>17.5</x:v>
      </x:c>
      <x:c r="E220" s="48" t="str"/>
      <x:c r="F220" s="48" t="str">
        <x:v>2026-08-13 01:47:36</x:v>
      </x:c>
      <x:c r="G220" s="48" t="str">
        <x:v>东门街道花场社区东门中路2125号(晒布地铁站C口步行80米)</x:v>
      </x:c>
    </x:row>
    <x:row r="221">
      <x:c r="A221" s="48" t="str">
        <x:v>南海中心</x:v>
      </x:c>
      <x:c r="B221" s="48" t="str">
        <x:v>晒布</x:v>
      </x:c>
      <x:c r="C221" s="56" t="n">
        <x:v>207</x:v>
      </x:c>
      <x:c r="D221" s="56" t="n">
        <x:v>2.8</x:v>
      </x:c>
      <x:c r="E221" s="48" t="str">
        <x:v>是</x:v>
      </x:c>
      <x:c r="F221" s="48" t="str">
        <x:v>2026-08-13 01:47:39</x:v>
      </x:c>
      <x:c r="G221" s="48" t="str">
        <x:v>东门中路2071号(晒布地铁站D3口旁)</x:v>
      </x:c>
    </x:row>
    <x:row r="222">
      <x:c r="A222" s="48" t="str">
        <x:v>南海中心</x:v>
      </x:c>
      <x:c r="B222" s="48" t="str">
        <x:v>湖贝</x:v>
      </x:c>
      <x:c r="C222" s="56" t="n">
        <x:v>893</x:v>
      </x:c>
      <x:c r="D222" s="56" t="n">
        <x:v>11.9</x:v>
      </x:c>
      <x:c r="E222" s="48" t="str"/>
      <x:c r="F222" s="48" t="str">
        <x:v>2026-08-13 01:47:39</x:v>
      </x:c>
      <x:c r="G222" s="48" t="str">
        <x:v>东门中路2071号(晒布地铁站D3口旁)</x:v>
      </x:c>
    </x:row>
    <x:row r="223">
      <x:c r="A223" s="48" t="str">
        <x:v>南海中心</x:v>
      </x:c>
      <x:c r="B223" s="48" t="str">
        <x:v>老街</x:v>
      </x:c>
      <x:c r="C223" s="56" t="n">
        <x:v>1015</x:v>
      </x:c>
      <x:c r="D223" s="56" t="n">
        <x:v>13.5</x:v>
      </x:c>
      <x:c r="E223" s="48" t="str"/>
      <x:c r="F223" s="48" t="str">
        <x:v>2026-08-13 01:47:39</x:v>
      </x:c>
      <x:c r="G223" s="48" t="str">
        <x:v>东门中路2071号(晒布地铁站D3口旁)</x:v>
      </x:c>
    </x:row>
    <x:row r="224">
      <x:c r="A224" s="48" t="str">
        <x:v>南海中心</x:v>
      </x:c>
      <x:c r="B224" s="48" t="str">
        <x:v>国贸</x:v>
      </x:c>
      <x:c r="C224" s="56" t="n">
        <x:v>1333</x:v>
      </x:c>
      <x:c r="D224" s="56" t="n">
        <x:v>17.8</x:v>
      </x:c>
      <x:c r="E224" s="48" t="str"/>
      <x:c r="F224" s="48" t="str">
        <x:v>2026-08-13 01:47:39</x:v>
      </x:c>
      <x:c r="G224" s="48" t="str">
        <x:v>东门中路2071号(晒布地铁站D3口旁)</x:v>
      </x:c>
    </x:row>
    <x:row r="225">
      <x:c r="A225" s="48" t="str">
        <x:v>立新花园(人民北路)</x:v>
      </x:c>
      <x:c r="B225" s="48" t="str">
        <x:v>晒布</x:v>
      </x:c>
      <x:c r="C225" s="56" t="n">
        <x:v>289</x:v>
      </x:c>
      <x:c r="D225" s="56" t="n">
        <x:v>3.9</x:v>
      </x:c>
      <x:c r="E225" s="48" t="str">
        <x:v>是</x:v>
      </x:c>
      <x:c r="F225" s="48" t="str">
        <x:v>2026-08-13 01:47:40</x:v>
      </x:c>
      <x:c r="G225" s="48" t="str">
        <x:v>立新路10号(晒布地铁站D3口步行50米)</x:v>
      </x:c>
    </x:row>
    <x:row r="226">
      <x:c r="A226" s="48" t="str">
        <x:v>立新花园(人民北路)</x:v>
      </x:c>
      <x:c r="B226" s="48" t="str">
        <x:v>老街</x:v>
      </x:c>
      <x:c r="C226" s="56" t="n">
        <x:v>819</x:v>
      </x:c>
      <x:c r="D226" s="56" t="n">
        <x:v>10.9</x:v>
      </x:c>
      <x:c r="E226" s="48" t="str"/>
      <x:c r="F226" s="48" t="str">
        <x:v>2026-08-13 01:47:40</x:v>
      </x:c>
      <x:c r="G226" s="48" t="str">
        <x:v>立新路10号(晒布地铁站D3口步行50米)</x:v>
      </x:c>
    </x:row>
    <x:row r="227">
      <x:c r="A227" s="48" t="str">
        <x:v>立新花园(人民北路)</x:v>
      </x:c>
      <x:c r="B227" s="48" t="str">
        <x:v>湖贝</x:v>
      </x:c>
      <x:c r="C227" s="56" t="n">
        <x:v>1095</x:v>
      </x:c>
      <x:c r="D227" s="56" t="n">
        <x:v>14.6</x:v>
      </x:c>
      <x:c r="E227" s="48" t="str"/>
      <x:c r="F227" s="48" t="str">
        <x:v>2026-08-13 01:47:40</x:v>
      </x:c>
      <x:c r="G227" s="48" t="str">
        <x:v>立新路10号(晒布地铁站D3口步行50米)</x:v>
      </x:c>
    </x:row>
    <x:row r="228">
      <x:c r="A228" s="48" t="str">
        <x:v>园林宿舍</x:v>
      </x:c>
      <x:c r="B228" s="48" t="str">
        <x:v>晒布</x:v>
      </x:c>
      <x:c r="C228" s="56" t="n">
        <x:v>410</x:v>
      </x:c>
      <x:c r="D228" s="56" t="n">
        <x:v>5.5</x:v>
      </x:c>
      <x:c r="E228" s="48" t="str">
        <x:v>是</x:v>
      </x:c>
      <x:c r="F228" s="48" t="str">
        <x:v>2026-08-13 01:47:42</x:v>
      </x:c>
      <x:c r="G228" s="48" t="str">
        <x:v>童乐路24号(晒布地铁站C口步行320米)</x:v>
      </x:c>
    </x:row>
    <x:row r="229">
      <x:c r="A229" s="48" t="str">
        <x:v>园林宿舍</x:v>
      </x:c>
      <x:c r="B229" s="48" t="str">
        <x:v>湖贝</x:v>
      </x:c>
      <x:c r="C229" s="56" t="n">
        <x:v>1395</x:v>
      </x:c>
      <x:c r="D229" s="56" t="n">
        <x:v>18.6</x:v>
      </x:c>
      <x:c r="E229" s="48" t="str"/>
      <x:c r="F229" s="48" t="str">
        <x:v>2026-08-13 01:47:42</x:v>
      </x:c>
      <x:c r="G229" s="48" t="str">
        <x:v>童乐路24号(晒布地铁站C口步行320米)</x:v>
      </x:c>
    </x:row>
    <x:row r="230">
      <x:c r="A230" s="48" t="str">
        <x:v>世濠大厦</x:v>
      </x:c>
      <x:c r="B230" s="48" t="str">
        <x:v>晒布</x:v>
      </x:c>
      <x:c r="C230" s="56" t="n">
        <x:v>501</x:v>
      </x:c>
      <x:c r="D230" s="56" t="n">
        <x:v>6.7</x:v>
      </x:c>
      <x:c r="E230" s="48" t="str">
        <x:v>是</x:v>
      </x:c>
      <x:c r="F230" s="48" t="str">
        <x:v>2026-08-13 01:47:44</x:v>
      </x:c>
      <x:c r="G230" s="48" t="str">
        <x:v>人民北路2139号(晒布地铁站A1口步行430米)</x:v>
      </x:c>
    </x:row>
    <x:row r="231">
      <x:c r="A231" s="48" t="str">
        <x:v>世濠大厦</x:v>
      </x:c>
      <x:c r="B231" s="48" t="str">
        <x:v>老街</x:v>
      </x:c>
      <x:c r="C231" s="56" t="n">
        <x:v>667</x:v>
      </x:c>
      <x:c r="D231" s="56" t="n">
        <x:v>8.9</x:v>
      </x:c>
      <x:c r="E231" s="48" t="str"/>
      <x:c r="F231" s="48" t="str">
        <x:v>2026-08-13 01:47:44</x:v>
      </x:c>
      <x:c r="G231" s="48" t="str">
        <x:v>人民北路2139号(晒布地铁站A1口步行430米)</x:v>
      </x:c>
    </x:row>
    <x:row r="232">
      <x:c r="A232" s="48" t="str">
        <x:v>世濠大厦</x:v>
      </x:c>
      <x:c r="B232" s="48" t="str">
        <x:v>湖贝</x:v>
      </x:c>
      <x:c r="C232" s="56" t="n">
        <x:v>1034</x:v>
      </x:c>
      <x:c r="D232" s="56" t="n">
        <x:v>13.8</x:v>
      </x:c>
      <x:c r="E232" s="48" t="str"/>
      <x:c r="F232" s="48" t="str">
        <x:v>2026-08-13 01:47:44</x:v>
      </x:c>
      <x:c r="G232" s="48" t="str">
        <x:v>人民北路2139号(晒布地铁站A1口步行430米)</x:v>
      </x:c>
    </x:row>
    <x:row r="233">
      <x:c r="A233" s="48" t="str">
        <x:v>世濠大厦</x:v>
      </x:c>
      <x:c r="B233" s="48" t="str">
        <x:v>国贸</x:v>
      </x:c>
      <x:c r="C233" s="56" t="n">
        <x:v>1163</x:v>
      </x:c>
      <x:c r="D233" s="56" t="n">
        <x:v>15.5</x:v>
      </x:c>
      <x:c r="E233" s="48" t="str"/>
      <x:c r="F233" s="48" t="str">
        <x:v>2026-08-13 01:47:44</x:v>
      </x:c>
      <x:c r="G233" s="48" t="str">
        <x:v>人民北路2139号(晒布地铁站A1口步行430米)</x:v>
      </x:c>
    </x:row>
    <x:row r="234">
      <x:c r="A234" s="48" t="str">
        <x:v>都心名苑</x:v>
      </x:c>
      <x:c r="B234" s="48" t="str">
        <x:v>晒布</x:v>
      </x:c>
      <x:c r="C234" s="56" t="n">
        <x:v>594</x:v>
      </x:c>
      <x:c r="D234" s="56" t="n">
        <x:v>7.9</x:v>
      </x:c>
      <x:c r="E234" s="48" t="str">
        <x:v>是</x:v>
      </x:c>
      <x:c r="F234" s="48" t="str">
        <x:v>2026-08-13 01:47:45</x:v>
      </x:c>
      <x:c r="G234" s="48" t="str">
        <x:v>中兴路165号(晒布地铁站A2口步行310米)</x:v>
      </x:c>
    </x:row>
    <x:row r="235">
      <x:c r="A235" s="48" t="str">
        <x:v>都心名苑</x:v>
      </x:c>
      <x:c r="B235" s="48" t="str">
        <x:v>湖贝</x:v>
      </x:c>
      <x:c r="C235" s="56" t="n">
        <x:v>1010</x:v>
      </x:c>
      <x:c r="D235" s="56" t="n">
        <x:v>13.5</x:v>
      </x:c>
      <x:c r="E235" s="48" t="str"/>
      <x:c r="F235" s="48" t="str">
        <x:v>2026-08-13 01:47:45</x:v>
      </x:c>
      <x:c r="G235" s="48" t="str">
        <x:v>中兴路165号(晒布地铁站A2口步行310米)</x:v>
      </x:c>
    </x:row>
    <x:row r="236">
      <x:c r="A236" s="48" t="str">
        <x:v>好年华大厦</x:v>
      </x:c>
      <x:c r="B236" s="48" t="str">
        <x:v>晒布</x:v>
      </x:c>
      <x:c r="C236" s="56" t="n">
        <x:v>527</x:v>
      </x:c>
      <x:c r="D236" s="56" t="n">
        <x:v>7</x:v>
      </x:c>
      <x:c r="E236" s="48" t="str">
        <x:v>是</x:v>
      </x:c>
      <x:c r="F236" s="48" t="str">
        <x:v>2026-08-13 01:47:47</x:v>
      </x:c>
      <x:c r="G236" s="48" t="str">
        <x:v>立新路68号(晒布地铁站A1口步行420米)</x:v>
      </x:c>
    </x:row>
    <x:row r="237">
      <x:c r="A237" s="48" t="str">
        <x:v>好年华大厦</x:v>
      </x:c>
      <x:c r="B237" s="48" t="str">
        <x:v>老街</x:v>
      </x:c>
      <x:c r="C237" s="56" t="n">
        <x:v>609</x:v>
      </x:c>
      <x:c r="D237" s="56" t="n">
        <x:v>8.1</x:v>
      </x:c>
      <x:c r="E237" s="48" t="str"/>
      <x:c r="F237" s="48" t="str">
        <x:v>2026-08-13 01:47:47</x:v>
      </x:c>
      <x:c r="G237" s="48" t="str">
        <x:v>立新路68号(晒布地铁站A1口步行420米)</x:v>
      </x:c>
    </x:row>
    <x:row r="238">
      <x:c r="A238" s="48" t="str">
        <x:v>好年华大厦</x:v>
      </x:c>
      <x:c r="B238" s="48" t="str">
        <x:v>湖贝</x:v>
      </x:c>
      <x:c r="C238" s="56" t="n">
        <x:v>1060</x:v>
      </x:c>
      <x:c r="D238" s="56" t="n">
        <x:v>14.1</x:v>
      </x:c>
      <x:c r="E238" s="48" t="str"/>
      <x:c r="F238" s="48" t="str">
        <x:v>2026-08-13 01:47:47</x:v>
      </x:c>
      <x:c r="G238" s="48" t="str">
        <x:v>立新路68号(晒布地铁站A1口步行420米)</x:v>
      </x:c>
    </x:row>
    <x:row r="239">
      <x:c r="A239" s="48" t="str">
        <x:v>好年华大厦</x:v>
      </x:c>
      <x:c r="B239" s="48" t="str">
        <x:v>国贸</x:v>
      </x:c>
      <x:c r="C239" s="56" t="n">
        <x:v>1189</x:v>
      </x:c>
      <x:c r="D239" s="56" t="n">
        <x:v>15.9</x:v>
      </x:c>
      <x:c r="E239" s="48" t="str"/>
      <x:c r="F239" s="48" t="str">
        <x:v>2026-08-13 01:47:47</x:v>
      </x:c>
      <x:c r="G239" s="48" t="str">
        <x:v>立新路68号(晒布地铁站A1口步行420米)</x:v>
      </x:c>
    </x:row>
    <x:row r="240">
      <x:c r="A240" s="48" t="str">
        <x:v>缤纷时代家园</x:v>
      </x:c>
      <x:c r="B240" s="48" t="str">
        <x:v>晒布</x:v>
      </x:c>
      <x:c r="C240" s="56" t="n">
        <x:v>461</x:v>
      </x:c>
      <x:c r="D240" s="56" t="n">
        <x:v>6.2</x:v>
      </x:c>
      <x:c r="E240" s="48" t="str">
        <x:v>是</x:v>
      </x:c>
      <x:c r="F240" s="48" t="str">
        <x:v>2026-08-13 01:47:48</x:v>
      </x:c>
      <x:c r="G240" s="48" t="str">
        <x:v>东门中路2112号(晒布地铁站B口步行310米)</x:v>
      </x:c>
    </x:row>
    <x:row r="241">
      <x:c r="A241" s="48" t="str">
        <x:v>缤纷时代家园</x:v>
      </x:c>
      <x:c r="B241" s="48" t="str">
        <x:v>湖贝</x:v>
      </x:c>
      <x:c r="C241" s="56" t="n">
        <x:v>1401</x:v>
      </x:c>
      <x:c r="D241" s="56" t="n">
        <x:v>18.7</x:v>
      </x:c>
      <x:c r="E241" s="48" t="str"/>
      <x:c r="F241" s="48" t="str">
        <x:v>2026-08-13 01:47:48</x:v>
      </x:c>
      <x:c r="G241" s="48" t="str">
        <x:v>东门中路2112号(晒布地铁站B口步行310米)</x:v>
      </x:c>
    </x:row>
    <x:row r="242">
      <x:c r="A242" s="48" t="str">
        <x:v>方海商苑</x:v>
      </x:c>
      <x:c r="B242" s="48" t="str">
        <x:v>晒布</x:v>
      </x:c>
      <x:c r="C242" s="56" t="n">
        <x:v>511</x:v>
      </x:c>
      <x:c r="D242" s="56" t="n">
        <x:v>6.8</x:v>
      </x:c>
      <x:c r="E242" s="48" t="str">
        <x:v>是</x:v>
      </x:c>
      <x:c r="F242" s="48" t="str">
        <x:v>2026-08-13 01:47:51</x:v>
      </x:c>
      <x:c r="G242" s="48" t="str">
        <x:v>解放路1002号(晒布地铁站A1口步行340米)</x:v>
      </x:c>
    </x:row>
    <x:row r="243">
      <x:c r="A243" s="48" t="str">
        <x:v>方海商苑</x:v>
      </x:c>
      <x:c r="B243" s="48" t="str">
        <x:v>老街</x:v>
      </x:c>
      <x:c r="C243" s="56" t="n">
        <x:v>639</x:v>
      </x:c>
      <x:c r="D243" s="56" t="n">
        <x:v>8.5</x:v>
      </x:c>
      <x:c r="E243" s="48" t="str"/>
      <x:c r="F243" s="48" t="str">
        <x:v>2026-08-13 01:47:51</x:v>
      </x:c>
      <x:c r="G243" s="48" t="str">
        <x:v>解放路1002号(晒布地铁站A1口步行340米)</x:v>
      </x:c>
    </x:row>
    <x:row r="244">
      <x:c r="A244" s="48" t="str">
        <x:v>方海商苑</x:v>
      </x:c>
      <x:c r="B244" s="48" t="str">
        <x:v>湖贝</x:v>
      </x:c>
      <x:c r="C244" s="56" t="n">
        <x:v>697</x:v>
      </x:c>
      <x:c r="D244" s="56" t="n">
        <x:v>9.3</x:v>
      </x:c>
      <x:c r="E244" s="48" t="str"/>
      <x:c r="F244" s="48" t="str">
        <x:v>2026-08-13 01:47:51</x:v>
      </x:c>
      <x:c r="G244" s="48" t="str">
        <x:v>解放路1002号(晒布地铁站A1口步行340米)</x:v>
      </x:c>
    </x:row>
    <x:row r="245">
      <x:c r="A245" s="48" t="str">
        <x:v>方海商苑</x:v>
      </x:c>
      <x:c r="B245" s="48" t="str">
        <x:v>国贸</x:v>
      </x:c>
      <x:c r="C245" s="56" t="n">
        <x:v>926</x:v>
      </x:c>
      <x:c r="D245" s="56" t="n">
        <x:v>12.4</x:v>
      </x:c>
      <x:c r="E245" s="48" t="str"/>
      <x:c r="F245" s="48" t="str">
        <x:v>2026-08-13 01:47:51</x:v>
      </x:c>
      <x:c r="G245" s="48" t="str">
        <x:v>解放路1002号(晒布地铁站A1口步行340米)</x:v>
      </x:c>
    </x:row>
    <x:row r="246">
      <x:c r="A246" s="48" t="str">
        <x:v>华隆园</x:v>
      </x:c>
      <x:c r="B246" s="48" t="str">
        <x:v>晒布</x:v>
      </x:c>
      <x:c r="C246" s="56" t="n">
        <x:v>668</x:v>
      </x:c>
      <x:c r="D246" s="56" t="n">
        <x:v>8.9</x:v>
      </x:c>
      <x:c r="E246" s="48" t="str">
        <x:v>是</x:v>
      </x:c>
      <x:c r="F246" s="48" t="str">
        <x:v>2026-08-13 01:47:52</x:v>
      </x:c>
      <x:c r="G246" s="48" t="str">
        <x:v>翠园街38号</x:v>
      </x:c>
    </x:row>
    <x:row r="247">
      <x:c r="A247" s="48" t="str">
        <x:v>华隆园</x:v>
      </x:c>
      <x:c r="B247" s="48" t="str">
        <x:v>湖贝</x:v>
      </x:c>
      <x:c r="C247" s="56" t="n">
        <x:v>890</x:v>
      </x:c>
      <x:c r="D247" s="56" t="n">
        <x:v>11.9</x:v>
      </x:c>
      <x:c r="E247" s="48" t="str"/>
      <x:c r="F247" s="48" t="str">
        <x:v>2026-08-13 01:47:52</x:v>
      </x:c>
      <x:c r="G247" s="48" t="str">
        <x:v>翠园街38号</x:v>
      </x:c>
    </x:row>
    <x:row r="248">
      <x:c r="A248" s="48" t="str">
        <x:v>一品东门雅园</x:v>
      </x:c>
      <x:c r="B248" s="48" t="str">
        <x:v>晒布</x:v>
      </x:c>
      <x:c r="C248" s="56" t="n">
        <x:v>832</x:v>
      </x:c>
      <x:c r="D248" s="56" t="n">
        <x:v>11.1</x:v>
      </x:c>
      <x:c r="E248" s="48" t="str">
        <x:v>是</x:v>
      </x:c>
      <x:c r="F248" s="48" t="str">
        <x:v>2026-08-13 01:47:53</x:v>
      </x:c>
      <x:c r="G248" s="48" t="str">
        <x:v>中兴路168号(中兴路与乐园路交汇处)</x:v>
      </x:c>
    </x:row>
    <x:row r="249">
      <x:c r="A249" s="48" t="str">
        <x:v>一品东门雅园</x:v>
      </x:c>
      <x:c r="B249" s="48" t="str">
        <x:v>湖贝</x:v>
      </x:c>
      <x:c r="C249" s="56" t="n">
        <x:v>934</x:v>
      </x:c>
      <x:c r="D249" s="56" t="n">
        <x:v>12.5</x:v>
      </x:c>
      <x:c r="E249" s="48" t="str"/>
      <x:c r="F249" s="48" t="str">
        <x:v>2026-08-13 01:47:53</x:v>
      </x:c>
      <x:c r="G249" s="48" t="str">
        <x:v>中兴路168号(中兴路与乐园路交汇处)</x:v>
      </x:c>
    </x:row>
    <x:row r="250">
      <x:c r="A250" s="48" t="str">
        <x:v>一品东门雅园</x:v>
      </x:c>
      <x:c r="B250" s="48" t="str">
        <x:v>黄贝岭</x:v>
      </x:c>
      <x:c r="C250" s="56" t="n">
        <x:v>1419</x:v>
      </x:c>
      <x:c r="D250" s="56" t="n">
        <x:v>18.9</x:v>
      </x:c>
      <x:c r="E250" s="48" t="str"/>
      <x:c r="F250" s="48" t="str">
        <x:v>2026-08-13 01:47:53</x:v>
      </x:c>
      <x:c r="G250" s="48" t="str">
        <x:v>中兴路168号(中兴路与乐园路交汇处)</x:v>
      </x:c>
    </x:row>
    <x:row r="251">
      <x:c r="A251" s="48" t="str">
        <x:v>128号大院</x:v>
      </x:c>
      <x:c r="B251" s="48" t="str">
        <x:v>晒布</x:v>
      </x:c>
      <x:c r="C251" s="56" t="n">
        <x:v>783</x:v>
      </x:c>
      <x:c r="D251" s="56" t="n">
        <x:v>10.4</x:v>
      </x:c>
      <x:c r="E251" s="48" t="str">
        <x:v>是</x:v>
      </x:c>
      <x:c r="F251" s="48" t="str">
        <x:v>2026-08-13 01:47:54</x:v>
      </x:c>
      <x:c r="G251" s="48" t="str">
        <x:v>童乐路与文锦中路辅路交叉口南220米</x:v>
      </x:c>
    </x:row>
    <x:row r="252">
      <x:c r="A252" s="48" t="str">
        <x:v>物资大院</x:v>
      </x:c>
      <x:c r="B252" s="48" t="str">
        <x:v>晒布</x:v>
      </x:c>
      <x:c r="C252" s="56" t="n">
        <x:v>951</x:v>
      </x:c>
      <x:c r="D252" s="56" t="n">
        <x:v>12.7</x:v>
      </x:c>
      <x:c r="E252" s="48" t="str">
        <x:v>是</x:v>
      </x:c>
      <x:c r="F252" s="48" t="str">
        <x:v>2026-08-13 01:47:56</x:v>
      </x:c>
      <x:c r="G252" s="48" t="str">
        <x:v>东升街15号</x:v>
      </x:c>
    </x:row>
    <x:row r="253">
      <x:c r="A253" s="48" t="str">
        <x:v>物资大院</x:v>
      </x:c>
      <x:c r="B253" s="48" t="str">
        <x:v>黄贝岭</x:v>
      </x:c>
      <x:c r="C253" s="56" t="n">
        <x:v>1517</x:v>
      </x:c>
      <x:c r="D253" s="56" t="n">
        <x:v>20.2</x:v>
      </x:c>
      <x:c r="E253" s="48" t="str"/>
      <x:c r="F253" s="48" t="str">
        <x:v>2026-08-13 01:47:56</x:v>
      </x:c>
      <x:c r="G253" s="48" t="str">
        <x:v>东升街15号</x:v>
      </x:c>
    </x:row>
    <x:row r="254">
      <x:c r="A254" s="48" t="str">
        <x:v>物资大院</x:v>
      </x:c>
      <x:c r="B254" s="48" t="str">
        <x:v>湖贝</x:v>
      </x:c>
      <x:c r="C254" s="56" t="n">
        <x:v>1518</x:v>
      </x:c>
      <x:c r="D254" s="56" t="n">
        <x:v>20.2</x:v>
      </x:c>
      <x:c r="E254" s="48" t="str"/>
      <x:c r="F254" s="48" t="str">
        <x:v>2026-08-13 01:47:56</x:v>
      </x:c>
      <x:c r="G254" s="48" t="str">
        <x:v>东升街15号</x:v>
      </x:c>
    </x:row>
    <x:row r="255">
      <x:c r="A255" s="48" t="str">
        <x:v>聚龙大厦</x:v>
      </x:c>
      <x:c r="B255" s="48" t="str">
        <x:v>晒布</x:v>
      </x:c>
      <x:c r="C255" s="56" t="n">
        <x:v>850</x:v>
      </x:c>
      <x:c r="D255" s="56" t="n">
        <x:v>11.3</x:v>
      </x:c>
      <x:c r="E255" s="48" t="str">
        <x:v>是</x:v>
      </x:c>
      <x:c r="F255" s="48" t="str">
        <x:v>2026-08-13 01:47:57</x:v>
      </x:c>
      <x:c r="G255" s="48" t="str">
        <x:v>文锦中路2123号(翠竹地铁站D口步行430米)</x:v>
      </x:c>
    </x:row>
    <x:row r="256">
      <x:c r="A256" s="48" t="str">
        <x:v>名阳阁</x:v>
      </x:c>
      <x:c r="B256" s="48" t="str">
        <x:v>晒布</x:v>
      </x:c>
      <x:c r="C256" s="56" t="n">
        <x:v>1158</x:v>
      </x:c>
      <x:c r="D256" s="56" t="n">
        <x:v>15.4</x:v>
      </x:c>
      <x:c r="E256" s="48" t="str">
        <x:v>是</x:v>
      </x:c>
      <x:c r="F256" s="48" t="str">
        <x:v>2026-08-13 01:47:59</x:v>
      </x:c>
      <x:c r="G256" s="48" t="str">
        <x:v>文锦中路2019-12号</x:v>
      </x:c>
    </x:row>
    <x:row r="257">
      <x:c r="A257" s="48" t="str">
        <x:v>名阳阁</x:v>
      </x:c>
      <x:c r="B257" s="48" t="str">
        <x:v>黄贝岭</x:v>
      </x:c>
      <x:c r="C257" s="56" t="n">
        <x:v>1254</x:v>
      </x:c>
      <x:c r="D257" s="56" t="n">
        <x:v>16.7</x:v>
      </x:c>
      <x:c r="E257" s="48" t="str"/>
      <x:c r="F257" s="48" t="str">
        <x:v>2026-08-13 01:47:59</x:v>
      </x:c>
      <x:c r="G257" s="48" t="str">
        <x:v>文锦中路2019-12号</x:v>
      </x:c>
    </x:row>
    <x:row r="258">
      <x:c r="A258" s="48" t="str">
        <x:v>名阳阁</x:v>
      </x:c>
      <x:c r="B258" s="48" t="str">
        <x:v>湖贝</x:v>
      </x:c>
      <x:c r="C258" s="56" t="n">
        <x:v>1255</x:v>
      </x:c>
      <x:c r="D258" s="56" t="n">
        <x:v>16.7</x:v>
      </x:c>
      <x:c r="E258" s="48" t="str"/>
      <x:c r="F258" s="48" t="str">
        <x:v>2026-08-13 01:47:59</x:v>
      </x:c>
      <x:c r="G258" s="48" t="str">
        <x:v>文锦中路2019-12号</x:v>
      </x:c>
    </x:row>
    <x:row r="259">
      <x:c r="A259" s="48" t="str">
        <x:v>同乐大厦</x:v>
      </x:c>
      <x:c r="B259" s="48" t="str">
        <x:v>晒布</x:v>
      </x:c>
      <x:c r="C259" s="56" t="n">
        <x:v>933</x:v>
      </x:c>
      <x:c r="D259" s="56" t="n">
        <x:v>12.4</x:v>
      </x:c>
      <x:c r="E259" s="48" t="str">
        <x:v>是</x:v>
      </x:c>
      <x:c r="F259" s="48" t="str">
        <x:v>2026-08-13 01:48:00</x:v>
      </x:c>
      <x:c r="G259" s="48" t="str">
        <x:v>笋岗东路1001号</x:v>
      </x:c>
    </x:row>
    <x:row r="260">
      <x:c r="A260" s="48" t="str">
        <x:v>名都大厦A座</x:v>
      </x:c>
      <x:c r="B260" s="48" t="str">
        <x:v>晒布</x:v>
      </x:c>
      <x:c r="C260" s="56" t="n">
        <x:v>1105</x:v>
      </x:c>
      <x:c r="D260" s="56" t="n">
        <x:v>14.7</x:v>
      </x:c>
      <x:c r="E260" s="48" t="str">
        <x:v>是</x:v>
      </x:c>
      <x:c r="F260" s="48" t="str">
        <x:v>2026-08-13 01:48:01</x:v>
      </x:c>
      <x:c r="G260" s="48" t="str">
        <x:v>文锦中路2019号名都大厦</x:v>
      </x:c>
    </x:row>
    <x:row r="261">
      <x:c r="A261" s="48" t="str">
        <x:v>名都大厦A座</x:v>
      </x:c>
      <x:c r="B261" s="48" t="str">
        <x:v>黄贝岭</x:v>
      </x:c>
      <x:c r="C261" s="56" t="n">
        <x:v>1201</x:v>
      </x:c>
      <x:c r="D261" s="56" t="n">
        <x:v>16</x:v>
      </x:c>
      <x:c r="E261" s="48" t="str"/>
      <x:c r="F261" s="48" t="str">
        <x:v>2026-08-13 01:48:01</x:v>
      </x:c>
      <x:c r="G261" s="48" t="str">
        <x:v>文锦中路2019号名都大厦</x:v>
      </x:c>
    </x:row>
    <x:row r="262">
      <x:c r="A262" s="48" t="str">
        <x:v>名都大厦A座</x:v>
      </x:c>
      <x:c r="B262" s="48" t="str">
        <x:v>湖贝</x:v>
      </x:c>
      <x:c r="C262" s="56" t="n">
        <x:v>1202</x:v>
      </x:c>
      <x:c r="D262" s="56" t="n">
        <x:v>16</x:v>
      </x:c>
      <x:c r="E262" s="48" t="str"/>
      <x:c r="F262" s="48" t="str">
        <x:v>2026-08-13 01:48:01</x:v>
      </x:c>
      <x:c r="G262" s="48" t="str">
        <x:v>文锦中路2019号名都大厦</x:v>
      </x:c>
    </x:row>
    <x:row r="263">
      <x:c r="A263" s="48" t="str">
        <x:v>怡泰大厦B座</x:v>
      </x:c>
      <x:c r="B263" s="48" t="str">
        <x:v>晒布</x:v>
      </x:c>
      <x:c r="C263" s="56" t="n">
        <x:v>939</x:v>
      </x:c>
      <x:c r="D263" s="56" t="n">
        <x:v>12.5</x:v>
      </x:c>
      <x:c r="E263" s="48" t="str">
        <x:v>是</x:v>
      </x:c>
      <x:c r="F263" s="48" t="str">
        <x:v>2026-08-13 01:48:02</x:v>
      </x:c>
      <x:c r="G263" s="48" t="str">
        <x:v>文锦中路2092号(翠竹地铁站D口步行300米)</x:v>
      </x:c>
    </x:row>
    <x:row r="264">
      <x:c r="A264" s="48" t="str">
        <x:v>蓝馨苑</x:v>
      </x:c>
      <x:c r="B264" s="48" t="str">
        <x:v>晒布</x:v>
      </x:c>
      <x:c r="C264" s="56" t="n">
        <x:v>1262</x:v>
      </x:c>
      <x:c r="D264" s="56" t="n">
        <x:v>16.8</x:v>
      </x:c>
      <x:c r="E264" s="48" t="str">
        <x:v>是</x:v>
      </x:c>
      <x:c r="F264" s="48" t="str">
        <x:v>2026-08-13 01:48:04</x:v>
      </x:c>
      <x:c r="G264" s="48" t="str">
        <x:v>文锦中路2010号</x:v>
      </x:c>
    </x:row>
    <x:row r="265">
      <x:c r="A265" s="48" t="str">
        <x:v>蓝馨苑</x:v>
      </x:c>
      <x:c r="B265" s="48" t="str">
        <x:v>黄贝岭</x:v>
      </x:c>
      <x:c r="C265" s="56" t="n">
        <x:v>1325</x:v>
      </x:c>
      <x:c r="D265" s="56" t="n">
        <x:v>17.7</x:v>
      </x:c>
      <x:c r="E265" s="48" t="str"/>
      <x:c r="F265" s="48" t="str">
        <x:v>2026-08-13 01:48:04</x:v>
      </x:c>
      <x:c r="G265" s="48" t="str">
        <x:v>文锦中路2010号</x:v>
      </x:c>
    </x:row>
    <x:row r="266">
      <x:c r="A266" s="48" t="str">
        <x:v>蓝馨苑</x:v>
      </x:c>
      <x:c r="B266" s="48" t="str">
        <x:v>湖贝</x:v>
      </x:c>
      <x:c r="C266" s="56" t="n">
        <x:v>1414</x:v>
      </x:c>
      <x:c r="D266" s="56" t="n">
        <x:v>18.9</x:v>
      </x:c>
      <x:c r="E266" s="48" t="str"/>
      <x:c r="F266" s="48" t="str">
        <x:v>2026-08-13 01:48:04</x:v>
      </x:c>
      <x:c r="G266" s="48" t="str">
        <x:v>文锦中路2010号</x:v>
      </x:c>
    </x:row>
    <x:row r="267">
      <x:c r="A267" s="48" t="str">
        <x:v>碧湖花园</x:v>
      </x:c>
      <x:c r="B267" s="48" t="str">
        <x:v>晒布</x:v>
      </x:c>
      <x:c r="C267" s="56" t="n">
        <x:v>1253</x:v>
      </x:c>
      <x:c r="D267" s="56" t="n">
        <x:v>16.7</x:v>
      </x:c>
      <x:c r="E267" s="48" t="str">
        <x:v>是</x:v>
      </x:c>
      <x:c r="F267" s="48" t="str">
        <x:v>2026-08-13 01:48:05</x:v>
      </x:c>
      <x:c r="G267" s="48" t="str">
        <x:v>洪湖路20号</x:v>
      </x:c>
    </x:row>
    <x:row r="268">
      <x:c r="A268" s="48" t="str">
        <x:v>雅馨居</x:v>
      </x:c>
      <x:c r="B268" s="48" t="str">
        <x:v>红岭</x:v>
      </x:c>
      <x:c r="C268" s="56" t="n">
        <x:v>964</x:v>
      </x:c>
      <x:c r="D268" s="56" t="n">
        <x:v>12.9</x:v>
      </x:c>
      <x:c r="E268" s="48" t="str">
        <x:v>是</x:v>
      </x:c>
      <x:c r="F268" s="48" t="str">
        <x:v>2026-08-13 01:48:33</x:v>
      </x:c>
      <x:c r="G268" s="48" t="str">
        <x:v>桂园北路2号</x:v>
      </x:c>
    </x:row>
    <x:row r="269">
      <x:c r="A269" s="48" t="str">
        <x:v>雅馨居</x:v>
      </x:c>
      <x:c r="B269" s="48" t="str">
        <x:v>老街</x:v>
      </x:c>
      <x:c r="C269" s="56" t="n">
        <x:v>1066</x:v>
      </x:c>
      <x:c r="D269" s="56" t="n">
        <x:v>14.2</x:v>
      </x:c>
      <x:c r="E269" s="48" t="str"/>
      <x:c r="F269" s="48" t="str">
        <x:v>2026-08-13 01:48:33</x:v>
      </x:c>
      <x:c r="G269" s="48" t="str">
        <x:v>桂园北路2号</x:v>
      </x:c>
    </x:row>
    <x:row r="270">
      <x:c r="A270" s="48" t="str">
        <x:v>雅馨居</x:v>
      </x:c>
      <x:c r="B270" s="48" t="str">
        <x:v>大剧院</x:v>
      </x:c>
      <x:c r="C270" s="56" t="n">
        <x:v>1165</x:v>
      </x:c>
      <x:c r="D270" s="56" t="n">
        <x:v>15.5</x:v>
      </x:c>
      <x:c r="E270" s="48" t="str"/>
      <x:c r="F270" s="48" t="str">
        <x:v>2026-08-13 01:48:33</x:v>
      </x:c>
      <x:c r="G270" s="48" t="str">
        <x:v>桂园北路2号</x:v>
      </x:c>
    </x:row>
    <x:row r="271">
      <x:c r="A271" s="48" t="str">
        <x:v>双城世纪大厦</x:v>
      </x:c>
      <x:c r="B271" s="48" t="str">
        <x:v>罗湖</x:v>
      </x:c>
      <x:c r="C271" s="56" t="n">
        <x:v>484</x:v>
      </x:c>
      <x:c r="D271" s="56" t="n">
        <x:v>6.5</x:v>
      </x:c>
      <x:c r="E271" s="48" t="str">
        <x:v>是</x:v>
      </x:c>
      <x:c r="F271" s="48" t="str">
        <x:v>2026-08-13 01:48:34</x:v>
      </x:c>
      <x:c r="G271" s="48" t="str">
        <x:v>沿河南路1021号(罗湖地铁站出入口步行440米)</x:v>
      </x:c>
    </x:row>
    <x:row r="272">
      <x:c r="A272" s="48" t="str">
        <x:v>双城世纪大厦</x:v>
      </x:c>
      <x:c r="B272" s="48" t="str">
        <x:v>国贸</x:v>
      </x:c>
      <x:c r="C272" s="56" t="n">
        <x:v>1014</x:v>
      </x:c>
      <x:c r="D272" s="56" t="n">
        <x:v>13.5</x:v>
      </x:c>
      <x:c r="E272" s="48" t="str"/>
      <x:c r="F272" s="48" t="str">
        <x:v>2026-08-13 01:48:34</x:v>
      </x:c>
      <x:c r="G272" s="48" t="str">
        <x:v>沿河南路1021号(罗湖地铁站出入口步行440米)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41b0ed03a3a41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12" hidden="0" customWidth="1"/>
    <x:col min="5" max="5" width="12" hidden="0" customWidth="1"/>
    <x:col min="6" max="6" width="22" hidden="0" customWidth="1"/>
    <x:col min="7" max="7" width="24" hidden="0" customWidth="1"/>
    <x:col min="8" max="8" width="24" hidden="0" customWidth="1"/>
    <x:col min="9" max="9" width="14" hidden="0" customWidth="1"/>
    <x:col min="10" max="10" width="18" hidden="0" customWidth="1"/>
    <x:col min="11" max="11" width="10" hidden="0" customWidth="1"/>
    <x:col min="12" max="12" width="10" hidden="0" customWidth="1"/>
    <x:col min="13" max="13" width="10" hidden="0" customWidth="1"/>
    <x:col min="14" max="14" width="9" hidden="0" customWidth="1"/>
    <x:col min="15" max="15" width="32" hidden="0" customWidth="1"/>
    <x:col min="16" max="16" width="48" hidden="0" customWidth="1"/>
    <x:col min="17" max="17" width="48" hidden="0" customWidth="1"/>
  </x:cols>
  <x:sheetData>
    <x:row r="1" ht="30" customHeight="1">
      <x:c r="A1" s="60" t="str">
        <x:v>小区档案与安全线索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 ht="32" customHeight="1">
      <x:c r="A2" s="51" t="str">
        <x:v>档案来自乐有家 communitySearch；空值表示接口未返回。开放式/商住混合会降低安全基础分，但最终仍需夜间实地验证门禁、楼道、电梯分流和周边照明。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A4" s="54" t="str">
        <x:v>小区</x:v>
      </x:c>
      <x:c r="B4" s="54" t="str">
        <x:v>接口匹配名</x:v>
      </x:c>
      <x:c r="C4" s="54" t="str">
        <x:v>地址</x:v>
      </x:c>
      <x:c r="D4" s="54" t="str">
        <x:v>建成年代</x:v>
      </x:c>
      <x:c r="E4" s="54" t="str">
        <x:v>封闭管理</x:v>
      </x:c>
      <x:c r="F4" s="54" t="str">
        <x:v>物业用途</x:v>
      </x:c>
      <x:c r="G4" s="54" t="str">
        <x:v>开发商</x:v>
      </x:c>
      <x:c r="H4" s="54" t="str">
        <x:v>物业公司</x:v>
      </x:c>
      <x:c r="I4" s="54" t="str">
        <x:v>物业费</x:v>
      </x:c>
      <x:c r="J4" s="54" t="str">
        <x:v>停车费</x:v>
      </x:c>
      <x:c r="K4" s="54" t="str">
        <x:v>绿化率%</x:v>
      </x:c>
      <x:c r="L4" s="54" t="str">
        <x:v>容积率</x:v>
      </x:c>
      <x:c r="M4" s="54" t="str">
        <x:v>停车位</x:v>
      </x:c>
      <x:c r="N4" s="54" t="str">
        <x:v>楼栋数</x:v>
      </x:c>
      <x:c r="O4" s="54" t="str">
        <x:v>学校</x:v>
      </x:c>
      <x:c r="P4" s="54" t="str">
        <x:v>小区详情链接</x:v>
      </x:c>
      <x:c r="Q4" s="54" t="str">
        <x:v>小区图片</x:v>
      </x:c>
    </x:row>
    <x:row r="5">
      <x:c r="A5" s="48" t="str">
        <x:v>南海中心</x:v>
      </x:c>
      <x:c r="B5" s="48" t="str">
        <x:v>南海中心</x:v>
      </x:c>
      <x:c r="C5" s="48" t="str">
        <x:v>罗湖东门中路2073号</x:v>
      </x:c>
      <x:c r="D5" s="48" t="str">
        <x:v>1995-01-11</x:v>
      </x:c>
      <x:c r="E5" s="48" t="str">
        <x:v>全开放式</x:v>
      </x:c>
      <x:c r="F5" s="48" t="str">
        <x:v>住宅、商铺、车位</x:v>
      </x:c>
      <x:c r="G5" s="48" t="str">
        <x:v>深圳熊谷发展有限公司</x:v>
      </x:c>
      <x:c r="H5" s="48" t="str">
        <x:v>香港建设有限公司</x:v>
      </x:c>
      <x:c r="I5" s="48" t="str">
        <x:v>3.5-3.5元/㎡</x:v>
      </x:c>
      <x:c r="J5" s="48" t="str">
        <x:v>地下:450.0</x:v>
      </x:c>
      <x:c r="K5" s="48" t="n">
        <x:v>30</x:v>
      </x:c>
      <x:c r="L5" s="48" t="n">
        <x:v>5</x:v>
      </x:c>
      <x:c r="M5" s="48" t="n">
        <x:v>218</x:v>
      </x:c>
      <x:c r="N5" s="48" t="n">
        <x:v>2</x:v>
      </x:c>
      <x:c r="O5" s="48" t="str">
        <x:v>深圳市罗湖中学、人民小学</x:v>
      </x:c>
      <x:c r="P5" s="48" t="str">
        <x:v>https://shenzhen.leyoujia.com/xq/detail/1686.html</x:v>
      </x:c>
      <x:c r="Q5" s="48" t="str">
        <x:v>https://fang-community.leyoujia.com//pic/hsl/2018-10/19/f4d8c5da-eaeb-466a-a0d9-daf31a7a6dd1.JPG</x:v>
      </x:c>
    </x:row>
    <x:row r="6">
      <x:c r="A6" s="48" t="str">
        <x:v>南华大厦</x:v>
      </x:c>
      <x:c r="B6" s="48" t="str">
        <x:v>南华大厦</x:v>
      </x:c>
      <x:c r="C6" s="48" t="str">
        <x:v>南极路19号</x:v>
      </x:c>
      <x:c r="D6" s="48" t="str">
        <x:v>1987-12-09</x:v>
      </x:c>
      <x:c r="E6" s="48" t="str">
        <x:v>待核</x:v>
      </x:c>
      <x:c r="F6" s="48" t="str">
        <x:v>住宅</x:v>
      </x:c>
      <x:c r="G6" s="48" t="str"/>
      <x:c r="H6" s="48" t="str"/>
      <x:c r="I6" s="48" t="str">
        <x:v>元/㎡</x:v>
      </x:c>
      <x:c r="J6" s="48" t="str"/>
      <x:c r="K6" s="48" t="n">
        <x:v>0</x:v>
      </x:c>
      <x:c r="L6" s="48" t="n">
        <x:v>0</x:v>
      </x:c>
      <x:c r="M6" s="48" t="n">
        <x:v>0</x:v>
      </x:c>
      <x:c r="N6" s="48"/>
      <x:c r="O6" s="48" t="str">
        <x:v>向西小学、深圳市罗湖中学</x:v>
      </x:c>
      <x:c r="P6" s="48" t="str">
        <x:v>https://shenzhen.leyoujia.com/xq/detail/847666.html</x:v>
      </x:c>
      <x:c r="Q6" s="48" t="str"/>
    </x:row>
    <x:row r="7">
      <x:c r="A7" s="48" t="str">
        <x:v>华隆园</x:v>
      </x:c>
      <x:c r="B7" s="48" t="str">
        <x:v>华隆园</x:v>
      </x:c>
      <x:c r="C7" s="48" t="str">
        <x:v>中兴路与乐园街交汇处翠园街27号</x:v>
      </x:c>
      <x:c r="D7" s="48" t="str">
        <x:v>2003-12-08</x:v>
      </x:c>
      <x:c r="E7" s="48" t="str">
        <x:v>全开放式</x:v>
      </x:c>
      <x:c r="F7" s="48" t="str">
        <x:v>住宅、商铺</x:v>
      </x:c>
      <x:c r="G7" s="48" t="str">
        <x:v>深圳厦飞龙置业发展有限公司</x:v>
      </x:c>
      <x:c r="H7" s="48" t="str">
        <x:v>深圳市志诚物业管理有限公司</x:v>
      </x:c>
      <x:c r="I7" s="48" t="str">
        <x:v>3.2-3.2元/㎡</x:v>
      </x:c>
      <x:c r="J7" s="48" t="str">
        <x:v>地上:450.0 地下:450.0</x:v>
      </x:c>
      <x:c r="K7" s="48" t="n">
        <x:v>30</x:v>
      </x:c>
      <x:c r="L7" s="48" t="n">
        <x:v>1.8</x:v>
      </x:c>
      <x:c r="M7" s="48" t="n">
        <x:v>200</x:v>
      </x:c>
      <x:c r="N7" s="48" t="n">
        <x:v>3</x:v>
      </x:c>
      <x:c r="O7" s="48" t="str">
        <x:v>螺岭外国语实验学校小学部、深圳市罗湖中学</x:v>
      </x:c>
      <x:c r="P7" s="48" t="str">
        <x:v>https://shenzhen.leyoujia.com/xq/detail/9134.html</x:v>
      </x:c>
      <x:c r="Q7" s="48" t="str">
        <x:v>https://fang-community.leyoujia.com//pic/hsl/2018-10/17/a75ae717-a188-4c26-9365-e29965acd845.JPG</x:v>
      </x:c>
    </x:row>
    <x:row r="8">
      <x:c r="A8" s="48" t="str">
        <x:v>友谊大厦</x:v>
      </x:c>
      <x:c r="B8" s="48" t="str">
        <x:v>友谊大厦</x:v>
      </x:c>
      <x:c r="C8" s="48" t="str">
        <x:v>罗湖区人民南路</x:v>
      </x:c>
      <x:c r="D8" s="48" t="str">
        <x:v>1983-10-31</x:v>
      </x:c>
      <x:c r="E8" s="48" t="str">
        <x:v>半开放式</x:v>
      </x:c>
      <x:c r="F8" s="48" t="str">
        <x:v>住宅、写字楼、商铺、车位</x:v>
      </x:c>
      <x:c r="G8" s="48" t="str">
        <x:v>深房集团</x:v>
      </x:c>
      <x:c r="H8" s="48" t="str">
        <x:v>深房物业管理有限公司</x:v>
      </x:c>
      <x:c r="I8" s="48" t="str">
        <x:v>3.4-3.4元/㎡</x:v>
      </x:c>
      <x:c r="J8" s="48" t="str">
        <x:v>地上:450.0</x:v>
      </x:c>
      <x:c r="K8" s="48" t="n">
        <x:v>60</x:v>
      </x:c>
      <x:c r="L8" s="48" t="n">
        <x:v>4.7</x:v>
      </x:c>
      <x:c r="M8" s="48" t="n">
        <x:v>200</x:v>
      </x:c>
      <x:c r="N8" s="48" t="n">
        <x:v>7</x:v>
      </x:c>
      <x:c r="O8" s="48" t="str">
        <x:v>深圳市罗湖小学、深圳市罗湖中学</x:v>
      </x:c>
      <x:c r="P8" s="48" t="str">
        <x:v>https://shenzhen.leyoujia.com/xq/detail/11220.html</x:v>
      </x:c>
      <x:c r="Q8" s="48" t="str">
        <x:v>https://fang-community.leyoujia.com//pic/hsl/2018-10/23/e8cd5dc5-2097-4dab-9d9d-61b6ad29a814.JPG</x:v>
      </x:c>
    </x:row>
    <x:row r="9">
      <x:c r="A9" s="48" t="str">
        <x:v>能源宿舍</x:v>
      </x:c>
      <x:c r="B9" s="48" t="str">
        <x:v>能源宿舍</x:v>
      </x:c>
      <x:c r="C9" s="48" t="str">
        <x:v>红岭中路，美荔园旁边</x:v>
      </x:c>
      <x:c r="D9" s="48" t="str">
        <x:v>1990-10-31</x:v>
      </x:c>
      <x:c r="E9" s="48" t="str">
        <x:v>待核</x:v>
      </x:c>
      <x:c r="F9" s="48" t="str">
        <x:v>住宅</x:v>
      </x:c>
      <x:c r="G9" s="48" t="str"/>
      <x:c r="H9" s="48" t="str"/>
      <x:c r="I9" s="48" t="str">
        <x:v>元/㎡</x:v>
      </x:c>
      <x:c r="J9" s="48" t="str"/>
      <x:c r="K9" s="48" t="n">
        <x:v>0</x:v>
      </x:c>
      <x:c r="L9" s="48" t="n">
        <x:v>0</x:v>
      </x:c>
      <x:c r="M9" s="48" t="n">
        <x:v>0</x:v>
      </x:c>
      <x:c r="N9" s="48"/>
      <x:c r="O9" s="48" t="str">
        <x:v>桂园小学、红桂中学</x:v>
      </x:c>
      <x:c r="P9" s="48" t="str">
        <x:v>https://shenzhen.leyoujia.com/xq/detail/850585.html</x:v>
      </x:c>
      <x:c r="Q9" s="48" t="str"/>
    </x:row>
    <x:row r="10">
      <x:c r="A10" s="48" t="str">
        <x:v>红桂二街2号大院</x:v>
      </x:c>
      <x:c r="B10" s="48" t="str">
        <x:v>红桂二街2号大院</x:v>
      </x:c>
      <x:c r="C10" s="48" t="str">
        <x:v>红桂路二街与红桂路交叉空东南60米</x:v>
      </x:c>
      <x:c r="D10" s="48" t="str"/>
      <x:c r="E10" s="48" t="str">
        <x:v>待核</x:v>
      </x:c>
      <x:c r="F10" s="48" t="str">
        <x:v>住宅</x:v>
      </x:c>
      <x:c r="G10" s="48" t="str"/>
      <x:c r="H10" s="48" t="str"/>
      <x:c r="I10" s="48" t="str">
        <x:v>元/㎡</x:v>
      </x:c>
      <x:c r="J10" s="48" t="str"/>
      <x:c r="K10" s="48" t="n">
        <x:v>0</x:v>
      </x:c>
      <x:c r="L10" s="48" t="n">
        <x:v>0</x:v>
      </x:c>
      <x:c r="M10" s="48" t="n">
        <x:v>0</x:v>
      </x:c>
      <x:c r="N10" s="48"/>
      <x:c r="O10" s="48" t="str">
        <x:v>桂园小学、红桂中学</x:v>
      </x:c>
      <x:c r="P10" s="48" t="str">
        <x:v>https://shenzhen.leyoujia.com/xq/detail/892637.html</x:v>
      </x:c>
      <x:c r="Q10" s="48" t="str"/>
    </x:row>
    <x:row r="11">
      <x:c r="A11" s="48" t="str">
        <x:v>园岭新村一区</x:v>
      </x:c>
      <x:c r="B11" s="48" t="str">
        <x:v>未命中</x:v>
      </x:c>
      <x:c r="C11" s="48" t="str"/>
      <x:c r="D11" s="48" t="str"/>
      <x:c r="E11" s="48" t="str">
        <x:v>待核</x:v>
      </x:c>
      <x:c r="F11" s="48" t="str">
        <x:v>待核</x:v>
      </x:c>
      <x:c r="G11" s="48" t="str"/>
      <x:c r="H11" s="48" t="str"/>
      <x:c r="I11" s="48" t="str"/>
      <x:c r="J11" s="48" t="str"/>
      <x:c r="K11" s="48"/>
      <x:c r="L11" s="48"/>
      <x:c r="M11" s="48"/>
      <x:c r="N11" s="48"/>
      <x:c r="O11" s="48" t="str"/>
      <x:c r="P11" s="48" t="str"/>
      <x:c r="Q11" s="48" t="str"/>
    </x:row>
    <x:row r="12">
      <x:c r="A12" s="48" t="str">
        <x:v>松园小区</x:v>
      </x:c>
      <x:c r="B12" s="48" t="str">
        <x:v>松园小区</x:v>
      </x:c>
      <x:c r="C12" s="48" t="str">
        <x:v>松园南街16号</x:v>
      </x:c>
      <x:c r="D12" s="48" t="str"/>
      <x:c r="E12" s="48" t="str">
        <x:v>待核</x:v>
      </x:c>
      <x:c r="F12" s="48" t="str">
        <x:v>住宅</x:v>
      </x:c>
      <x:c r="G12" s="48" t="str"/>
      <x:c r="H12" s="48" t="str"/>
      <x:c r="I12" s="48" t="str">
        <x:v>0.8-0.8元/㎡</x:v>
      </x:c>
      <x:c r="J12" s="48" t="str"/>
      <x:c r="K12" s="48" t="n">
        <x:v>10</x:v>
      </x:c>
      <x:c r="L12" s="48" t="n">
        <x:v>1.85</x:v>
      </x:c>
      <x:c r="M12" s="48" t="n">
        <x:v>0</x:v>
      </x:c>
      <x:c r="N12" s="48" t="n">
        <x:v>3</x:v>
      </x:c>
      <x:c r="O12" s="48" t="str">
        <x:v>桂园中学、红岭小学</x:v>
      </x:c>
      <x:c r="P12" s="48" t="str">
        <x:v>https://shenzhen.leyoujia.com/xq/detail/798763.html</x:v>
      </x:c>
      <x:c r="Q12" s="48" t="str"/>
    </x:row>
    <x:row r="13">
      <x:c r="A13" s="48" t="str">
        <x:v>红桂皇冠名庭</x:v>
      </x:c>
      <x:c r="B13" s="48" t="str">
        <x:v>红桂皇冠</x:v>
      </x:c>
      <x:c r="C13" s="48" t="str">
        <x:v>罗湖罗湖红桂路与宝安南路的交汇处</x:v>
      </x:c>
      <x:c r="D13" s="48" t="str">
        <x:v>2007-08-14</x:v>
      </x:c>
      <x:c r="E13" s="48" t="str">
        <x:v>半开放式</x:v>
      </x:c>
      <x:c r="F13" s="48" t="str">
        <x:v>住宅、写字楼、商铺</x:v>
      </x:c>
      <x:c r="G13" s="48" t="str">
        <x:v>深联实业（深圳）有限公司</x:v>
      </x:c>
      <x:c r="H13" s="48" t="str">
        <x:v>深圳市彩生活物业管理有限公司</x:v>
      </x:c>
      <x:c r="I13" s="48" t="str">
        <x:v>2.8-2.8元/㎡</x:v>
      </x:c>
      <x:c r="J13" s="48" t="str">
        <x:v>地上:250.0</x:v>
      </x:c>
      <x:c r="K13" s="48" t="n">
        <x:v>35</x:v>
      </x:c>
      <x:c r="L13" s="48" t="n">
        <x:v>8.9</x:v>
      </x:c>
      <x:c r="M13" s="48" t="n">
        <x:v>50</x:v>
      </x:c>
      <x:c r="N13" s="48" t="n">
        <x:v>1</x:v>
      </x:c>
      <x:c r="O13" s="48" t="str">
        <x:v>红桂中学、桂园小学</x:v>
      </x:c>
      <x:c r="P13" s="48" t="str">
        <x:v>https://shenzhen.leyoujia.com/xq/detail/1085.html</x:v>
      </x:c>
      <x:c r="Q13" s="48" t="str">
        <x:v>https://fang-community.leyoujia.com//pic/hsl/2018-10/10/c357a96c-d241-46d6-abce-d5f5e5f146c4.jpg</x:v>
      </x:c>
    </x:row>
    <x:row r="14">
      <x:c r="A14" s="48" t="str">
        <x:v>一品东门雅园</x:v>
      </x:c>
      <x:c r="B14" s="48" t="str">
        <x:v>一品东门雅园</x:v>
      </x:c>
      <x:c r="C14" s="48" t="str">
        <x:v>罗湖中兴路与乐园路交汇处</x:v>
      </x:c>
      <x:c r="D14" s="48" t="str">
        <x:v>2005-06-08</x:v>
      </x:c>
      <x:c r="E14" s="48" t="str">
        <x:v>半开放式</x:v>
      </x:c>
      <x:c r="F14" s="48" t="str">
        <x:v>住宅、商铺</x:v>
      </x:c>
      <x:c r="G14" s="48" t="str">
        <x:v>深圳市邦安实业有限公司</x:v>
      </x:c>
      <x:c r="H14" s="48" t="str">
        <x:v>深圳市之平物业管理有限公司</x:v>
      </x:c>
      <x:c r="I14" s="48" t="str">
        <x:v>3.2-3.2元/㎡</x:v>
      </x:c>
      <x:c r="J14" s="48" t="str">
        <x:v>地上:450.0 地下:450.0</x:v>
      </x:c>
      <x:c r="K14" s="48" t="n">
        <x:v>50</x:v>
      </x:c>
      <x:c r="L14" s="48" t="n">
        <x:v>7.67</x:v>
      </x:c>
      <x:c r="M14" s="48" t="n">
        <x:v>300</x:v>
      </x:c>
      <x:c r="N14" s="48" t="n">
        <x:v>2</x:v>
      </x:c>
      <x:c r="O14" s="48" t="str">
        <x:v>螺岭外国语实验学校小学部、深圳市罗湖中学</x:v>
      </x:c>
      <x:c r="P14" s="48" t="str">
        <x:v>https://shenzhen.leyoujia.com/xq/detail/829.html</x:v>
      </x:c>
      <x:c r="Q14" s="48" t="str">
        <x:v>https://fang-community.leyoujia.com//community/album/2019-06/10/10/baa4af57-c48b-4616-a534-7af252145cc0.jpg</x:v>
      </x:c>
    </x:row>
    <x:row r="15">
      <x:c r="A15" s="48" t="str">
        <x:v>立新花园(人民北路)</x:v>
      </x:c>
      <x:c r="B15" s="48" t="str">
        <x:v>未命中</x:v>
      </x:c>
      <x:c r="C15" s="48" t="str"/>
      <x:c r="D15" s="48" t="str"/>
      <x:c r="E15" s="48" t="str">
        <x:v>待核</x:v>
      </x:c>
      <x:c r="F15" s="48" t="str">
        <x:v>待核</x:v>
      </x:c>
      <x:c r="G15" s="48" t="str"/>
      <x:c r="H15" s="48" t="str"/>
      <x:c r="I15" s="48" t="str"/>
      <x:c r="J15" s="48" t="str"/>
      <x:c r="K15" s="48"/>
      <x:c r="L15" s="48"/>
      <x:c r="M15" s="48"/>
      <x:c r="N15" s="48"/>
      <x:c r="O15" s="48" t="str"/>
      <x:c r="P15" s="48" t="str"/>
      <x:c r="Q15" s="48" t="str"/>
    </x:row>
    <x:row r="16">
      <x:c r="A16" s="48" t="str">
        <x:v>集浩大厦</x:v>
      </x:c>
      <x:c r="B16" s="48" t="str">
        <x:v>集浩大厦</x:v>
      </x:c>
      <x:c r="C16" s="48" t="str">
        <x:v>罗湖深圳市深南东路1086号</x:v>
      </x:c>
      <x:c r="D16" s="48" t="str">
        <x:v>1996-01-24</x:v>
      </x:c>
      <x:c r="E16" s="48" t="str">
        <x:v>半开放式</x:v>
      </x:c>
      <x:c r="F16" s="48" t="str">
        <x:v>住宅、写字楼、商铺</x:v>
      </x:c>
      <x:c r="G16" s="48" t="str">
        <x:v>集浩房地产开发（深圳）有限公司</x:v>
      </x:c>
      <x:c r="H16" s="48" t="str">
        <x:v>集浩物业管理（深圳）有限公司</x:v>
      </x:c>
      <x:c r="I16" s="48" t="str">
        <x:v>3.5-3.5元/㎡</x:v>
      </x:c>
      <x:c r="J16" s="48" t="str">
        <x:v>地上:300.0</x:v>
      </x:c>
      <x:c r="K16" s="48" t="n">
        <x:v>35</x:v>
      </x:c>
      <x:c r="L16" s="48" t="n">
        <x:v>2.8</x:v>
      </x:c>
      <x:c r="M16" s="48" t="n">
        <x:v>612</x:v>
      </x:c>
      <x:c r="N16" s="48" t="n">
        <x:v>3</x:v>
      </x:c>
      <x:c r="O16" s="48" t="str">
        <x:v>靖轩小学、文锦中学、翠园实验学校</x:v>
      </x:c>
      <x:c r="P16" s="48" t="str">
        <x:v>https://shenzhen.leyoujia.com/xq/detail/3006.html</x:v>
      </x:c>
      <x:c r="Q16" s="48" t="str">
        <x:v>https://fang-community.leyoujia.com//pic/hsl/2018-09/14/678ebbbe-6d6b-4576-a29b-ef7b5f853a12.jpg</x:v>
      </x:c>
    </x:row>
    <x:row r="17">
      <x:c r="A17" s="48" t="str">
        <x:v>中航凯特公寓</x:v>
      </x:c>
      <x:c r="B17" s="48" t="str">
        <x:v>中航凯特公寓</x:v>
      </x:c>
      <x:c r="C17" s="48" t="str">
        <x:v>罗湖罗湖红桂路与宝安南路交汇处（地王北侧）</x:v>
      </x:c>
      <x:c r="D17" s="48" t="str">
        <x:v>2008-07-08</x:v>
      </x:c>
      <x:c r="E17" s="48" t="str">
        <x:v>半开放式</x:v>
      </x:c>
      <x:c r="F17" s="48" t="str">
        <x:v>住宅、写字楼、商铺</x:v>
      </x:c>
      <x:c r="G17" s="48" t="str">
        <x:v>深圳中航地产公司</x:v>
      </x:c>
      <x:c r="H17" s="48" t="str">
        <x:v>中航物业管理有限公司</x:v>
      </x:c>
      <x:c r="I17" s="48" t="str">
        <x:v>3.6-3.6元/㎡</x:v>
      </x:c>
      <x:c r="J17" s="48" t="str">
        <x:v>地上:250.0</x:v>
      </x:c>
      <x:c r="K17" s="48" t="n">
        <x:v>10</x:v>
      </x:c>
      <x:c r="L17" s="48" t="n">
        <x:v>7.9</x:v>
      </x:c>
      <x:c r="M17" s="48" t="n">
        <x:v>50</x:v>
      </x:c>
      <x:c r="N17" s="48" t="n">
        <x:v>1</x:v>
      </x:c>
      <x:c r="O17" s="48" t="str">
        <x:v>红岭小学、桂园中学</x:v>
      </x:c>
      <x:c r="P17" s="48" t="str">
        <x:v>https://shenzhen.leyoujia.com/xq/detail/2959.html</x:v>
      </x:c>
      <x:c r="Q17" s="48" t="str">
        <x:v>https://fang-community.leyoujia.com//pic/hsl/2019-01/03/c62cdf3d-6e1e-40ec-b595-6b97e8f9fe30.JPG</x:v>
      </x:c>
    </x:row>
    <x:row r="18">
      <x:c r="A18" s="48" t="str">
        <x:v>园林宿舍</x:v>
      </x:c>
      <x:c r="B18" s="48" t="str">
        <x:v>园林宿舍</x:v>
      </x:c>
      <x:c r="C18" s="48" t="str">
        <x:v>童乐路24号</x:v>
      </x:c>
      <x:c r="D18" s="48" t="str">
        <x:v>1989-08-12</x:v>
      </x:c>
      <x:c r="E18" s="48" t="str">
        <x:v>待核</x:v>
      </x:c>
      <x:c r="F18" s="48" t="str">
        <x:v>住宅</x:v>
      </x:c>
      <x:c r="G18" s="48" t="str"/>
      <x:c r="H18" s="48" t="str">
        <x:v>正阳投资有限公司</x:v>
      </x:c>
      <x:c r="I18" s="48" t="str">
        <x:v>1.1-1.1元/㎡</x:v>
      </x:c>
      <x:c r="J18" s="48" t="str"/>
      <x:c r="K18" s="48" t="n">
        <x:v>30</x:v>
      </x:c>
      <x:c r="L18" s="48" t="n">
        <x:v>1.3</x:v>
      </x:c>
      <x:c r="M18" s="48" t="n">
        <x:v>0</x:v>
      </x:c>
      <x:c r="N18" s="48" t="n">
        <x:v>5</x:v>
      </x:c>
      <x:c r="O18" s="48" t="str">
        <x:v>桂园中学、深圳市洪湖小学</x:v>
      </x:c>
      <x:c r="P18" s="48" t="str">
        <x:v>https://shenzhen.leyoujia.com/xq/detail/822418.html</x:v>
      </x:c>
      <x:c r="Q18" s="48" t="str"/>
    </x:row>
    <x:row r="19">
      <x:c r="A19" s="48" t="str">
        <x:v>海珑华苑</x:v>
      </x:c>
      <x:c r="B19" s="48" t="str">
        <x:v>海珑华苑</x:v>
      </x:c>
      <x:c r="C19" s="48" t="str">
        <x:v>罗湖罗湖文锦中路与凤凰路交汇处</x:v>
      </x:c>
      <x:c r="D19" s="48" t="str">
        <x:v>2000-02-27</x:v>
      </x:c>
      <x:c r="E19" s="48" t="str">
        <x:v>半开放式</x:v>
      </x:c>
      <x:c r="F19" s="48" t="str">
        <x:v>住宅、写字楼、商铺</x:v>
      </x:c>
      <x:c r="G19" s="48" t="str">
        <x:v>深圳市海龙王房地产开发有限公司</x:v>
      </x:c>
      <x:c r="H19" s="48" t="str">
        <x:v>深圳市万厦物业管理有限公司</x:v>
      </x:c>
      <x:c r="I19" s="48" t="str">
        <x:v>3.5-3.5元/㎡</x:v>
      </x:c>
      <x:c r="J19" s="48" t="str">
        <x:v>地下:250.0</x:v>
      </x:c>
      <x:c r="K19" s="48" t="n">
        <x:v>10</x:v>
      </x:c>
      <x:c r="L19" s="48" t="n">
        <x:v>10</x:v>
      </x:c>
      <x:c r="M19" s="48" t="n">
        <x:v>530</x:v>
      </x:c>
      <x:c r="N19" s="48" t="n">
        <x:v>4</x:v>
      </x:c>
      <x:c r="O19" s="48" t="str">
        <x:v>螺岭外国语实验学校小学部、文锦中学</x:v>
      </x:c>
      <x:c r="P19" s="48" t="str">
        <x:v>https://shenzhen.leyoujia.com/xq/detail/724.html</x:v>
      </x:c>
      <x:c r="Q19" s="48" t="str">
        <x:v>https://fang-community.leyoujia.com//pic/hsl/2018-09/14/12980569-001d-4c34-ba70-53d6a3bc92c8.jpg</x:v>
      </x:c>
    </x:row>
    <x:row r="20">
      <x:c r="A20" s="48" t="str">
        <x:v>长丰苑</x:v>
      </x:c>
      <x:c r="B20" s="48" t="str">
        <x:v>长丰苑</x:v>
      </x:c>
      <x:c r="C20" s="48" t="str">
        <x:v>罗湖罗湖区春风路2034号</x:v>
      </x:c>
      <x:c r="D20" s="48" t="str">
        <x:v>1999-12-29</x:v>
      </x:c>
      <x:c r="E20" s="48" t="str">
        <x:v>半开放式</x:v>
      </x:c>
      <x:c r="F20" s="48" t="str">
        <x:v>住宅、商铺</x:v>
      </x:c>
      <x:c r="G20" s="48" t="str">
        <x:v>长城物业集团股份有限公司</x:v>
      </x:c>
      <x:c r="H20" s="48" t="str">
        <x:v>长城物业集团股份有限公司</x:v>
      </x:c>
      <x:c r="I20" s="48" t="str">
        <x:v>3.4-3.8元/㎡</x:v>
      </x:c>
      <x:c r="J20" s="48" t="str">
        <x:v>地下:300.0</x:v>
      </x:c>
      <x:c r="K20" s="48" t="n">
        <x:v>35</x:v>
      </x:c>
      <x:c r="L20" s="48" t="n">
        <x:v>4.8</x:v>
      </x:c>
      <x:c r="M20" s="48" t="n">
        <x:v>300</x:v>
      </x:c>
      <x:c r="N20" s="48" t="n">
        <x:v>4</x:v>
      </x:c>
      <x:c r="O20" s="48" t="str">
        <x:v>向西小学、文锦中学</x:v>
      </x:c>
      <x:c r="P20" s="48" t="str">
        <x:v>https://shenzhen.leyoujia.com/xq/detail/1473.html</x:v>
      </x:c>
      <x:c r="Q20" s="48" t="str">
        <x:v>https://fang-community.leyoujia.com//pic/hsl/2018-10/16/c2a9cd2b-b90e-4f90-bb34-d4d6c6d430fb.JPG</x:v>
      </x:c>
    </x:row>
    <x:row r="21">
      <x:c r="A21" s="48" t="str">
        <x:v>钻石时代</x:v>
      </x:c>
      <x:c r="B21" s="48" t="str">
        <x:v>钻石时代</x:v>
      </x:c>
      <x:c r="C21" s="48" t="str">
        <x:v>罗湖春风路南侧(文锦中学对面)</x:v>
      </x:c>
      <x:c r="D21" s="48" t="str">
        <x:v>2008-01-28</x:v>
      </x:c>
      <x:c r="E21" s="48" t="str">
        <x:v>半开放式</x:v>
      </x:c>
      <x:c r="F21" s="48" t="str">
        <x:v>住宅</x:v>
      </x:c>
      <x:c r="G21" s="48" t="str">
        <x:v>深圳特发联城地产发展有限公司</x:v>
      </x:c>
      <x:c r="H21" s="48" t="str">
        <x:v>深圳市民安乐物业管理有限公司</x:v>
      </x:c>
      <x:c r="I21" s="48" t="str">
        <x:v>3.4-3.8元/㎡</x:v>
      </x:c>
      <x:c r="J21" s="48" t="str">
        <x:v>地上:200.0 地下:200.0</x:v>
      </x:c>
      <x:c r="K21" s="48" t="n">
        <x:v>1.9</x:v>
      </x:c>
      <x:c r="L21" s="48" t="n">
        <x:v>1.5</x:v>
      </x:c>
      <x:c r="M21" s="48" t="n">
        <x:v>312</x:v>
      </x:c>
      <x:c r="N21" s="48" t="n">
        <x:v>1</x:v>
      </x:c>
      <x:c r="O21" s="48" t="str">
        <x:v>向西小学、文锦中学</x:v>
      </x:c>
      <x:c r="P21" s="48" t="str">
        <x:v>https://shenzhen.leyoujia.com/xq/detail/3054.html</x:v>
      </x:c>
      <x:c r="Q21" s="48" t="str">
        <x:v>https://fang-community.leyoujia.com//pic/hsl/2018-10/16/226bf78f-f7e7-4b3b-bf4d-53733a051eb1.JPG</x:v>
      </x:c>
    </x:row>
    <x:row r="22">
      <x:c r="A22" s="48" t="str">
        <x:v>方海商苑</x:v>
      </x:c>
      <x:c r="B22" s="48" t="str">
        <x:v>方海商苑</x:v>
      </x:c>
      <x:c r="C22" s="48" t="str">
        <x:v>罗湖人民北路二横街</x:v>
      </x:c>
      <x:c r="D22" s="48" t="str">
        <x:v>1998-05-24</x:v>
      </x:c>
      <x:c r="E22" s="48" t="str">
        <x:v>待核</x:v>
      </x:c>
      <x:c r="F22" s="48" t="str">
        <x:v>住宅、商铺</x:v>
      </x:c>
      <x:c r="G22" s="48" t="str">
        <x:v>深圳市天地房地产开发有限公司</x:v>
      </x:c>
      <x:c r="H22" s="48" t="str">
        <x:v>深圳市天地物业管理公司</x:v>
      </x:c>
      <x:c r="I22" s="48" t="str">
        <x:v>2.0-2.0元/㎡</x:v>
      </x:c>
      <x:c r="J22" s="48" t="str"/>
      <x:c r="K22" s="48" t="n">
        <x:v>25</x:v>
      </x:c>
      <x:c r="L22" s="48" t="n">
        <x:v>1</x:v>
      </x:c>
      <x:c r="M22" s="48" t="n">
        <x:v>100</x:v>
      </x:c>
      <x:c r="N22" s="48" t="n">
        <x:v>4</x:v>
      </x:c>
      <x:c r="O22" s="48" t="str">
        <x:v>人民小学、深圳市罗湖中学</x:v>
      </x:c>
      <x:c r="P22" s="48" t="str">
        <x:v>https://shenzhen.leyoujia.com/xq/detail/3097.html</x:v>
      </x:c>
      <x:c r="Q22" s="48" t="str">
        <x:v>https://fang-community.leyoujia.com//pic/hsl/2018-11/20/dbcba598-5d63-4f5d-9fc9-f954a6b5b633.jpg</x:v>
      </x:c>
    </x:row>
    <x:row r="23">
      <x:c r="A23" s="48" t="str">
        <x:v>好年华大厦</x:v>
      </x:c>
      <x:c r="B23" s="48" t="str">
        <x:v>好年华大厦</x:v>
      </x:c>
      <x:c r="C23" s="48" t="str">
        <x:v>罗湖东门步行街</x:v>
      </x:c>
      <x:c r="D23" s="48" t="str">
        <x:v>2004-05-25</x:v>
      </x:c>
      <x:c r="E23" s="48" t="str">
        <x:v>全封闭式</x:v>
      </x:c>
      <x:c r="F23" s="48" t="str">
        <x:v>住宅、写字楼、商铺、工业、教育、医疗、车位</x:v>
      </x:c>
      <x:c r="G23" s="48" t="str">
        <x:v>深圳市中富田房地产开发有限公司</x:v>
      </x:c>
      <x:c r="H23" s="48" t="str">
        <x:v>中富田物业管理</x:v>
      </x:c>
      <x:c r="I23" s="48" t="str">
        <x:v>3.5-3.5元/㎡</x:v>
      </x:c>
      <x:c r="J23" s="48" t="str">
        <x:v>地上:250.0 地下:250.0</x:v>
      </x:c>
      <x:c r="K23" s="48" t="n">
        <x:v>10</x:v>
      </x:c>
      <x:c r="L23" s="48" t="n">
        <x:v>4.18</x:v>
      </x:c>
      <x:c r="M23" s="48" t="n">
        <x:v>97</x:v>
      </x:c>
      <x:c r="N23" s="48" t="n">
        <x:v>1</x:v>
      </x:c>
      <x:c r="O23" s="48" t="str">
        <x:v>深圳小学、深圳市罗湖中学</x:v>
      </x:c>
      <x:c r="P23" s="48" t="str">
        <x:v>https://shenzhen.leyoujia.com/xq/detail/2985.html</x:v>
      </x:c>
      <x:c r="Q23" s="48" t="str">
        <x:v>https://fang-community.leyoujia.com//pic/hsl/2018-10/19/bd51569a-df12-43aa-8db2-76c07ea1efc8.JPG</x:v>
      </x:c>
    </x:row>
    <x:row r="24">
      <x:c r="A24" s="48" t="str">
        <x:v>世濠大厦</x:v>
      </x:c>
      <x:c r="B24" s="48" t="str">
        <x:v>世濠大厦</x:v>
      </x:c>
      <x:c r="C24" s="48" t="str">
        <x:v>罗湖立新路与人民北路交汇处</x:v>
      </x:c>
      <x:c r="D24" s="48" t="str">
        <x:v>2002-01-24</x:v>
      </x:c>
      <x:c r="E24" s="48" t="str">
        <x:v>全封闭式</x:v>
      </x:c>
      <x:c r="F24" s="48" t="str">
        <x:v>住宅、商铺</x:v>
      </x:c>
      <x:c r="G24" s="48" t="str">
        <x:v>深圳市世濠实业有限公司</x:v>
      </x:c>
      <x:c r="H24" s="48" t="str">
        <x:v>中海物业集团有限公司</x:v>
      </x:c>
      <x:c r="I24" s="48" t="str">
        <x:v>3.4-3.4元/㎡</x:v>
      </x:c>
      <x:c r="J24" s="48" t="str">
        <x:v>地上:450.0 地下:450.0</x:v>
      </x:c>
      <x:c r="K24" s="48" t="n">
        <x:v>25</x:v>
      </x:c>
      <x:c r="L24" s="48" t="n">
        <x:v>7.5</x:v>
      </x:c>
      <x:c r="M24" s="48" t="n">
        <x:v>0</x:v>
      </x:c>
      <x:c r="N24" s="48" t="n">
        <x:v>1</x:v>
      </x:c>
      <x:c r="O24" s="48" t="str">
        <x:v>深圳小学、深圳市罗湖中学</x:v>
      </x:c>
      <x:c r="P24" s="48" t="str">
        <x:v>https://shenzhen.leyoujia.com/xq/detail/3161.html</x:v>
      </x:c>
      <x:c r="Q24" s="48" t="str">
        <x:v>https://fang-community.leyoujia.com//pic/hsl/2018-10/19/e97dc43c-9daa-44ae-b1ce-8f39e4aa52d8.JPG</x:v>
      </x:c>
    </x:row>
    <x:row r="25">
      <x:c r="A25" s="48" t="str">
        <x:v>粤海花园</x:v>
      </x:c>
      <x:c r="B25" s="48" t="str">
        <x:v>粤海花园</x:v>
      </x:c>
      <x:c r="C25" s="48" t="str">
        <x:v>罗湖南湖路粤海花园</x:v>
      </x:c>
      <x:c r="D25" s="48" t="str">
        <x:v>1993-07-19</x:v>
      </x:c>
      <x:c r="E25" s="48" t="str">
        <x:v>全封闭式</x:v>
      </x:c>
      <x:c r="F25" s="48" t="str">
        <x:v>住宅</x:v>
      </x:c>
      <x:c r="G25" s="48" t="str">
        <x:v>天津粤海花园投资有限公司</x:v>
      </x:c>
      <x:c r="H25" s="48" t="str">
        <x:v>深圳市海华联物业管理有限公司</x:v>
      </x:c>
      <x:c r="I25" s="48" t="str">
        <x:v>3.5-3.8元/㎡</x:v>
      </x:c>
      <x:c r="J25" s="48" t="str">
        <x:v>地上:260.0</x:v>
      </x:c>
      <x:c r="K25" s="48" t="n">
        <x:v>20</x:v>
      </x:c>
      <x:c r="L25" s="48" t="n">
        <x:v>10</x:v>
      </x:c>
      <x:c r="M25" s="48" t="n">
        <x:v>100</x:v>
      </x:c>
      <x:c r="N25" s="48" t="n">
        <x:v>2</x:v>
      </x:c>
      <x:c r="O25" s="48" t="str">
        <x:v>南湖小学、深圳市罗湖中学</x:v>
      </x:c>
      <x:c r="P25" s="48" t="str">
        <x:v>https://shenzhen.leyoujia.com/xq/detail/1348.html</x:v>
      </x:c>
      <x:c r="Q25" s="48" t="str">
        <x:v>https://fang-community.leyoujia.com//pic/hsl/2018-10/22/84cc0f20-34b2-468f-a2e6-7edc3546ae91.JPG</x:v>
      </x:c>
    </x:row>
    <x:row r="26">
      <x:c r="A26" s="48" t="str">
        <x:v>中南小区(宝安南路)</x:v>
      </x:c>
      <x:c r="B26" s="48" t="str">
        <x:v>未命中</x:v>
      </x:c>
      <x:c r="C26" s="48" t="str"/>
      <x:c r="D26" s="48" t="str"/>
      <x:c r="E26" s="48" t="str">
        <x:v>待核</x:v>
      </x:c>
      <x:c r="F26" s="48" t="str">
        <x:v>待核</x:v>
      </x:c>
      <x:c r="G26" s="48" t="str"/>
      <x:c r="H26" s="48" t="str"/>
      <x:c r="I26" s="48" t="str"/>
      <x:c r="J26" s="48" t="str"/>
      <x:c r="K26" s="48"/>
      <x:c r="L26" s="48"/>
      <x:c r="M26" s="48"/>
      <x:c r="N26" s="48"/>
      <x:c r="O26" s="48" t="str"/>
      <x:c r="P26" s="48" t="str"/>
      <x:c r="Q26" s="48" t="str"/>
    </x:row>
    <x:row r="27">
      <x:c r="A27" s="48" t="str">
        <x:v>128号大院</x:v>
      </x:c>
      <x:c r="B27" s="48" t="str">
        <x:v>128号大院</x:v>
      </x:c>
      <x:c r="C27" s="48" t="str">
        <x:v>罗湖罗湖区人民北路</x:v>
      </x:c>
      <x:c r="D27" s="48" t="str">
        <x:v>1986-07-31</x:v>
      </x:c>
      <x:c r="E27" s="48" t="str">
        <x:v>半开放式</x:v>
      </x:c>
      <x:c r="F27" s="48" t="str">
        <x:v>住宅、商铺、车位</x:v>
      </x:c>
      <x:c r="G27" s="48" t="str">
        <x:v>深圳矿业集团</x:v>
      </x:c>
      <x:c r="H27" s="48" t="str">
        <x:v>深圳市深华物业管理有限公司</x:v>
      </x:c>
      <x:c r="I27" s="48" t="str">
        <x:v>0.8-0.8元/㎡</x:v>
      </x:c>
      <x:c r="J27" s="48" t="str">
        <x:v>地上:250.0 地下:300.0</x:v>
      </x:c>
      <x:c r="K27" s="48" t="n">
        <x:v>45</x:v>
      </x:c>
      <x:c r="L27" s="48" t="n">
        <x:v>1.5</x:v>
      </x:c>
      <x:c r="M27" s="48" t="n">
        <x:v>80</x:v>
      </x:c>
      <x:c r="N27" s="48" t="n">
        <x:v>14</x:v>
      </x:c>
      <x:c r="O27" s="48" t="str">
        <x:v>桂园中学、深圳市洪湖小学</x:v>
      </x:c>
      <x:c r="P27" s="48" t="str">
        <x:v>https://shenzhen.leyoujia.com/xq/detail/2973.html</x:v>
      </x:c>
      <x:c r="Q27" s="48" t="str">
        <x:v>https://fang-community.leyoujia.com//pic/hsl/2018-10/13/e0703311-bd2b-4ca4-ad54-1bdcf6e3d898.jpg</x:v>
      </x:c>
    </x:row>
    <x:row r="28">
      <x:c r="A28" s="48" t="str">
        <x:v>华丽西村</x:v>
      </x:c>
      <x:c r="B28" s="48" t="str">
        <x:v>华丽西村</x:v>
      </x:c>
      <x:c r="C28" s="48" t="str">
        <x:v>罗湖罗湖区华丽路</x:v>
      </x:c>
      <x:c r="D28" s="48" t="str">
        <x:v>1981-12-31</x:v>
      </x:c>
      <x:c r="E28" s="48" t="str">
        <x:v>半开放式</x:v>
      </x:c>
      <x:c r="F28" s="48" t="str">
        <x:v>住宅、商铺</x:v>
      </x:c>
      <x:c r="G28" s="48" t="str">
        <x:v>市建设集团</x:v>
      </x:c>
      <x:c r="H28" s="48" t="str">
        <x:v>金光华管理公司</x:v>
      </x:c>
      <x:c r="I28" s="48" t="str">
        <x:v>0.8-0.8元/㎡</x:v>
      </x:c>
      <x:c r="J28" s="48" t="str">
        <x:v>地上:300.0</x:v>
      </x:c>
      <x:c r="K28" s="48" t="n">
        <x:v>40</x:v>
      </x:c>
      <x:c r="L28" s="48" t="n">
        <x:v>2</x:v>
      </x:c>
      <x:c r="M28" s="48" t="n">
        <x:v>500</x:v>
      </x:c>
      <x:c r="N28" s="48" t="n">
        <x:v>26</x:v>
      </x:c>
      <x:c r="O28" s="48" t="str">
        <x:v>螺岭外国语实验学校小学部、文锦中学</x:v>
      </x:c>
      <x:c r="P28" s="48" t="str">
        <x:v>https://shenzhen.leyoujia.com/xq/detail/2979.html</x:v>
      </x:c>
      <x:c r="Q28" s="48" t="str">
        <x:v>https://fang-community.leyoujia.com//pic/hsl/2018-09/20/34dd291d-41b0-43b5-ba1f-784abffb121c.jpg</x:v>
      </x:c>
    </x:row>
    <x:row r="29">
      <x:c r="A29" s="48" t="str">
        <x:v>都市名园</x:v>
      </x:c>
      <x:c r="B29" s="48" t="str">
        <x:v>都市名园</x:v>
      </x:c>
      <x:c r="C29" s="48" t="str">
        <x:v>罗湖罗湖区滨河路与宝安南路交汇处</x:v>
      </x:c>
      <x:c r="D29" s="48" t="str">
        <x:v>2000-03-31</x:v>
      </x:c>
      <x:c r="E29" s="48" t="str">
        <x:v>全封闭式</x:v>
      </x:c>
      <x:c r="F29" s="48" t="str">
        <x:v>住宅、写字楼、商铺</x:v>
      </x:c>
      <x:c r="G29" s="48" t="str">
        <x:v>深圳帝王居物业发展有限公司</x:v>
      </x:c>
      <x:c r="H29" s="48" t="str">
        <x:v>华润置地物业服务有限公司</x:v>
      </x:c>
      <x:c r="I29" s="48" t="str">
        <x:v>3.8-3.8元/㎡</x:v>
      </x:c>
      <x:c r="J29" s="48" t="str">
        <x:v>地上:250.0</x:v>
      </x:c>
      <x:c r="K29" s="48" t="n">
        <x:v>30</x:v>
      </x:c>
      <x:c r="L29" s="48" t="n">
        <x:v>6.9</x:v>
      </x:c>
      <x:c r="M29" s="48" t="n">
        <x:v>400</x:v>
      </x:c>
      <x:c r="N29" s="48" t="n">
        <x:v>6</x:v>
      </x:c>
      <x:c r="O29" s="48" t="str">
        <x:v>滨河小学、滨河实验中学</x:v>
      </x:c>
      <x:c r="P29" s="48" t="str">
        <x:v>https://shenzhen.leyoujia.com/xq/detail/431.html</x:v>
      </x:c>
      <x:c r="Q29" s="48" t="str">
        <x:v>https://fang-community.leyoujia.com//pic/hsl/2018-10/16/688d77c1-486e-46fa-b6b9-b95ff8df0f1b.JPG</x:v>
      </x:c>
    </x:row>
    <x:row r="30">
      <x:c r="A30" s="48" t="str">
        <x:v>建设集团大院</x:v>
      </x:c>
      <x:c r="B30" s="48" t="str">
        <x:v>建设集团大院</x:v>
      </x:c>
      <x:c r="C30" s="48" t="str">
        <x:v>红岭中路2118号</x:v>
      </x:c>
      <x:c r="D30" s="48" t="str">
        <x:v>1982-11-30</x:v>
      </x:c>
      <x:c r="E30" s="48" t="str">
        <x:v>半开放式</x:v>
      </x:c>
      <x:c r="F30" s="48" t="str">
        <x:v>住宅、商铺</x:v>
      </x:c>
      <x:c r="G30" s="48" t="str">
        <x:v>城建</x:v>
      </x:c>
      <x:c r="H30" s="48" t="str">
        <x:v>城建</x:v>
      </x:c>
      <x:c r="I30" s="48" t="str">
        <x:v>元/㎡</x:v>
      </x:c>
      <x:c r="J30" s="48" t="str">
        <x:v>地上:250.0 地下:250.0</x:v>
      </x:c>
      <x:c r="K30" s="48" t="n">
        <x:v>30</x:v>
      </x:c>
      <x:c r="L30" s="48" t="n">
        <x:v>4.4</x:v>
      </x:c>
      <x:c r="M30" s="48" t="n">
        <x:v>300</x:v>
      </x:c>
      <x:c r="N30" s="48" t="n">
        <x:v>13</x:v>
      </x:c>
      <x:c r="O30" s="48" t="str">
        <x:v>桂园中学、红岭小学</x:v>
      </x:c>
      <x:c r="P30" s="48" t="str">
        <x:v>https://shenzhen.leyoujia.com/xq/detail/831474.html</x:v>
      </x:c>
      <x:c r="Q30" s="48" t="str"/>
    </x:row>
    <x:row r="31">
      <x:c r="A31" s="48" t="str">
        <x:v>缤纷时代家园</x:v>
      </x:c>
      <x:c r="B31" s="48" t="str">
        <x:v>缤纷时代家园</x:v>
      </x:c>
      <x:c r="C31" s="48" t="str">
        <x:v>罗湖罗湖区东门中路2110号</x:v>
      </x:c>
      <x:c r="D31" s="48" t="str">
        <x:v>2004-08-09</x:v>
      </x:c>
      <x:c r="E31" s="48" t="str">
        <x:v>全封闭式</x:v>
      </x:c>
      <x:c r="F31" s="48" t="str">
        <x:v>住宅</x:v>
      </x:c>
      <x:c r="G31" s="48" t="str">
        <x:v>深圳市金海港投资发展有限公司</x:v>
      </x:c>
      <x:c r="H31" s="48" t="str">
        <x:v>開元国际物业管理有限公司</x:v>
      </x:c>
      <x:c r="I31" s="48" t="str">
        <x:v>3.2-3.2元/㎡</x:v>
      </x:c>
      <x:c r="J31" s="48" t="str">
        <x:v>地上:300.0 地下:300.0</x:v>
      </x:c>
      <x:c r="K31" s="48" t="n">
        <x:v>35</x:v>
      </x:c>
      <x:c r="L31" s="48" t="n">
        <x:v>7.5</x:v>
      </x:c>
      <x:c r="M31" s="48" t="n">
        <x:v>230</x:v>
      </x:c>
      <x:c r="N31" s="48" t="n">
        <x:v>2</x:v>
      </x:c>
      <x:c r="O31" s="48" t="str">
        <x:v>螺岭外国语实验学校小学部、深圳市罗湖中学</x:v>
      </x:c>
      <x:c r="P31" s="48" t="str">
        <x:v>https://shenzhen.leyoujia.com/xq/detail/681.html</x:v>
      </x:c>
      <x:c r="Q31" s="48" t="str">
        <x:v>https://fang-community.leyoujia.com//pic/hsl/2018-10/13/52d635a8-6218-4c2c-8adb-d158c067add4.jpg</x:v>
      </x:c>
    </x:row>
    <x:row r="32">
      <x:c r="A32" s="48" t="str">
        <x:v>桂木园(桂园路)</x:v>
      </x:c>
      <x:c r="B32" s="48" t="str">
        <x:v>未命中</x:v>
      </x:c>
      <x:c r="C32" s="48" t="str"/>
      <x:c r="D32" s="48" t="str"/>
      <x:c r="E32" s="48" t="str">
        <x:v>待核</x:v>
      </x:c>
      <x:c r="F32" s="48" t="str">
        <x:v>待核</x:v>
      </x:c>
      <x:c r="G32" s="48" t="str"/>
      <x:c r="H32" s="48" t="str"/>
      <x:c r="I32" s="48" t="str"/>
      <x:c r="J32" s="48" t="str"/>
      <x:c r="K32" s="48"/>
      <x:c r="L32" s="48"/>
      <x:c r="M32" s="48"/>
      <x:c r="N32" s="48"/>
      <x:c r="O32" s="48" t="str"/>
      <x:c r="P32" s="48" t="str"/>
      <x:c r="Q32" s="48" t="str"/>
    </x:row>
    <x:row r="33">
      <x:c r="A33" s="48" t="str">
        <x:v>东门天地</x:v>
      </x:c>
      <x:c r="B33" s="48" t="str">
        <x:v>东门天地大厦</x:v>
      </x:c>
      <x:c r="C33" s="48" t="str">
        <x:v>罗湖罗湖东门中路与晒布路交汇北</x:v>
      </x:c>
      <x:c r="D33" s="48" t="str">
        <x:v>2005-01-16</x:v>
      </x:c>
      <x:c r="E33" s="48" t="str">
        <x:v>半开放式</x:v>
      </x:c>
      <x:c r="F33" s="48" t="str">
        <x:v>住宅、写字楼、商铺</x:v>
      </x:c>
      <x:c r="G33" s="48" t="str">
        <x:v>鹏运广场物业发展（深圳）有限公司</x:v>
      </x:c>
      <x:c r="H33" s="48" t="str">
        <x:v>深圳市广济物业管理有限公司</x:v>
      </x:c>
      <x:c r="I33" s="48" t="str">
        <x:v>3.5-30.0元/㎡</x:v>
      </x:c>
      <x:c r="J33" s="48" t="str">
        <x:v>地上:250.0 地下:250.0</x:v>
      </x:c>
      <x:c r="K33" s="48" t="n">
        <x:v>30</x:v>
      </x:c>
      <x:c r="L33" s="48" t="n">
        <x:v>8.8</x:v>
      </x:c>
      <x:c r="M33" s="48" t="n">
        <x:v>261</x:v>
      </x:c>
      <x:c r="N33" s="48" t="n">
        <x:v>4</x:v>
      </x:c>
      <x:c r="O33" s="48" t="str">
        <x:v>深圳小学、桂园中学</x:v>
      </x:c>
      <x:c r="P33" s="48" t="str">
        <x:v>https://shenzhen.leyoujia.com/xq/detail/614.html</x:v>
      </x:c>
      <x:c r="Q33" s="48" t="str">
        <x:v>https://fang-community.leyoujia.com//pic/hsl/2018-10/19/f20869a1-7561-404d-9d07-464d410a6fea.JPG</x:v>
      </x:c>
    </x:row>
    <x:row r="34">
      <x:c r="A34" s="48" t="str">
        <x:v>金盾花园</x:v>
      </x:c>
      <x:c r="B34" s="48" t="str">
        <x:v>金盾花园</x:v>
      </x:c>
      <x:c r="C34" s="48" t="str">
        <x:v>罗湖罗湖凤凰华丽路</x:v>
      </x:c>
      <x:c r="D34" s="48" t="str">
        <x:v>1985-04-30</x:v>
      </x:c>
      <x:c r="E34" s="48" t="str">
        <x:v>全开放式</x:v>
      </x:c>
      <x:c r="F34" s="48" t="str">
        <x:v>住宅</x:v>
      </x:c>
      <x:c r="G34" s="48" t="str">
        <x:v>金盾</x:v>
      </x:c>
      <x:c r="H34" s="48" t="str">
        <x:v>万科物业发展有限公司</x:v>
      </x:c>
      <x:c r="I34" s="48" t="str">
        <x:v>0.8-0.8元/㎡</x:v>
      </x:c>
      <x:c r="J34" s="48" t="str">
        <x:v>地上:300.0</x:v>
      </x:c>
      <x:c r="K34" s="48" t="n">
        <x:v>30</x:v>
      </x:c>
      <x:c r="L34" s="48" t="n">
        <x:v>4.5</x:v>
      </x:c>
      <x:c r="M34" s="48" t="n">
        <x:v>100</x:v>
      </x:c>
      <x:c r="N34" s="48" t="n">
        <x:v>17</x:v>
      </x:c>
      <x:c r="O34" s="48" t="str">
        <x:v>螺岭外国语实验学校小学部、文锦中学</x:v>
      </x:c>
      <x:c r="P34" s="48" t="str">
        <x:v>https://shenzhen.leyoujia.com/xq/detail/3428.html</x:v>
      </x:c>
      <x:c r="Q34" s="48" t="str">
        <x:v>https://fang-community.leyoujia.com//pic/hsl/2018-09/20/cd59f86c-3b6c-41c1-9ab0-f5d2a0fc0083.jpg</x:v>
      </x:c>
    </x:row>
    <x:row r="35">
      <x:c r="A35" s="48" t="str">
        <x:v>西湖小区</x:v>
      </x:c>
      <x:c r="B35" s="48" t="str">
        <x:v>西湖小区</x:v>
      </x:c>
      <x:c r="C35" s="48" t="str">
        <x:v>罗湖深圳市罗湖区宝安南路3070号</x:v>
      </x:c>
      <x:c r="D35" s="48" t="str">
        <x:v>1984-12-31</x:v>
      </x:c>
      <x:c r="E35" s="48" t="str">
        <x:v>半开放式</x:v>
      </x:c>
      <x:c r="F35" s="48" t="str">
        <x:v>住宅</x:v>
      </x:c>
      <x:c r="G35" s="48" t="str">
        <x:v>西湖房地产物业管理公司</x:v>
      </x:c>
      <x:c r="H35" s="48" t="str">
        <x:v>西湖房地产物业管理公司</x:v>
      </x:c>
      <x:c r="I35" s="48" t="str">
        <x:v>0.8-1.0元/㎡</x:v>
      </x:c>
      <x:c r="J35" s="48" t="str">
        <x:v>地上:150.0</x:v>
      </x:c>
      <x:c r="K35" s="48" t="n">
        <x:v>10</x:v>
      </x:c>
      <x:c r="L35" s="48" t="n">
        <x:v>6.5</x:v>
      </x:c>
      <x:c r="M35" s="48" t="n">
        <x:v>80</x:v>
      </x:c>
      <x:c r="N35" s="48" t="n">
        <x:v>8</x:v>
      </x:c>
      <x:c r="O35" s="48" t="str">
        <x:v>红桂小学、桂园中学、螺岭教育集团桃园小学</x:v>
      </x:c>
      <x:c r="P35" s="48" t="str">
        <x:v>https://shenzhen.leyoujia.com/xq/detail/3042.html</x:v>
      </x:c>
      <x:c r="Q35" s="48" t="str">
        <x:v>https://fang-community.leyoujia.com//pic/hsl/2018-11/13/2a31d616-17e2-48f6-93ca-651cc5f4ea85.jpg</x:v>
      </x:c>
    </x:row>
    <x:row r="36">
      <x:c r="A36" s="48" t="str">
        <x:v>电影大厦</x:v>
      </x:c>
      <x:c r="B36" s="48" t="str">
        <x:v>电影大厦</x:v>
      </x:c>
      <x:c r="C36" s="48" t="str">
        <x:v>罗湖解放路与桂园路交汇处</x:v>
      </x:c>
      <x:c r="D36" s="48" t="str">
        <x:v>1998-03-25</x:v>
      </x:c>
      <x:c r="E36" s="48" t="str">
        <x:v>半开放式</x:v>
      </x:c>
      <x:c r="F36" s="48" t="str">
        <x:v>住宅、写字楼</x:v>
      </x:c>
      <x:c r="G36" s="48" t="str">
        <x:v>深圳市深港工贸进出口公司</x:v>
      </x:c>
      <x:c r="H36" s="48" t="str">
        <x:v>南湖物业</x:v>
      </x:c>
      <x:c r="I36" s="48" t="str">
        <x:v>3.5-3.5元/㎡</x:v>
      </x:c>
      <x:c r="J36" s="48" t="str">
        <x:v>地上:450.0</x:v>
      </x:c>
      <x:c r="K36" s="48" t="n">
        <x:v>30</x:v>
      </x:c>
      <x:c r="L36" s="48" t="n">
        <x:v>1.2</x:v>
      </x:c>
      <x:c r="M36" s="48" t="n">
        <x:v>200</x:v>
      </x:c>
      <x:c r="N36" s="48" t="n">
        <x:v>2</x:v>
      </x:c>
      <x:c r="O36" s="48" t="str">
        <x:v>红桂中学、桂园小学</x:v>
      </x:c>
      <x:c r="P36" s="48" t="str">
        <x:v>https://shenzhen.leyoujia.com/xq/detail/3024.html</x:v>
      </x:c>
      <x:c r="Q36" s="48" t="str">
        <x:v>https://fang-community.leyoujia.com//pic/hsl/2018-09/25/c3b81241-af4e-4dbd-958e-9eca635099ec.jpg</x:v>
      </x:c>
    </x:row>
    <x:row r="37">
      <x:c r="A37" s="48" t="str">
        <x:v>广东基础楼</x:v>
      </x:c>
      <x:c r="B37" s="48" t="str">
        <x:v>广东基础楼</x:v>
      </x:c>
      <x:c r="C37" s="48" t="str">
        <x:v>罗湖罗湖区黄贝岭华丽路</x:v>
      </x:c>
      <x:c r="D37" s="48" t="str">
        <x:v>1990-06-07</x:v>
      </x:c>
      <x:c r="E37" s="48" t="str">
        <x:v>全开放式</x:v>
      </x:c>
      <x:c r="F37" s="48" t="str">
        <x:v>住宅</x:v>
      </x:c>
      <x:c r="G37" s="48" t="str">
        <x:v>广东基础建设公司</x:v>
      </x:c>
      <x:c r="H37" s="48" t="str"/>
      <x:c r="I37" s="48" t="str">
        <x:v>元/㎡</x:v>
      </x:c>
      <x:c r="J37" s="48" t="str">
        <x:v>地上:300.0</x:v>
      </x:c>
      <x:c r="K37" s="48" t="n">
        <x:v>30</x:v>
      </x:c>
      <x:c r="L37" s="48" t="n">
        <x:v>7.3</x:v>
      </x:c>
      <x:c r="M37" s="48" t="n">
        <x:v>200</x:v>
      </x:c>
      <x:c r="N37" s="48" t="n">
        <x:v>6</x:v>
      </x:c>
      <x:c r="O37" s="48" t="str">
        <x:v>翠园中学初中本部、景贝小学、翠园实验学校</x:v>
      </x:c>
      <x:c r="P37" s="48" t="str">
        <x:v>https://shenzhen.leyoujia.com/xq/detail/3051.html</x:v>
      </x:c>
      <x:c r="Q37" s="48" t="str">
        <x:v>https://fang-community.leyoujia.com//pic/hsl/2018-09/20/48d7dedb-44ae-410a-a31b-41c88015b794.jpg</x:v>
      </x:c>
    </x:row>
    <x:row r="38">
      <x:c r="A38" s="48" t="str">
        <x:v>华丽东村</x:v>
      </x:c>
      <x:c r="B38" s="48" t="str">
        <x:v>华丽东村</x:v>
      </x:c>
      <x:c r="C38" s="48" t="str">
        <x:v>罗湖区-黄贝路1002号</x:v>
      </x:c>
      <x:c r="D38" s="48" t="str">
        <x:v>1983-09-30</x:v>
      </x:c>
      <x:c r="E38" s="48" t="str">
        <x:v>全开放式</x:v>
      </x:c>
      <x:c r="F38" s="48" t="str">
        <x:v>住宅</x:v>
      </x:c>
      <x:c r="G38" s="48" t="str">
        <x:v>深圳城建开发集团公司</x:v>
      </x:c>
      <x:c r="H38" s="48" t="str">
        <x:v>金光华管理公司</x:v>
      </x:c>
      <x:c r="I38" s="48" t="str">
        <x:v>0.8-1.2元/㎡</x:v>
      </x:c>
      <x:c r="J38" s="48" t="str">
        <x:v>地上:110.0</x:v>
      </x:c>
      <x:c r="K38" s="48" t="n">
        <x:v>35</x:v>
      </x:c>
      <x:c r="L38" s="48" t="n">
        <x:v>3.2</x:v>
      </x:c>
      <x:c r="M38" s="48" t="n">
        <x:v>180</x:v>
      </x:c>
      <x:c r="N38" s="48" t="n">
        <x:v>22</x:v>
      </x:c>
      <x:c r="O38" s="48" t="str">
        <x:v>景贝小学、翠园中学初中本部、翠园实验学校</x:v>
      </x:c>
      <x:c r="P38" s="48" t="str">
        <x:v>https://shenzhen.leyoujia.com/xq/detail/1967.html</x:v>
      </x:c>
      <x:c r="Q38" s="48" t="str">
        <x:v>https://fang-community.leyoujia.com//pic/hsl/2018-09/20/9083de71-c352-4123-a0c6-49827b0b4fd1.jpg</x:v>
      </x:c>
    </x:row>
    <x:row r="39">
      <x:c r="A39" s="48" t="str">
        <x:v>广东省银行大厦</x:v>
      </x:c>
      <x:c r="B39" s="48" t="str">
        <x:v>广东省银行大厦</x:v>
      </x:c>
      <x:c r="C39" s="48" t="str">
        <x:v>罗湖罗湖区人民南路</x:v>
      </x:c>
      <x:c r="D39" s="48" t="str">
        <x:v>1990-11-29</x:v>
      </x:c>
      <x:c r="E39" s="48" t="str">
        <x:v>全开放式</x:v>
      </x:c>
      <x:c r="F39" s="48" t="str">
        <x:v>住宅、写字楼、商铺</x:v>
      </x:c>
      <x:c r="G39" s="48" t="str">
        <x:v>深房物业管理公司</x:v>
      </x:c>
      <x:c r="H39" s="48" t="str">
        <x:v>深房物业管理公司</x:v>
      </x:c>
      <x:c r="I39" s="48" t="str">
        <x:v>3.4-3.4元/㎡</x:v>
      </x:c>
      <x:c r="J39" s="48" t="str">
        <x:v>地上:600.0</x:v>
      </x:c>
      <x:c r="K39" s="48" t="n">
        <x:v>20</x:v>
      </x:c>
      <x:c r="L39" s="48" t="n">
        <x:v>2.5</x:v>
      </x:c>
      <x:c r="M39" s="48" t="n">
        <x:v>50</x:v>
      </x:c>
      <x:c r="N39" s="48" t="n">
        <x:v>2</x:v>
      </x:c>
      <x:c r="O39" s="48" t="str">
        <x:v>深圳市罗湖中学、深圳市罗湖小学</x:v>
      </x:c>
      <x:c r="P39" s="48" t="str">
        <x:v>https://shenzhen.leyoujia.com/xq/detail/2982.html</x:v>
      </x:c>
      <x:c r="Q39" s="48" t="str">
        <x:v>https://fang-community.leyoujia.com//pic/hsl/2018-10/23/e7071660-91bd-4c0b-84f2-df984b39b9a7.JPG</x:v>
      </x:c>
    </x:row>
    <x:row r="40">
      <x:c r="A40" s="48" t="str">
        <x:v>华深公寓</x:v>
      </x:c>
      <x:c r="B40" s="48" t="str">
        <x:v>华深公寓</x:v>
      </x:c>
      <x:c r="C40" s="48" t="str">
        <x:v>凤凰街华深公寓</x:v>
      </x:c>
      <x:c r="D40" s="48" t="str"/>
      <x:c r="E40" s="48" t="str">
        <x:v>待核</x:v>
      </x:c>
      <x:c r="F40" s="48" t="str">
        <x:v>住宅</x:v>
      </x:c>
      <x:c r="G40" s="48" t="str"/>
      <x:c r="H40" s="48" t="str"/>
      <x:c r="I40" s="48" t="str">
        <x:v>元/㎡</x:v>
      </x:c>
      <x:c r="J40" s="48" t="str"/>
      <x:c r="K40" s="48" t="n">
        <x:v>0</x:v>
      </x:c>
      <x:c r="L40" s="48" t="n">
        <x:v>0</x:v>
      </x:c>
      <x:c r="M40" s="48" t="n">
        <x:v>0</x:v>
      </x:c>
      <x:c r="N40" s="48"/>
      <x:c r="O40" s="48" t="str">
        <x:v>螺岭外国语实验学校小学部、文锦中学</x:v>
      </x:c>
      <x:c r="P40" s="48" t="str">
        <x:v>https://shenzhen.leyoujia.com/xq/detail/864034.html</x:v>
      </x:c>
      <x:c r="Q40" s="48" t="str"/>
    </x:row>
    <x:row r="41">
      <x:c r="A41" s="48" t="str">
        <x:v>锦星花园</x:v>
      </x:c>
      <x:c r="B41" s="48" t="str">
        <x:v>锦星花园</x:v>
      </x:c>
      <x:c r="C41" s="48" t="str">
        <x:v>罗湖罗湖区春风路</x:v>
      </x:c>
      <x:c r="D41" s="48" t="str">
        <x:v>1984-12-31</x:v>
      </x:c>
      <x:c r="E41" s="48" t="str">
        <x:v>半开放式</x:v>
      </x:c>
      <x:c r="F41" s="48" t="str">
        <x:v>住宅、写字楼、商铺</x:v>
      </x:c>
      <x:c r="G41" s="48" t="str">
        <x:v>深圳特发联城地产发展有限公司</x:v>
      </x:c>
      <x:c r="H41" s="48" t="str">
        <x:v>深圳市联城物业管理有限公司</x:v>
      </x:c>
      <x:c r="I41" s="48" t="str">
        <x:v>0.8-0.8元/㎡</x:v>
      </x:c>
      <x:c r="J41" s="48" t="str">
        <x:v>地上:200.0 地下:200.0</x:v>
      </x:c>
      <x:c r="K41" s="48" t="n">
        <x:v>35</x:v>
      </x:c>
      <x:c r="L41" s="48" t="n">
        <x:v>4</x:v>
      </x:c>
      <x:c r="M41" s="48" t="n">
        <x:v>300</x:v>
      </x:c>
      <x:c r="N41" s="48" t="n">
        <x:v>21</x:v>
      </x:c>
      <x:c r="O41" s="48" t="str">
        <x:v>北斗小学、文锦中学</x:v>
      </x:c>
      <x:c r="P41" s="48" t="str">
        <x:v>https://shenzhen.leyoujia.com/xq/detail/3158.html</x:v>
      </x:c>
      <x:c r="Q41" s="48" t="str">
        <x:v>https://fang-community.leyoujia.com//community/album/2019-08/13/11/c2e6773e-ef0e-4c0a-abb5-cf11b6fc488d.JPG</x:v>
      </x:c>
    </x:row>
    <x:row r="42">
      <x:c r="A42" s="48" t="str">
        <x:v>雅馨居</x:v>
      </x:c>
      <x:c r="B42" s="48" t="str">
        <x:v>TCL雅馨居</x:v>
      </x:c>
      <x:c r="C42" s="48" t="str">
        <x:v>罗湖煤场路与桂圆路交汇处</x:v>
      </x:c>
      <x:c r="D42" s="48" t="str">
        <x:v>2002-09-27</x:v>
      </x:c>
      <x:c r="E42" s="48" t="str">
        <x:v>半开放式</x:v>
      </x:c>
      <x:c r="F42" s="48" t="str">
        <x:v>住宅、商铺</x:v>
      </x:c>
      <x:c r="G42" s="48" t="str">
        <x:v>万科企业股份有限公司</x:v>
      </x:c>
      <x:c r="H42" s="48" t="str">
        <x:v>万科物业发展有限公司</x:v>
      </x:c>
      <x:c r="I42" s="48" t="str">
        <x:v>3.2-3.2元/㎡</x:v>
      </x:c>
      <x:c r="J42" s="48" t="str">
        <x:v>地上:245.0 地下:255.0</x:v>
      </x:c>
      <x:c r="K42" s="48" t="n">
        <x:v>20</x:v>
      </x:c>
      <x:c r="L42" s="48" t="n">
        <x:v>7.5</x:v>
      </x:c>
      <x:c r="M42" s="48" t="n">
        <x:v>150</x:v>
      </x:c>
      <x:c r="N42" s="48" t="n">
        <x:v>1</x:v>
      </x:c>
      <x:c r="O42" s="48" t="str">
        <x:v>红桂中学、桂园小学</x:v>
      </x:c>
      <x:c r="P42" s="48" t="str">
        <x:v>https://shenzhen.leyoujia.com/xq/detail/1025.html</x:v>
      </x:c>
      <x:c r="Q42" s="48" t="str">
        <x:v>https://fang-community.leyoujia.com//pic/hsl/2018-09/21/ea5c8660-419d-4556-902a-e35d820dbc99.jpg</x:v>
      </x:c>
    </x:row>
    <x:row r="43">
      <x:c r="A43" s="48" t="str">
        <x:v>联城美园</x:v>
      </x:c>
      <x:c r="B43" s="48" t="str">
        <x:v>联城美园</x:v>
      </x:c>
      <x:c r="C43" s="48" t="str">
        <x:v>罗湖罗湖区春风路北侧</x:v>
      </x:c>
      <x:c r="D43" s="48" t="str">
        <x:v>2006-02-12</x:v>
      </x:c>
      <x:c r="E43" s="48" t="str">
        <x:v>全封闭式</x:v>
      </x:c>
      <x:c r="F43" s="48" t="str">
        <x:v>住宅</x:v>
      </x:c>
      <x:c r="G43" s="48" t="str">
        <x:v>深圳市圣尊实业发展有限公司</x:v>
      </x:c>
      <x:c r="H43" s="48" t="str">
        <x:v>深圳市京震物业管理有限公司</x:v>
      </x:c>
      <x:c r="I43" s="48" t="str">
        <x:v>3.6-3.8元/㎡</x:v>
      </x:c>
      <x:c r="J43" s="48" t="str">
        <x:v>地上:250.0 地下:250.0</x:v>
      </x:c>
      <x:c r="K43" s="48" t="n">
        <x:v>48</x:v>
      </x:c>
      <x:c r="L43" s="48" t="n">
        <x:v>2.1</x:v>
      </x:c>
      <x:c r="M43" s="48" t="n">
        <x:v>250</x:v>
      </x:c>
      <x:c r="N43" s="48" t="n">
        <x:v>3</x:v>
      </x:c>
      <x:c r="O43" s="48" t="str">
        <x:v>向西小学、文锦中学、深圳市罗湖中学</x:v>
      </x:c>
      <x:c r="P43" s="48" t="str">
        <x:v>https://shenzhen.leyoujia.com/xq/detail/1095.html</x:v>
      </x:c>
      <x:c r="Q43" s="48" t="str">
        <x:v>https://fang-community.leyoujia.com//pic/hsl/2018-10/22/e356b79d-a661-484f-af2b-4d9591ca1c5c.JPG</x:v>
      </x:c>
    </x:row>
    <x:row r="44">
      <x:c r="A44" s="48" t="str">
        <x:v>东门广场</x:v>
      </x:c>
      <x:c r="B44" s="48" t="str">
        <x:v>东门广场</x:v>
      </x:c>
      <x:c r="C44" s="48" t="str">
        <x:v>罗湖区湖贝路（湖贝小学对面）</x:v>
      </x:c>
      <x:c r="D44" s="48" t="str">
        <x:v>1995-12-19</x:v>
      </x:c>
      <x:c r="E44" s="48" t="str">
        <x:v>全开放式</x:v>
      </x:c>
      <x:c r="F44" s="48" t="str">
        <x:v>住宅</x:v>
      </x:c>
      <x:c r="G44" s="48" t="str">
        <x:v>深圳市中协地产有限公司</x:v>
      </x:c>
      <x:c r="H44" s="48" t="str">
        <x:v>深圳市新城物业管理有限公司</x:v>
      </x:c>
      <x:c r="I44" s="48" t="str">
        <x:v>3.8-3.8元/㎡</x:v>
      </x:c>
      <x:c r="J44" s="48" t="str">
        <x:v>地上:230.0</x:v>
      </x:c>
      <x:c r="K44" s="48" t="n">
        <x:v>10</x:v>
      </x:c>
      <x:c r="L44" s="48" t="n">
        <x:v>7.4</x:v>
      </x:c>
      <x:c r="M44" s="48" t="n">
        <x:v>50</x:v>
      </x:c>
      <x:c r="N44" s="48" t="n">
        <x:v>1</x:v>
      </x:c>
      <x:c r="O44" s="48" t="str">
        <x:v>螺岭外国语实验学校湖贝校区</x:v>
      </x:c>
      <x:c r="P44" s="48" t="str">
        <x:v>https://shenzhen.leyoujia.com/xq/detail/14178.html</x:v>
      </x:c>
      <x:c r="Q44" s="48" t="str"/>
    </x:row>
    <x:row r="45">
      <x:c r="A45" s="48" t="str">
        <x:v>福德花园</x:v>
      </x:c>
      <x:c r="B45" s="48" t="str">
        <x:v>福德花园</x:v>
      </x:c>
      <x:c r="C45" s="48" t="str">
        <x:v>罗湖罗湖区深南东路1110号</x:v>
      </x:c>
      <x:c r="D45" s="48" t="str">
        <x:v>1999-09-02</x:v>
      </x:c>
      <x:c r="E45" s="48" t="str">
        <x:v>半开放式</x:v>
      </x:c>
      <x:c r="F45" s="48" t="str">
        <x:v>住宅、商铺</x:v>
      </x:c>
      <x:c r="G45" s="48" t="str">
        <x:v>天津福德花园投资有限公司</x:v>
      </x:c>
      <x:c r="H45" s="48" t="str">
        <x:v>诚信行物业管理有限公司</x:v>
      </x:c>
      <x:c r="I45" s="48" t="str">
        <x:v>3.3-3.3元/㎡</x:v>
      </x:c>
      <x:c r="J45" s="48" t="str">
        <x:v>地上:300.0 地下:250.0</x:v>
      </x:c>
      <x:c r="K45" s="48" t="n">
        <x:v>22</x:v>
      </x:c>
      <x:c r="L45" s="48" t="n">
        <x:v>10</x:v>
      </x:c>
      <x:c r="M45" s="48" t="n">
        <x:v>200</x:v>
      </x:c>
      <x:c r="N45" s="48" t="n">
        <x:v>2</x:v>
      </x:c>
      <x:c r="O45" s="48" t="str">
        <x:v>螺岭外国语实验学校小学部、文锦中学</x:v>
      </x:c>
      <x:c r="P45" s="48" t="str">
        <x:v>https://shenzhen.leyoujia.com/xq/detail/698.html</x:v>
      </x:c>
      <x:c r="Q45" s="48" t="str">
        <x:v>https://fang-community.leyoujia.com//pic/hsl/2018-09/14/12f03f05-45e3-472a-a607-39603d80f42c.jpg</x:v>
      </x:c>
    </x:row>
    <x:row r="46">
      <x:c r="A46" s="48" t="str">
        <x:v>鹏盛村</x:v>
      </x:c>
      <x:c r="B46" s="48" t="str">
        <x:v>鹏盛村</x:v>
      </x:c>
      <x:c r="C46" s="48" t="str">
        <x:v>福田福田区八卦岭八卦一路39号</x:v>
      </x:c>
      <x:c r="D46" s="48" t="str">
        <x:v>1992-11-09</x:v>
      </x:c>
      <x:c r="E46" s="48" t="str">
        <x:v>全封闭式</x:v>
      </x:c>
      <x:c r="F46" s="48" t="str">
        <x:v>住宅、商铺、车位</x:v>
      </x:c>
      <x:c r="G46" s="48" t="str">
        <x:v>深圳鹏盛地产实业有限公司</x:v>
      </x:c>
      <x:c r="H46" s="48" t="str">
        <x:v>深圳鹏盛地产实业有限公司物业管理分公司</x:v>
      </x:c>
      <x:c r="I46" s="48" t="str">
        <x:v>0.9-2.85元/㎡</x:v>
      </x:c>
      <x:c r="J46" s="48" t="str">
        <x:v>地上:450.0 地下:450.0</x:v>
      </x:c>
      <x:c r="K46" s="48" t="n">
        <x:v>20</x:v>
      </x:c>
      <x:c r="L46" s="48" t="n">
        <x:v>4</x:v>
      </x:c>
      <x:c r="M46" s="48" t="n">
        <x:v>300</x:v>
      </x:c>
      <x:c r="N46" s="48" t="n">
        <x:v>10</x:v>
      </x:c>
      <x:c r="O46" s="48" t="str">
        <x:v>荔园小学八卦岭校区、荔园教育集团笔架山中学</x:v>
      </x:c>
      <x:c r="P46" s="48" t="str">
        <x:v>https://shenzhen.leyoujia.com/xq/detail/1053.html</x:v>
      </x:c>
      <x:c r="Q46" s="48" t="str">
        <x:v>https://fang-community.leyoujia.com//pic/hsl/2018-06/25/029fe59b-6144-4f4c-8ab3-050cc97be196.jpg</x:v>
      </x:c>
    </x:row>
    <x:row r="47">
      <x:c r="A47" s="48" t="str">
        <x:v>物资大院</x:v>
      </x:c>
      <x:c r="B47" s="48" t="str">
        <x:v>物资大院</x:v>
      </x:c>
      <x:c r="C47" s="48" t="str">
        <x:v>深圳市罗湖区东升街15号</x:v>
      </x:c>
      <x:c r="D47" s="48" t="str">
        <x:v>1982-09-30</x:v>
      </x:c>
      <x:c r="E47" s="48" t="str">
        <x:v>待核</x:v>
      </x:c>
      <x:c r="F47" s="48" t="str">
        <x:v>住宅</x:v>
      </x:c>
      <x:c r="G47" s="48" t="str">
        <x:v>华润置地有限公司</x:v>
      </x:c>
      <x:c r="H47" s="48" t="str"/>
      <x:c r="I47" s="48" t="str">
        <x:v>1.0-1.0元/㎡</x:v>
      </x:c>
      <x:c r="J47" s="48" t="str"/>
      <x:c r="K47" s="48" t="n">
        <x:v>0</x:v>
      </x:c>
      <x:c r="L47" s="48" t="n">
        <x:v>0</x:v>
      </x:c>
      <x:c r="M47" s="48" t="n">
        <x:v>0</x:v>
      </x:c>
      <x:c r="N47" s="48"/>
      <x:c r="O47" s="48" t="str">
        <x:v>螺岭外国语实验学校小学部、深圳市罗湖中学</x:v>
      </x:c>
      <x:c r="P47" s="48" t="str">
        <x:v>https://shenzhen.leyoujia.com/xq/detail/37290.html</x:v>
      </x:c>
      <x:c r="Q47" s="48" t="str"/>
    </x:row>
    <x:row r="48">
      <x:c r="A48" s="48" t="str">
        <x:v>高嘉大厦</x:v>
      </x:c>
      <x:c r="B48" s="48" t="str">
        <x:v>高嘉大厦</x:v>
      </x:c>
      <x:c r="C48" s="48" t="str">
        <x:v>罗湖罗湖区黄贝岭文锦中路</x:v>
      </x:c>
      <x:c r="D48" s="48" t="str">
        <x:v>1989-12-04</x:v>
      </x:c>
      <x:c r="E48" s="48" t="str">
        <x:v>半开放式</x:v>
      </x:c>
      <x:c r="F48" s="48" t="str">
        <x:v>住宅、写字楼、商铺</x:v>
      </x:c>
      <x:c r="G48" s="48" t="str">
        <x:v>深纺房地产开发有限公司</x:v>
      </x:c>
      <x:c r="H48" s="48" t="str">
        <x:v>深纺物业管理有限公司</x:v>
      </x:c>
      <x:c r="I48" s="48" t="str">
        <x:v>3.4-3.8元/㎡</x:v>
      </x:c>
      <x:c r="J48" s="48" t="str">
        <x:v>地上:200.0 地下:300.0</x:v>
      </x:c>
      <x:c r="K48" s="48" t="n">
        <x:v>35</x:v>
      </x:c>
      <x:c r="L48" s="48" t="n">
        <x:v>2.1</x:v>
      </x:c>
      <x:c r="M48" s="48" t="n">
        <x:v>150</x:v>
      </x:c>
      <x:c r="N48" s="48" t="n">
        <x:v>1</x:v>
      </x:c>
      <x:c r="O48" s="48" t="str">
        <x:v>文锦中学、向西小学</x:v>
      </x:c>
      <x:c r="P48" s="48" t="str">
        <x:v>https://shenzhen.leyoujia.com/xq/detail/2990.html</x:v>
      </x:c>
      <x:c r="Q48" s="48" t="str">
        <x:v>https://fang-community.leyoujia.com//pic/hsl/2018-09/21/05a98710-a7bb-446c-b182-c7a670507dd0.jpg</x:v>
      </x:c>
    </x:row>
    <x:row r="49">
      <x:c r="A49" s="48" t="str">
        <x:v>洪二村</x:v>
      </x:c>
      <x:c r="B49" s="48" t="str">
        <x:v>洪二村</x:v>
      </x:c>
      <x:c r="C49" s="48" t="str">
        <x:v>罗湖洪二村罗湖区宝安南路国都花园正对面</x:v>
      </x:c>
      <x:c r="D49" s="48" t="str">
        <x:v>1987-12-31</x:v>
      </x:c>
      <x:c r="E49" s="48" t="str">
        <x:v>全开放式</x:v>
      </x:c>
      <x:c r="F49" s="48" t="str">
        <x:v>住宅</x:v>
      </x:c>
      <x:c r="G49" s="48" t="str">
        <x:v>电建集团</x:v>
      </x:c>
      <x:c r="H49" s="48" t="str">
        <x:v>暂无资料</x:v>
      </x:c>
      <x:c r="I49" s="48" t="str">
        <x:v>0.8-1.0元/㎡</x:v>
      </x:c>
      <x:c r="J49" s="48" t="str">
        <x:v>地上:240.0</x:v>
      </x:c>
      <x:c r="K49" s="48" t="n">
        <x:v>35</x:v>
      </x:c>
      <x:c r="L49" s="48" t="n">
        <x:v>1.2</x:v>
      </x:c>
      <x:c r="M49" s="48" t="n">
        <x:v>150</x:v>
      </x:c>
      <x:c r="N49" s="48" t="n">
        <x:v>7</x:v>
      </x:c>
      <x:c r="O49" s="48" t="str">
        <x:v>红桂中学、桂园小学</x:v>
      </x:c>
      <x:c r="P49" s="48" t="str">
        <x:v>https://shenzhen.leyoujia.com/xq/detail/3385.html</x:v>
      </x:c>
      <x:c r="Q49" s="48" t="str">
        <x:v>https://fang-community.leyoujia.com//pic/hsl/2018-10/11/0599e1ec-795c-43a4-adf6-81ff016b18d0.jpg</x:v>
      </x:c>
    </x:row>
    <x:row r="50">
      <x:c r="A50" s="48" t="str">
        <x:v>松园南小区</x:v>
      </x:c>
      <x:c r="B50" s="48" t="str">
        <x:v>松园南小区</x:v>
      </x:c>
      <x:c r="C50" s="48" t="str">
        <x:v>罗湖深圳市罗湖区宝安南路</x:v>
      </x:c>
      <x:c r="D50" s="48" t="str">
        <x:v>1986-05-25</x:v>
      </x:c>
      <x:c r="E50" s="48" t="str">
        <x:v>半开放式</x:v>
      </x:c>
      <x:c r="F50" s="48" t="str">
        <x:v>住宅</x:v>
      </x:c>
      <x:c r="G50" s="48" t="str">
        <x:v>天地房地产开发有限公司</x:v>
      </x:c>
      <x:c r="H50" s="48" t="str">
        <x:v>深圳市天地物业管理有限公司</x:v>
      </x:c>
      <x:c r="I50" s="48" t="str">
        <x:v>0.8-0.8元/㎡</x:v>
      </x:c>
      <x:c r="J50" s="48" t="str">
        <x:v>地上:150.0</x:v>
      </x:c>
      <x:c r="K50" s="48" t="n">
        <x:v>20</x:v>
      </x:c>
      <x:c r="L50" s="48" t="n">
        <x:v>1.92</x:v>
      </x:c>
      <x:c r="M50" s="48" t="n">
        <x:v>300</x:v>
      </x:c>
      <x:c r="N50" s="48" t="n">
        <x:v>21</x:v>
      </x:c>
      <x:c r="O50" s="48" t="str">
        <x:v>红桂小学、桂园中学、螺岭教育集团桃园小学</x:v>
      </x:c>
      <x:c r="P50" s="48" t="str">
        <x:v>https://shenzhen.leyoujia.com/xq/detail/1834.html</x:v>
      </x:c>
      <x:c r="Q50" s="48" t="str">
        <x:v>https://fang-community.leyoujia.com//pic/hsl/2018-09/21/3a8c1e01-1955-4242-bbff-463e4e6637c5.jpg</x:v>
      </x:c>
    </x:row>
    <x:row r="51">
      <x:c r="A51" s="48" t="str">
        <x:v>深港豪苑</x:v>
      </x:c>
      <x:c r="B51" s="48" t="str">
        <x:v>深港豪苑</x:v>
      </x:c>
      <x:c r="C51" s="48" t="str">
        <x:v>罗湖红桂路与宝安南路交汇处</x:v>
      </x:c>
      <x:c r="D51" s="48" t="str">
        <x:v>2000-05-31</x:v>
      </x:c>
      <x:c r="E51" s="48" t="str">
        <x:v>半开放式</x:v>
      </x:c>
      <x:c r="F51" s="48" t="str">
        <x:v>住宅、写字楼、商铺</x:v>
      </x:c>
      <x:c r="G51" s="48" t="str">
        <x:v>深圳市深港工贸进出口公司</x:v>
      </x:c>
      <x:c r="H51" s="48" t="str">
        <x:v>深圳市深港物业有限公司</x:v>
      </x:c>
      <x:c r="I51" s="48" t="str">
        <x:v>3.0-3.0元/㎡</x:v>
      </x:c>
      <x:c r="J51" s="48" t="str">
        <x:v>地上:220.0 地下:300.0</x:v>
      </x:c>
      <x:c r="K51" s="48" t="n">
        <x:v>20</x:v>
      </x:c>
      <x:c r="L51" s="48" t="n">
        <x:v>7.5</x:v>
      </x:c>
      <x:c r="M51" s="48" t="n">
        <x:v>100</x:v>
      </x:c>
      <x:c r="N51" s="48" t="n">
        <x:v>4</x:v>
      </x:c>
      <x:c r="O51" s="48" t="str">
        <x:v>桂园小学、深圳市百草园小学、红桂中学</x:v>
      </x:c>
      <x:c r="P51" s="48" t="str">
        <x:v>https://shenzhen.leyoujia.com/xq/detail/1346.html</x:v>
      </x:c>
      <x:c r="Q51" s="48" t="str">
        <x:v>https://fang-community.leyoujia.com//pic/hsl/2019-01/03/a00341aa-cccd-4b7e-a7b4-3b8100a133ab.JPG</x:v>
      </x:c>
    </x:row>
    <x:row r="52">
      <x:c r="A52" s="48" t="str">
        <x:v>红岭大厦</x:v>
      </x:c>
      <x:c r="B52" s="48" t="str">
        <x:v>红岭大厦</x:v>
      </x:c>
      <x:c r="C52" s="48" t="str">
        <x:v>红岭南路1049号</x:v>
      </x:c>
      <x:c r="D52" s="48" t="str">
        <x:v>1985-08-27</x:v>
      </x:c>
      <x:c r="E52" s="48" t="str">
        <x:v>半开放式</x:v>
      </x:c>
      <x:c r="F52" s="48" t="str">
        <x:v>住宅、写字楼、商铺、工业、教育、车位</x:v>
      </x:c>
      <x:c r="G52" s="48" t="str">
        <x:v>深圳市中贸发建筑有限公司</x:v>
      </x:c>
      <x:c r="H52" s="48" t="str">
        <x:v>深圳市国贸物业管理有限公司</x:v>
      </x:c>
      <x:c r="I52" s="48" t="str">
        <x:v>3.6-3.8元/㎡</x:v>
      </x:c>
      <x:c r="J52" s="48" t="str">
        <x:v>地上:250.0</x:v>
      </x:c>
      <x:c r="K52" s="48" t="n">
        <x:v>30</x:v>
      </x:c>
      <x:c r="L52" s="48" t="n">
        <x:v>7.5</x:v>
      </x:c>
      <x:c r="M52" s="48" t="n">
        <x:v>200</x:v>
      </x:c>
      <x:c r="N52" s="48" t="n">
        <x:v>5</x:v>
      </x:c>
      <x:c r="O52" s="48" t="str">
        <x:v>深圳市福田区上步小学、西交利物浦大学基础教育集团外国语学校</x:v>
      </x:c>
      <x:c r="P52" s="48" t="str">
        <x:v>https://shenzhen.leyoujia.com/xq/detail/1757.html</x:v>
      </x:c>
      <x:c r="Q52" s="48" t="str">
        <x:v>https://fang-community.leyoujia.com//pic/hsl/2018-08/20/7de86a11-9046-466a-9ae2-6263aab35bee.JPG</x:v>
      </x:c>
    </x:row>
    <x:row r="53">
      <x:c r="A53" s="48" t="str">
        <x:v>红围坊</x:v>
      </x:c>
      <x:c r="B53" s="48" t="str">
        <x:v>红围坊</x:v>
      </x:c>
      <x:c r="C53" s="48" t="str">
        <x:v>罗湖罗湖宝安南地王旁桂园路与解放路交汇处</x:v>
      </x:c>
      <x:c r="D53" s="48" t="str">
        <x:v>1983-11-30</x:v>
      </x:c>
      <x:c r="E53" s="48" t="str">
        <x:v>全开放式</x:v>
      </x:c>
      <x:c r="F53" s="48" t="str">
        <x:v>住宅</x:v>
      </x:c>
      <x:c r="G53" s="48" t="str">
        <x:v>深圳市城市建设开发（集团）公司</x:v>
      </x:c>
      <x:c r="H53" s="48" t="str">
        <x:v>恒基物业管理有限公司</x:v>
      </x:c>
      <x:c r="I53" s="48" t="str">
        <x:v>2.0-2.0元/㎡</x:v>
      </x:c>
      <x:c r="J53" s="48" t="str">
        <x:v>地上:250.0</x:v>
      </x:c>
      <x:c r="K53" s="48" t="n">
        <x:v>5</x:v>
      </x:c>
      <x:c r="L53" s="48" t="n">
        <x:v>1.9</x:v>
      </x:c>
      <x:c r="M53" s="48" t="n">
        <x:v>120</x:v>
      </x:c>
      <x:c r="N53" s="48" t="n">
        <x:v>5</x:v>
      </x:c>
      <x:c r="O53" s="48" t="str">
        <x:v>深圳市百草园小学、红桂中学、桂园小学</x:v>
      </x:c>
      <x:c r="P53" s="48" t="str">
        <x:v>https://shenzhen.leyoujia.com/xq/detail/3392.html</x:v>
      </x:c>
      <x:c r="Q53" s="48" t="str">
        <x:v>https://fang-community.leyoujia.com//pic/hsl/2018-11/04/9a365c92-3ba8-4e2f-a875-b58b9c799a13.jpg</x:v>
      </x:c>
    </x:row>
    <x:row r="54">
      <x:c r="A54" s="48" t="str">
        <x:v>国际名园</x:v>
      </x:c>
      <x:c r="B54" s="48" t="str">
        <x:v>兰亭国际名园</x:v>
      </x:c>
      <x:c r="C54" s="48" t="str">
        <x:v>罗湖罗沙路与延芳路交汇处</x:v>
      </x:c>
      <x:c r="D54" s="48" t="str">
        <x:v>2011-06-23</x:v>
      </x:c>
      <x:c r="E54" s="48" t="str">
        <x:v>半开放式</x:v>
      </x:c>
      <x:c r="F54" s="48" t="str">
        <x:v>住宅</x:v>
      </x:c>
      <x:c r="G54" s="48" t="str">
        <x:v>深圳兰亭房地产开发有限公司</x:v>
      </x:c>
      <x:c r="H54" s="48" t="str">
        <x:v>深圳市创新纪元物业管理有限公司</x:v>
      </x:c>
      <x:c r="I54" s="48" t="str">
        <x:v>4.15-4.5元/㎡</x:v>
      </x:c>
      <x:c r="J54" s="48" t="str">
        <x:v>地下:350.0</x:v>
      </x:c>
      <x:c r="K54" s="48" t="n">
        <x:v>30</x:v>
      </x:c>
      <x:c r="L54" s="48" t="n">
        <x:v>8.26</x:v>
      </x:c>
      <x:c r="M54" s="48" t="n">
        <x:v>790</x:v>
      </x:c>
      <x:c r="N54" s="48" t="n">
        <x:v>2</x:v>
      </x:c>
      <x:c r="O54" s="48" t="str">
        <x:v>莲南小学、罗芳小学、罗湖外语学校初中实验部、安芳小学、罗湖外语学校初中部</x:v>
      </x:c>
      <x:c r="P54" s="48" t="str">
        <x:v>https://shenzhen.leyoujia.com/xq/detail/1931.html</x:v>
      </x:c>
      <x:c r="Q54" s="48" t="str">
        <x:v>https://fang-community.leyoujia.com//pic/hsl/2018-07/21/1d67a077-250a-4648-ad7a-23b39f573e14.jpg</x:v>
      </x:c>
    </x:row>
    <x:row r="55">
      <x:c r="A55" s="48" t="str">
        <x:v>文锦花园(春风路)</x:v>
      </x:c>
      <x:c r="B55" s="48" t="str">
        <x:v>未命中</x:v>
      </x:c>
      <x:c r="C55" s="48" t="str"/>
      <x:c r="D55" s="48" t="str"/>
      <x:c r="E55" s="48" t="str">
        <x:v>待核</x:v>
      </x:c>
      <x:c r="F55" s="48" t="str">
        <x:v>待核</x:v>
      </x:c>
      <x:c r="G55" s="48" t="str"/>
      <x:c r="H55" s="48" t="str"/>
      <x:c r="I55" s="48" t="str"/>
      <x:c r="J55" s="48" t="str"/>
      <x:c r="K55" s="48"/>
      <x:c r="L55" s="48"/>
      <x:c r="M55" s="48"/>
      <x:c r="N55" s="48"/>
      <x:c r="O55" s="48" t="str"/>
      <x:c r="P55" s="48" t="str"/>
      <x:c r="Q55" s="48" t="str"/>
    </x:row>
    <x:row r="56">
      <x:c r="A56" s="48" t="str">
        <x:v>文锦中学教工楼</x:v>
      </x:c>
      <x:c r="B56" s="48" t="str">
        <x:v>文锦中学教工楼</x:v>
      </x:c>
      <x:c r="C56" s="48" t="str">
        <x:v>罗湖深圳市文锦南路1013号</x:v>
      </x:c>
      <x:c r="D56" s="48" t="str">
        <x:v>1997-12-31</x:v>
      </x:c>
      <x:c r="E56" s="48" t="str">
        <x:v>半开放式</x:v>
      </x:c>
      <x:c r="F56" s="48" t="str">
        <x:v>住宅</x:v>
      </x:c>
      <x:c r="G56" s="48" t="str">
        <x:v>深圳市宝发投资有限公司开发</x:v>
      </x:c>
      <x:c r="H56" s="48" t="str">
        <x:v>深圳市鑫辉物业有限公司</x:v>
      </x:c>
      <x:c r="I56" s="48" t="str">
        <x:v>3.4-3.8元/㎡</x:v>
      </x:c>
      <x:c r="J56" s="48" t="str">
        <x:v>地上:250.0</x:v>
      </x:c>
      <x:c r="K56" s="48" t="n">
        <x:v>35</x:v>
      </x:c>
      <x:c r="L56" s="48" t="n">
        <x:v>3</x:v>
      </x:c>
      <x:c r="M56" s="48" t="n">
        <x:v>50</x:v>
      </x:c>
      <x:c r="N56" s="48" t="n">
        <x:v>2</x:v>
      </x:c>
      <x:c r="O56" s="48" t="str">
        <x:v>向西小学、文锦中学</x:v>
      </x:c>
      <x:c r="P56" s="48" t="str">
        <x:v>https://shenzhen.leyoujia.com/xq/detail/3522.html</x:v>
      </x:c>
      <x:c r="Q56" s="48" t="str">
        <x:v>https://fang-community.leyoujia.com//pic/hsl/2018-10/09/18ae0937-f13b-4a4b-823c-8f7e6aedcd1f.jpg</x:v>
      </x:c>
    </x:row>
    <x:row r="57">
      <x:c r="A57" s="48" t="str">
        <x:v>鸿翔花园</x:v>
      </x:c>
      <x:c r="B57" s="48" t="str">
        <x:v>鸿翔花园</x:v>
      </x:c>
      <x:c r="C57" s="48" t="str">
        <x:v>罗湖罗湖区松园路68号</x:v>
      </x:c>
      <x:c r="D57" s="48" t="str">
        <x:v>2005-05-10</x:v>
      </x:c>
      <x:c r="E57" s="48" t="str">
        <x:v>全封闭式</x:v>
      </x:c>
      <x:c r="F57" s="48" t="str">
        <x:v>住宅、商铺</x:v>
      </x:c>
      <x:c r="G57" s="48" t="str">
        <x:v>深圳市鸿翔实业有限公司</x:v>
      </x:c>
      <x:c r="H57" s="48" t="str">
        <x:v>深圳市半岛物业有限公司</x:v>
      </x:c>
      <x:c r="I57" s="48" t="str">
        <x:v>3.5-3.5元/㎡</x:v>
      </x:c>
      <x:c r="J57" s="48" t="str">
        <x:v>地上:150.0 地下:150.0</x:v>
      </x:c>
      <x:c r="K57" s="48" t="n">
        <x:v>40</x:v>
      </x:c>
      <x:c r="L57" s="48" t="n">
        <x:v>6.2</x:v>
      </x:c>
      <x:c r="M57" s="48" t="n">
        <x:v>1425</x:v>
      </x:c>
      <x:c r="N57" s="48" t="n">
        <x:v>7</x:v>
      </x:c>
      <x:c r="O57" s="48" t="str">
        <x:v>红岭小学、桂园中学</x:v>
      </x:c>
      <x:c r="P57" s="48" t="str">
        <x:v>https://shenzhen.leyoujia.com/xq/detail/97.html</x:v>
      </x:c>
      <x:c r="Q57" s="48" t="str">
        <x:v>https://fang-community.leyoujia.com//pic/hsl/2018-10/10/a87a9d3f-912f-4a1e-82f5-216463262d7b.jpg</x:v>
      </x:c>
    </x:row>
    <x:row r="58">
      <x:c r="A58" s="48" t="str">
        <x:v>嘉福苑</x:v>
      </x:c>
      <x:c r="B58" s="48" t="str">
        <x:v>嘉福苑</x:v>
      </x:c>
      <x:c r="C58" s="48" t="str">
        <x:v>罗湖罗湖区红桂路</x:v>
      </x:c>
      <x:c r="D58" s="48" t="str">
        <x:v>1989-12-31</x:v>
      </x:c>
      <x:c r="E58" s="48" t="str">
        <x:v>全开放式</x:v>
      </x:c>
      <x:c r="F58" s="48" t="str">
        <x:v>住宅</x:v>
      </x:c>
      <x:c r="G58" s="48" t="str">
        <x:v>农业银行</x:v>
      </x:c>
      <x:c r="H58" s="48" t="str">
        <x:v>深圳市鹏安诚物业管理服务有限公司</x:v>
      </x:c>
      <x:c r="I58" s="48" t="str">
        <x:v>0.8-1.0元/㎡</x:v>
      </x:c>
      <x:c r="J58" s="48" t="str"/>
      <x:c r="K58" s="48" t="n">
        <x:v>30</x:v>
      </x:c>
      <x:c r="L58" s="48" t="n">
        <x:v>1.07</x:v>
      </x:c>
      <x:c r="M58" s="48" t="n">
        <x:v>100</x:v>
      </x:c>
      <x:c r="N58" s="48" t="n">
        <x:v>4</x:v>
      </x:c>
      <x:c r="O58" s="48" t="str">
        <x:v>红桂中学、桂园小学</x:v>
      </x:c>
      <x:c r="P58" s="48" t="str">
        <x:v>https://shenzhen.leyoujia.com/xq/detail/3423.html</x:v>
      </x:c>
      <x:c r="Q58" s="48" t="str">
        <x:v>https://fang-community.leyoujia.com//pic/hsl/2018-10/18/d7c91c6f-fe81-44bf-9bd8-c3ec14e94c78.JPG</x:v>
      </x:c>
    </x:row>
    <x:row r="59">
      <x:c r="A59" s="48" t="str">
        <x:v>同乐大厦</x:v>
      </x:c>
      <x:c r="B59" s="48" t="str">
        <x:v>同乐大厦</x:v>
      </x:c>
      <x:c r="C59" s="48" t="str">
        <x:v>笋岗东路1号</x:v>
      </x:c>
      <x:c r="D59" s="48" t="str">
        <x:v>1995-08-15</x:v>
      </x:c>
      <x:c r="E59" s="48" t="str">
        <x:v>全开放式</x:v>
      </x:c>
      <x:c r="F59" s="48" t="str">
        <x:v>住宅、写字楼、商铺</x:v>
      </x:c>
      <x:c r="G59" s="48" t="str">
        <x:v>罗湖房地产开发商</x:v>
      </x:c>
      <x:c r="H59" s="48" t="str">
        <x:v>深圳外贸物业管理公司</x:v>
      </x:c>
      <x:c r="I59" s="48" t="str">
        <x:v>3.2-3.2元/㎡</x:v>
      </x:c>
      <x:c r="J59" s="48" t="str">
        <x:v>地上:250.0 地下:300.0</x:v>
      </x:c>
      <x:c r="K59" s="48" t="n">
        <x:v>15</x:v>
      </x:c>
      <x:c r="L59" s="48" t="n">
        <x:v>5.7</x:v>
      </x:c>
      <x:c r="M59" s="48" t="n">
        <x:v>302</x:v>
      </x:c>
      <x:c r="N59" s="48" t="n">
        <x:v>2</x:v>
      </x:c>
      <x:c r="O59" s="48" t="str">
        <x:v>桂园中学、深圳市洪湖小学</x:v>
      </x:c>
      <x:c r="P59" s="48" t="str">
        <x:v>https://shenzhen.leyoujia.com/xq/detail/1574.html</x:v>
      </x:c>
      <x:c r="Q59" s="48" t="str">
        <x:v>https://fang-community.leyoujia.com//pic/hsl/2018-10/25/a3a0042d-c829-479d-9dd7-f9177c469f25.JPG</x:v>
      </x:c>
    </x:row>
    <x:row r="60">
      <x:c r="A60" s="48" t="str">
        <x:v>景贝南小区</x:v>
      </x:c>
      <x:c r="B60" s="48" t="str">
        <x:v>景贝南小区</x:v>
      </x:c>
      <x:c r="C60" s="48" t="str">
        <x:v>罗湖罗湖区黄贝路</x:v>
      </x:c>
      <x:c r="D60" s="48" t="str">
        <x:v>1985-01-15</x:v>
      </x:c>
      <x:c r="E60" s="48" t="str">
        <x:v>半开放式</x:v>
      </x:c>
      <x:c r="F60" s="48" t="str">
        <x:v>住宅、商铺</x:v>
      </x:c>
      <x:c r="G60" s="48" t="str">
        <x:v>深圳城建开发商</x:v>
      </x:c>
      <x:c r="H60" s="48" t="str">
        <x:v>深圳景贝南物业管理公司</x:v>
      </x:c>
      <x:c r="I60" s="48" t="str">
        <x:v>0.8-1.0元/㎡</x:v>
      </x:c>
      <x:c r="J60" s="48" t="str">
        <x:v>地上:150.0</x:v>
      </x:c>
      <x:c r="K60" s="48" t="n">
        <x:v>40</x:v>
      </x:c>
      <x:c r="L60" s="48" t="n">
        <x:v>1.2</x:v>
      </x:c>
      <x:c r="M60" s="48" t="n">
        <x:v>250</x:v>
      </x:c>
      <x:c r="N60" s="48" t="n">
        <x:v>49</x:v>
      </x:c>
      <x:c r="O60" s="48" t="str">
        <x:v>景贝小学、翠园中学初中本部、翠园实验学校</x:v>
      </x:c>
      <x:c r="P60" s="48" t="str">
        <x:v>https://shenzhen.leyoujia.com/xq/detail/1032.html</x:v>
      </x:c>
      <x:c r="Q60" s="48" t="str">
        <x:v>https://fang-community.leyoujia.com//pic/hsl/2018-09/07/d187a3c6-fda0-4e3d-914c-b3d1944910c0.JPG</x:v>
      </x:c>
    </x:row>
    <x:row r="61">
      <x:c r="A61" s="48" t="str">
        <x:v>景园大厦(松园路)</x:v>
      </x:c>
      <x:c r="B61" s="48" t="str">
        <x:v>未命中</x:v>
      </x:c>
      <x:c r="C61" s="48" t="str"/>
      <x:c r="D61" s="48" t="str"/>
      <x:c r="E61" s="48" t="str">
        <x:v>待核</x:v>
      </x:c>
      <x:c r="F61" s="48" t="str">
        <x:v>待核</x:v>
      </x:c>
      <x:c r="G61" s="48" t="str"/>
      <x:c r="H61" s="48" t="str"/>
      <x:c r="I61" s="48" t="str"/>
      <x:c r="J61" s="48" t="str"/>
      <x:c r="K61" s="48"/>
      <x:c r="L61" s="48"/>
      <x:c r="M61" s="48"/>
      <x:c r="N61" s="48"/>
      <x:c r="O61" s="48" t="str"/>
      <x:c r="P61" s="48" t="str"/>
      <x:c r="Q61" s="48" t="str"/>
    </x:row>
    <x:row r="62">
      <x:c r="A62" s="48" t="str">
        <x:v>新天地名居</x:v>
      </x:c>
      <x:c r="B62" s="48" t="str">
        <x:v>新天地名居</x:v>
      </x:c>
      <x:c r="C62" s="48" t="str">
        <x:v>罗湖深南东路与北斗路交汇处</x:v>
      </x:c>
      <x:c r="D62" s="48" t="str">
        <x:v>2005-09-12</x:v>
      </x:c>
      <x:c r="E62" s="48" t="str">
        <x:v>全封闭式</x:v>
      </x:c>
      <x:c r="F62" s="48" t="str">
        <x:v>住宅</x:v>
      </x:c>
      <x:c r="G62" s="48" t="str">
        <x:v>深圳市金光华实业有限公司</x:v>
      </x:c>
      <x:c r="H62" s="48" t="str">
        <x:v>深圳市光华物业管理公司</x:v>
      </x:c>
      <x:c r="I62" s="48" t="str">
        <x:v>3.5-3.5元/㎡</x:v>
      </x:c>
      <x:c r="J62" s="48" t="str">
        <x:v>地上:250.0 地下:300.0</x:v>
      </x:c>
      <x:c r="K62" s="48" t="n">
        <x:v>32</x:v>
      </x:c>
      <x:c r="L62" s="48" t="n">
        <x:v>9</x:v>
      </x:c>
      <x:c r="M62" s="48" t="n">
        <x:v>1100</x:v>
      </x:c>
      <x:c r="N62" s="48" t="n">
        <x:v>5</x:v>
      </x:c>
      <x:c r="O62" s="48" t="str">
        <x:v>北斗小学、文锦中学</x:v>
      </x:c>
      <x:c r="P62" s="48" t="str">
        <x:v>https://shenzhen.leyoujia.com/xq/detail/63.html</x:v>
      </x:c>
      <x:c r="Q62" s="48" t="str">
        <x:v>https://fang-community.leyoujia.com//pic/hsl/2018-09/06/b9b613e8-2a2d-4042-b5a3-408e46f10961.JPG</x:v>
      </x:c>
    </x:row>
    <x:row r="63">
      <x:c r="A63" s="48" t="str">
        <x:v>寸金大厦</x:v>
      </x:c>
      <x:c r="B63" s="48" t="str">
        <x:v>寸金大厦</x:v>
      </x:c>
      <x:c r="C63" s="48" t="str">
        <x:v>罗湖区东门南路3003号</x:v>
      </x:c>
      <x:c r="D63" s="48" t="str">
        <x:v>2025-01-31</x:v>
      </x:c>
      <x:c r="E63" s="48" t="str">
        <x:v>全封闭式</x:v>
      </x:c>
      <x:c r="F63" s="48" t="str">
        <x:v>住宅、写字楼</x:v>
      </x:c>
      <x:c r="G63" s="48" t="str">
        <x:v>深圳市寸金物业管理有限公司</x:v>
      </x:c>
      <x:c r="H63" s="48" t="str">
        <x:v>深圳市寸金物业管理有限公司</x:v>
      </x:c>
      <x:c r="I63" s="48" t="str">
        <x:v>6.25-8.0元/㎡</x:v>
      </x:c>
      <x:c r="J63" s="48" t="str">
        <x:v>地下:500.0</x:v>
      </x:c>
      <x:c r="K63" s="48" t="n">
        <x:v>20</x:v>
      </x:c>
      <x:c r="L63" s="48" t="n">
        <x:v>2</x:v>
      </x:c>
      <x:c r="M63" s="48" t="n">
        <x:v>120</x:v>
      </x:c>
      <x:c r="N63" s="48" t="n">
        <x:v>1</x:v>
      </x:c>
      <x:c r="O63" s="48" t="str">
        <x:v>南湖小学、深圳市罗湖中学</x:v>
      </x:c>
      <x:c r="P63" s="48" t="str">
        <x:v>https://shenzhen.leyoujia.com/xq/detail/14412.html</x:v>
      </x:c>
      <x:c r="Q63" s="48" t="str">
        <x:v>https://fang-community.leyoujia.com//pic/hsl/2018-12/22/e5ba56a2-0d1d-41f1-a3d4-0097630f33d3.JPG</x:v>
      </x:c>
    </x:row>
    <x:row r="64">
      <x:c r="A64" s="48" t="str">
        <x:v>名仕阁</x:v>
      </x:c>
      <x:c r="B64" s="48" t="str">
        <x:v>名仕阁</x:v>
      </x:c>
      <x:c r="C64" s="48" t="str">
        <x:v>罗湖解放路和宝安南路的交界处</x:v>
      </x:c>
      <x:c r="D64" s="48" t="str">
        <x:v>1999-06-24</x:v>
      </x:c>
      <x:c r="E64" s="48" t="str">
        <x:v>半开放式</x:v>
      </x:c>
      <x:c r="F64" s="48" t="str">
        <x:v>住宅、商铺</x:v>
      </x:c>
      <x:c r="G64" s="48" t="str">
        <x:v>深圳金项物业发展有限公司</x:v>
      </x:c>
      <x:c r="H64" s="48" t="str">
        <x:v>深圳市正阳投资开发有限公司</x:v>
      </x:c>
      <x:c r="I64" s="48" t="str">
        <x:v>3.9-3.9元/㎡</x:v>
      </x:c>
      <x:c r="J64" s="48" t="str">
        <x:v>地上:200.0 地下:200.0</x:v>
      </x:c>
      <x:c r="K64" s="48" t="n">
        <x:v>25</x:v>
      </x:c>
      <x:c r="L64" s="48" t="n">
        <x:v>9.97</x:v>
      </x:c>
      <x:c r="M64" s="48" t="n">
        <x:v>560</x:v>
      </x:c>
      <x:c r="N64" s="48" t="n">
        <x:v>2</x:v>
      </x:c>
      <x:c r="O64" s="48" t="str">
        <x:v>红桂中学、桂园小学</x:v>
      </x:c>
      <x:c r="P64" s="48" t="str">
        <x:v>https://shenzhen.leyoujia.com/xq/detail/845.html</x:v>
      </x:c>
      <x:c r="Q64" s="48" t="str">
        <x:v>https://fang-community.leyoujia.com//pic/hsl/2018-10/16/7e280ce6-9c3e-4ae8-87d9-d71b62b31b37.JPG</x:v>
      </x:c>
    </x:row>
    <x:row r="65">
      <x:c r="A65" s="48" t="str">
        <x:v>金色都汇</x:v>
      </x:c>
      <x:c r="B65" s="48" t="str">
        <x:v>金色都汇</x:v>
      </x:c>
      <x:c r="C65" s="48" t="str">
        <x:v>罗湖罗湖向西村东门</x:v>
      </x:c>
      <x:c r="D65" s="48" t="str">
        <x:v>2004-05-17</x:v>
      </x:c>
      <x:c r="E65" s="48" t="str">
        <x:v>全封闭式</x:v>
      </x:c>
      <x:c r="F65" s="48" t="str">
        <x:v>住宅、商铺</x:v>
      </x:c>
      <x:c r="G65" s="48" t="str">
        <x:v>深圳冠懋房地产开发有限公司</x:v>
      </x:c>
      <x:c r="H65" s="48" t="str">
        <x:v>深圳冠懋房地产集团有限公司</x:v>
      </x:c>
      <x:c r="I65" s="48" t="str">
        <x:v>3.8-3.8元/㎡</x:v>
      </x:c>
      <x:c r="J65" s="48" t="str">
        <x:v>地下:250.0</x:v>
      </x:c>
      <x:c r="K65" s="48" t="n">
        <x:v>30</x:v>
      </x:c>
      <x:c r="L65" s="48" t="n">
        <x:v>2.2</x:v>
      </x:c>
      <x:c r="M65" s="48" t="n">
        <x:v>200</x:v>
      </x:c>
      <x:c r="N65" s="48" t="n">
        <x:v>3</x:v>
      </x:c>
      <x:c r="O65" s="48" t="str">
        <x:v>向西小学、深圳市罗湖中学</x:v>
      </x:c>
      <x:c r="P65" s="48" t="str">
        <x:v>https://shenzhen.leyoujia.com/xq/detail/605.html</x:v>
      </x:c>
      <x:c r="Q65" s="48" t="str">
        <x:v>https://fang-community.leyoujia.com//pic/hsl/2018-10/18/3386c82b-c26d-4224-8e28-f85e1aad4b77.JPG</x:v>
      </x:c>
    </x:row>
    <x:row r="66">
      <x:c r="A66" s="48" t="str">
        <x:v>幸福华府</x:v>
      </x:c>
      <x:c r="B66" s="48" t="str">
        <x:v>幸福华府</x:v>
      </x:c>
      <x:c r="C66" s="48" t="str">
        <x:v>宝安南路与红桂路交汇处</x:v>
      </x:c>
      <x:c r="D66" s="48" t="str">
        <x:v>2012-04-03</x:v>
      </x:c>
      <x:c r="E66" s="48" t="str">
        <x:v>半开放式</x:v>
      </x:c>
      <x:c r="F66" s="48" t="str">
        <x:v>住宅</x:v>
      </x:c>
      <x:c r="G66" s="48" t="str">
        <x:v>广州军区</x:v>
      </x:c>
      <x:c r="H66" s="48" t="str">
        <x:v>幸福华府物业管理有限公司</x:v>
      </x:c>
      <x:c r="I66" s="48" t="str">
        <x:v>3.39-3.39元/㎡</x:v>
      </x:c>
      <x:c r="J66" s="48" t="str">
        <x:v>地上:300.0 地下:300.0</x:v>
      </x:c>
      <x:c r="K66" s="48" t="n">
        <x:v>30</x:v>
      </x:c>
      <x:c r="L66" s="48" t="n">
        <x:v>1.2</x:v>
      </x:c>
      <x:c r="M66" s="48" t="n">
        <x:v>1000</x:v>
      </x:c>
      <x:c r="N66" s="48" t="n">
        <x:v>3</x:v>
      </x:c>
      <x:c r="O66" s="48" t="str">
        <x:v>红桂小学、深圳市百草园小学、红桂中学、桂园小学</x:v>
      </x:c>
      <x:c r="P66" s="48" t="str">
        <x:v>https://shenzhen.leyoujia.com/xq/detail/7965.html</x:v>
      </x:c>
      <x:c r="Q66" s="48" t="str"/>
    </x:row>
    <x:row r="67">
      <x:c r="A67" s="48" t="str">
        <x:v>名都大厦A座</x:v>
      </x:c>
      <x:c r="B67" s="48" t="str">
        <x:v>未命中</x:v>
      </x:c>
      <x:c r="C67" s="48" t="str"/>
      <x:c r="D67" s="48" t="str"/>
      <x:c r="E67" s="48" t="str">
        <x:v>待核</x:v>
      </x:c>
      <x:c r="F67" s="48" t="str">
        <x:v>待核</x:v>
      </x:c>
      <x:c r="G67" s="48" t="str"/>
      <x:c r="H67" s="48" t="str"/>
      <x:c r="I67" s="48" t="str"/>
      <x:c r="J67" s="48" t="str"/>
      <x:c r="K67" s="48"/>
      <x:c r="L67" s="48"/>
      <x:c r="M67" s="48"/>
      <x:c r="N67" s="48"/>
      <x:c r="O67" s="48" t="str"/>
      <x:c r="P67" s="48" t="str"/>
      <x:c r="Q67" s="48" t="str"/>
    </x:row>
    <x:row r="68">
      <x:c r="A68" s="48" t="str">
        <x:v>嘉年华名苑</x:v>
      </x:c>
      <x:c r="B68" s="48" t="str">
        <x:v>嘉年华名苑</x:v>
      </x:c>
      <x:c r="C68" s="48" t="str">
        <x:v>罗湖罗湖晒布路与东门中路交汇处</x:v>
      </x:c>
      <x:c r="D68" s="48" t="str">
        <x:v>2003-12-08</x:v>
      </x:c>
      <x:c r="E68" s="48" t="str">
        <x:v>全封闭式</x:v>
      </x:c>
      <x:c r="F68" s="48" t="str">
        <x:v>住宅、商铺</x:v>
      </x:c>
      <x:c r="G68" s="48" t="str">
        <x:v>深圳市德泰房地产开发有限公司</x:v>
      </x:c>
      <x:c r="H68" s="48" t="str">
        <x:v>深海物业管理(深圳)有限公司</x:v>
      </x:c>
      <x:c r="I68" s="48" t="str">
        <x:v>3.5-3.5元/㎡</x:v>
      </x:c>
      <x:c r="J68" s="48" t="str">
        <x:v>地上:250.0 地下:300.0</x:v>
      </x:c>
      <x:c r="K68" s="48" t="n">
        <x:v>30</x:v>
      </x:c>
      <x:c r="L68" s="48" t="n">
        <x:v>7.2</x:v>
      </x:c>
      <x:c r="M68" s="48" t="n">
        <x:v>110</x:v>
      </x:c>
      <x:c r="N68" s="48" t="n">
        <x:v>1</x:v>
      </x:c>
      <x:c r="O68" s="48" t="str">
        <x:v>深圳小学、桂园中学</x:v>
      </x:c>
      <x:c r="P68" s="48" t="str">
        <x:v>https://shenzhen.leyoujia.com/xq/detail/1650.html</x:v>
      </x:c>
      <x:c r="Q68" s="48" t="str">
        <x:v>https://fang-community.leyoujia.com//pic/hsl/2018-10/19/8fbed507-94d3-484d-a5e8-78863dcc0609.JPG</x:v>
      </x:c>
    </x:row>
    <x:row r="69">
      <x:c r="A69" s="48" t="str">
        <x:v>金城华庭</x:v>
      </x:c>
      <x:c r="B69" s="48" t="str">
        <x:v>金城华庭</x:v>
      </x:c>
      <x:c r="C69" s="48" t="str">
        <x:v>罗湖凤凰路凤凰街6号</x:v>
      </x:c>
      <x:c r="D69" s="48" t="str">
        <x:v>2003-10-16</x:v>
      </x:c>
      <x:c r="E69" s="48" t="str">
        <x:v>全封闭式</x:v>
      </x:c>
      <x:c r="F69" s="48" t="str">
        <x:v>住宅、车位</x:v>
      </x:c>
      <x:c r="G69" s="48" t="str">
        <x:v>深圳市金光华实业有限公司</x:v>
      </x:c>
      <x:c r="H69" s="48" t="str">
        <x:v>深圳市光华实业管理有限公司</x:v>
      </x:c>
      <x:c r="I69" s="48" t="str">
        <x:v>3.2-3.2元/㎡</x:v>
      </x:c>
      <x:c r="J69" s="48" t="str">
        <x:v>地上:250.0 地下:280.0</x:v>
      </x:c>
      <x:c r="K69" s="48" t="n">
        <x:v>30</x:v>
      </x:c>
      <x:c r="L69" s="48" t="n">
        <x:v>7.2</x:v>
      </x:c>
      <x:c r="M69" s="48" t="n">
        <x:v>500</x:v>
      </x:c>
      <x:c r="N69" s="48" t="n">
        <x:v>10</x:v>
      </x:c>
      <x:c r="O69" s="48" t="str">
        <x:v>螺岭外国语实验学校小学部、文锦中学</x:v>
      </x:c>
      <x:c r="P69" s="48" t="str">
        <x:v>https://shenzhen.leyoujia.com/xq/detail/84.html</x:v>
      </x:c>
      <x:c r="Q69" s="48" t="str">
        <x:v>https://fang-community.leyoujia.com//pic/hsl/2018-09/14/44e92867-c628-4595-aabc-1b8369d8cf55.jpg</x:v>
      </x:c>
    </x:row>
    <x:row r="70">
      <x:c r="A70" s="48" t="str">
        <x:v>天俊大厦</x:v>
      </x:c>
      <x:c r="B70" s="48" t="str">
        <x:v>天俊大厦</x:v>
      </x:c>
      <x:c r="C70" s="48" t="str">
        <x:v>罗湖东门南路彭年酒店北侧、西武斜对面</x:v>
      </x:c>
      <x:c r="D70" s="48" t="str">
        <x:v>2005-01-09</x:v>
      </x:c>
      <x:c r="E70" s="48" t="str">
        <x:v>全封闭式</x:v>
      </x:c>
      <x:c r="F70" s="48" t="str">
        <x:v>住宅、写字楼、商铺、车位</x:v>
      </x:c>
      <x:c r="G70" s="48" t="str">
        <x:v>深圳天俊实业股份有限公司</x:v>
      </x:c>
      <x:c r="H70" s="48" t="str">
        <x:v>深圳天俊实业股份有限公司</x:v>
      </x:c>
      <x:c r="I70" s="48" t="str">
        <x:v>3.5-3.8元/㎡</x:v>
      </x:c>
      <x:c r="J70" s="48" t="str">
        <x:v>地上:260.0</x:v>
      </x:c>
      <x:c r="K70" s="48" t="n">
        <x:v>10</x:v>
      </x:c>
      <x:c r="L70" s="48" t="n">
        <x:v>9.5</x:v>
      </x:c>
      <x:c r="M70" s="48" t="n">
        <x:v>20</x:v>
      </x:c>
      <x:c r="N70" s="48" t="n">
        <x:v>1</x:v>
      </x:c>
      <x:c r="O70" s="48" t="str">
        <x:v>南湖小学、深圳市罗湖中学、向西小学</x:v>
      </x:c>
      <x:c r="P70" s="48" t="str">
        <x:v>https://shenzhen.leyoujia.com/xq/detail/1508.html</x:v>
      </x:c>
      <x:c r="Q70" s="48" t="str">
        <x:v>https://fang-community.leyoujia.com//pic/hsl/2018-10/22/fa6a310c-6f2c-4eb1-a0bf-098aa18c7205.JPG</x:v>
      </x:c>
    </x:row>
    <x:row r="71">
      <x:c r="A71" s="48" t="str">
        <x:v>金龙大厦</x:v>
      </x:c>
      <x:c r="B71" s="48" t="str">
        <x:v>金龙大厦（东门）</x:v>
      </x:c>
      <x:c r="C71" s="48" t="str">
        <x:v>东门南路3007号</x:v>
      </x:c>
      <x:c r="D71" s="48" t="str">
        <x:v>1992-08-10</x:v>
      </x:c>
      <x:c r="E71" s="48" t="str">
        <x:v>全封闭式</x:v>
      </x:c>
      <x:c r="F71" s="48" t="str">
        <x:v>住宅、写字楼、车位</x:v>
      </x:c>
      <x:c r="G71" s="48" t="str">
        <x:v>正业集团</x:v>
      </x:c>
      <x:c r="H71" s="48" t="str">
        <x:v>恒裕物业管理有限公司</x:v>
      </x:c>
      <x:c r="I71" s="48" t="str">
        <x:v>12.0-20.0元/㎡</x:v>
      </x:c>
      <x:c r="J71" s="48" t="str">
        <x:v>地下:250.0</x:v>
      </x:c>
      <x:c r="K71" s="48" t="n">
        <x:v>10</x:v>
      </x:c>
      <x:c r="L71" s="48" t="n">
        <x:v>3</x:v>
      </x:c>
      <x:c r="M71" s="48" t="n">
        <x:v>80</x:v>
      </x:c>
      <x:c r="N71" s="48" t="n">
        <x:v>1</x:v>
      </x:c>
      <x:c r="O71" s="48" t="str">
        <x:v>桂园小学、南湖小学、深圳市罗湖中学</x:v>
      </x:c>
      <x:c r="P71" s="48" t="str">
        <x:v>https://shenzhen.leyoujia.com/xq/detail/47482.html</x:v>
      </x:c>
      <x:c r="Q71" s="48" t="str">
        <x:v>https://fang-community.leyoujia.com//pic/hsl/2018-10/18/5d8ac217-1711-4a7a-b96e-715c0fbbd666.JPG</x:v>
      </x:c>
    </x:row>
    <x:row r="72">
      <x:c r="A72" s="48" t="str">
        <x:v>国都花园</x:v>
      </x:c>
      <x:c r="B72" s="48" t="str">
        <x:v>国都花园</x:v>
      </x:c>
      <x:c r="C72" s="48" t="str">
        <x:v>罗湖罗湖宝安南路</x:v>
      </x:c>
      <x:c r="D72" s="48" t="str">
        <x:v>1994-08-16</x:v>
      </x:c>
      <x:c r="E72" s="48" t="str">
        <x:v>半开放式</x:v>
      </x:c>
      <x:c r="F72" s="48" t="str">
        <x:v>住宅、写字楼、商铺</x:v>
      </x:c>
      <x:c r="G72" s="48" t="str">
        <x:v>国都集团（深圳）发展有限公司</x:v>
      </x:c>
      <x:c r="H72" s="48" t="str">
        <x:v>深圳市国都花园物业管理有限公司</x:v>
      </x:c>
      <x:c r="I72" s="48" t="str">
        <x:v>3.2-3.5元/㎡</x:v>
      </x:c>
      <x:c r="J72" s="48" t="str">
        <x:v>地上:110.0 地下:250.0</x:v>
      </x:c>
      <x:c r="K72" s="48" t="n">
        <x:v>35</x:v>
      </x:c>
      <x:c r="L72" s="48" t="n">
        <x:v>7.7</x:v>
      </x:c>
      <x:c r="M72" s="48" t="n">
        <x:v>120</x:v>
      </x:c>
      <x:c r="N72" s="48" t="n">
        <x:v>2</x:v>
      </x:c>
      <x:c r="O72" s="48" t="str">
        <x:v>红桂中学、桂园小学、深圳市百草园小学</x:v>
      </x:c>
      <x:c r="P72" s="48" t="str">
        <x:v>https://shenzhen.leyoujia.com/xq/detail/1252.html</x:v>
      </x:c>
      <x:c r="Q72" s="48" t="str">
        <x:v>https://fang-community.leyoujia.com//pic/hsl/2018-09/21/6cedab20-3eb8-47e3-9889-107837aa278a.jpg</x:v>
      </x:c>
    </x:row>
    <x:row r="73">
      <x:c r="A73" s="48" t="str">
        <x:v>日豪名园2A</x:v>
      </x:c>
      <x:c r="B73" s="48" t="str">
        <x:v>日豪名园</x:v>
      </x:c>
      <x:c r="C73" s="48" t="str">
        <x:v>罗湖深圳市宝安南路2139号</x:v>
      </x:c>
      <x:c r="D73" s="48" t="str">
        <x:v>2000-04-30</x:v>
      </x:c>
      <x:c r="E73" s="48" t="str">
        <x:v>全开放式</x:v>
      </x:c>
      <x:c r="F73" s="48" t="str">
        <x:v>住宅</x:v>
      </x:c>
      <x:c r="G73" s="48" t="str">
        <x:v>深圳市东江渔村实业有限公司</x:v>
      </x:c>
      <x:c r="H73" s="48" t="str">
        <x:v>深圳市晨晖物业管理有限公司</x:v>
      </x:c>
      <x:c r="I73" s="48" t="str">
        <x:v>3.6-3.6元/㎡</x:v>
      </x:c>
      <x:c r="J73" s="48" t="str">
        <x:v>地上:120.0 地下:250.0</x:v>
      </x:c>
      <x:c r="K73" s="48" t="n">
        <x:v>50</x:v>
      </x:c>
      <x:c r="L73" s="48" t="n">
        <x:v>2.6</x:v>
      </x:c>
      <x:c r="M73" s="48" t="n">
        <x:v>120</x:v>
      </x:c>
      <x:c r="N73" s="48" t="n">
        <x:v>1</x:v>
      </x:c>
      <x:c r="O73" s="48" t="str">
        <x:v>红桂中学、桂园小学</x:v>
      </x:c>
      <x:c r="P73" s="48" t="str">
        <x:v>https://shenzhen.leyoujia.com/xq/detail/1097.html</x:v>
      </x:c>
      <x:c r="Q73" s="48" t="str">
        <x:v>https://fang-community.leyoujia.com//pic/hsl/2018-10/10/995af32d-7dfc-45a9-a7c2-c56aad476b35.jpg</x:v>
      </x:c>
    </x:row>
    <x:row r="74">
      <x:c r="A74" s="48" t="str">
        <x:v>渔民村</x:v>
      </x:c>
      <x:c r="B74" s="48" t="str">
        <x:v>渔民村住宅区</x:v>
      </x:c>
      <x:c r="C74" s="48" t="str">
        <x:v>罗湖罗湖区渔民村</x:v>
      </x:c>
      <x:c r="D74" s="48" t="str">
        <x:v>2004-05-13</x:v>
      </x:c>
      <x:c r="E74" s="48" t="str">
        <x:v>半开放式</x:v>
      </x:c>
      <x:c r="F74" s="48" t="str">
        <x:v>住宅</x:v>
      </x:c>
      <x:c r="G74" s="48" t="str">
        <x:v>渔民住宅区</x:v>
      </x:c>
      <x:c r="H74" s="48" t="str">
        <x:v>深圳市渔丰物业管理有限公司</x:v>
      </x:c>
      <x:c r="I74" s="48" t="str">
        <x:v>3.0-3.0元/㎡</x:v>
      </x:c>
      <x:c r="J74" s="48" t="str"/>
      <x:c r="K74" s="48" t="n">
        <x:v>21.86</x:v>
      </x:c>
      <x:c r="L74" s="48" t="n">
        <x:v>2.6</x:v>
      </x:c>
      <x:c r="M74" s="48" t="n">
        <x:v>200</x:v>
      </x:c>
      <x:c r="N74" s="48" t="n">
        <x:v>12</x:v>
      </x:c>
      <x:c r="O74" s="48" t="str">
        <x:v>滨河小学、滨河实验中学</x:v>
      </x:c>
      <x:c r="P74" s="48" t="str">
        <x:v>https://shenzhen.leyoujia.com/xq/detail/3323.html</x:v>
      </x:c>
      <x:c r="Q74" s="48" t="str">
        <x:v>https://fang-community.leyoujia.com//pic/hsl/2018-09/28/311e9b1e-bce3-41bf-822e-37f2664cec79.jpg</x:v>
      </x:c>
    </x:row>
    <x:row r="75">
      <x:c r="A75" s="48" t="str">
        <x:v>华盛君荟名庭</x:v>
      </x:c>
      <x:c r="B75" s="48" t="str">
        <x:v>华盛君荟名庭</x:v>
      </x:c>
      <x:c r="C75" s="48" t="str">
        <x:v>罗湖东门中路同乐天桥西侧（晒布地铁站B、C出口）</x:v>
      </x:c>
      <x:c r="D75" s="48" t="str">
        <x:v>2012-02-27</x:v>
      </x:c>
      <x:c r="E75" s="48" t="str">
        <x:v>全封闭式</x:v>
      </x:c>
      <x:c r="F75" s="48" t="str">
        <x:v>住宅</x:v>
      </x:c>
      <x:c r="G75" s="48" t="str">
        <x:v>深圳市盛善投资发展有限公司</x:v>
      </x:c>
      <x:c r="H75" s="48" t="str">
        <x:v>深圳市华盛物业管理有限公司</x:v>
      </x:c>
      <x:c r="I75" s="48" t="str">
        <x:v>3.0-3.5元/㎡</x:v>
      </x:c>
      <x:c r="J75" s="48" t="str">
        <x:v>地下:450.0</x:v>
      </x:c>
      <x:c r="K75" s="48" t="n">
        <x:v>37.7</x:v>
      </x:c>
      <x:c r="L75" s="48" t="n">
        <x:v>7.06</x:v>
      </x:c>
      <x:c r="M75" s="48" t="n">
        <x:v>250</x:v>
      </x:c>
      <x:c r="N75" s="48" t="n">
        <x:v>2</x:v>
      </x:c>
      <x:c r="O75" s="48" t="str">
        <x:v>深圳小学、桂园中学</x:v>
      </x:c>
      <x:c r="P75" s="48" t="str">
        <x:v>https://shenzhen.leyoujia.com/xq/detail/3229.html</x:v>
      </x:c>
      <x:c r="Q75" s="48" t="str">
        <x:v>https://fang-community.leyoujia.com//pic/hsl/2018-10/19/fb0165d6-2c41-48a2-a13a-32a2a2927bc4.JPG</x:v>
      </x:c>
    </x:row>
    <x:row r="76">
      <x:c r="A76" s="48" t="str">
        <x:v>文华大厦</x:v>
      </x:c>
      <x:c r="B76" s="48" t="str">
        <x:v>文华大厦</x:v>
      </x:c>
      <x:c r="C76" s="48" t="str">
        <x:v>罗湖罗湖黄贝岭深南东路</x:v>
      </x:c>
      <x:c r="D76" s="48" t="str">
        <x:v>1994-06-30</x:v>
      </x:c>
      <x:c r="E76" s="48" t="str">
        <x:v>半开放式</x:v>
      </x:c>
      <x:c r="F76" s="48" t="str">
        <x:v>住宅、写字楼、商铺</x:v>
      </x:c>
      <x:c r="G76" s="48" t="str">
        <x:v>深圳市深华房地产工程开发公司</x:v>
      </x:c>
      <x:c r="H76" s="48" t="str">
        <x:v>深圳市深华物业管理有限公司</x:v>
      </x:c>
      <x:c r="I76" s="48" t="str">
        <x:v>3.2-3.2元/㎡</x:v>
      </x:c>
      <x:c r="J76" s="48" t="str">
        <x:v>地上:110.0</x:v>
      </x:c>
      <x:c r="K76" s="48" t="n">
        <x:v>10</x:v>
      </x:c>
      <x:c r="L76" s="48" t="n">
        <x:v>4.8</x:v>
      </x:c>
      <x:c r="M76" s="48" t="n">
        <x:v>120</x:v>
      </x:c>
      <x:c r="N76" s="48" t="n">
        <x:v>2</x:v>
      </x:c>
      <x:c r="O76" s="48" t="str">
        <x:v>北斗小学、文锦中学</x:v>
      </x:c>
      <x:c r="P76" s="48" t="str">
        <x:v>https://shenzhen.leyoujia.com/xq/detail/3123.html</x:v>
      </x:c>
      <x:c r="Q76" s="48" t="str">
        <x:v>https://fang-community.leyoujia.com//pic/hsl/2018-09/07/bab3104e-af11-4319-92ae-e33f36723c08.JPG</x:v>
      </x:c>
    </x:row>
    <x:row r="77">
      <x:c r="A77" s="48" t="str">
        <x:v>裕安花园(渔民村路)</x:v>
      </x:c>
      <x:c r="B77" s="48" t="str">
        <x:v>未命中</x:v>
      </x:c>
      <x:c r="C77" s="48" t="str"/>
      <x:c r="D77" s="48" t="str"/>
      <x:c r="E77" s="48" t="str">
        <x:v>待核</x:v>
      </x:c>
      <x:c r="F77" s="48" t="str">
        <x:v>待核</x:v>
      </x:c>
      <x:c r="G77" s="48" t="str"/>
      <x:c r="H77" s="48" t="str"/>
      <x:c r="I77" s="48" t="str"/>
      <x:c r="J77" s="48" t="str"/>
      <x:c r="K77" s="48"/>
      <x:c r="L77" s="48"/>
      <x:c r="M77" s="48"/>
      <x:c r="N77" s="48"/>
      <x:c r="O77" s="48" t="str"/>
      <x:c r="P77" s="48" t="str"/>
      <x:c r="Q77" s="48" t="str"/>
    </x:row>
    <x:row r="78">
      <x:c r="A78" s="48" t="str">
        <x:v>蓝馨苑</x:v>
      </x:c>
      <x:c r="B78" s="48" t="str">
        <x:v>蓝馨苑</x:v>
      </x:c>
      <x:c r="C78" s="48" t="str">
        <x:v>罗湖深圳市罗湖区木头龙(文锦中路)2016号</x:v>
      </x:c>
      <x:c r="D78" s="48" t="str">
        <x:v>2006-11-07</x:v>
      </x:c>
      <x:c r="E78" s="48" t="str">
        <x:v>半开放式</x:v>
      </x:c>
      <x:c r="F78" s="48" t="str">
        <x:v>住宅</x:v>
      </x:c>
      <x:c r="G78" s="48" t="str">
        <x:v>深圳市蓝基实业有限公司</x:v>
      </x:c>
      <x:c r="H78" s="48" t="str">
        <x:v>深圳市花样年物业管理有限公司</x:v>
      </x:c>
      <x:c r="I78" s="48" t="str">
        <x:v>2.8-2.8元/㎡</x:v>
      </x:c>
      <x:c r="J78" s="48" t="str">
        <x:v>地上:300.0 地下:300.0</x:v>
      </x:c>
      <x:c r="K78" s="48" t="n">
        <x:v>67.5</x:v>
      </x:c>
      <x:c r="L78" s="48" t="n">
        <x:v>2.8</x:v>
      </x:c>
      <x:c r="M78" s="48" t="n">
        <x:v>50</x:v>
      </x:c>
      <x:c r="N78" s="48" t="n">
        <x:v>1</x:v>
      </x:c>
      <x:c r="O78" s="48" t="str">
        <x:v>翠竹外国语实验学校小学、文锦中学</x:v>
      </x:c>
      <x:c r="P78" s="48" t="str">
        <x:v>https://shenzhen.leyoujia.com/xq/detail/2994.html</x:v>
      </x:c>
      <x:c r="Q78" s="48" t="str">
        <x:v>https://fang-community.leyoujia.com//pic/hsl/2018-10/09/b80a68e1-0eaa-44cd-8939-b445b61b2fe8.jpg</x:v>
      </x:c>
    </x:row>
    <x:row r="79">
      <x:c r="A79" s="48" t="str">
        <x:v>双城世纪大厦</x:v>
      </x:c>
      <x:c r="B79" s="48" t="str">
        <x:v>双城世纪大厦</x:v>
      </x:c>
      <x:c r="C79" s="48" t="str">
        <x:v>罗湖沿河南路与人民南路交汇处</x:v>
      </x:c>
      <x:c r="D79" s="48" t="str">
        <x:v>2007-04-26</x:v>
      </x:c>
      <x:c r="E79" s="48" t="str">
        <x:v>全封闭式</x:v>
      </x:c>
      <x:c r="F79" s="48" t="str">
        <x:v>住宅、写字楼、商铺</x:v>
      </x:c>
      <x:c r="G79" s="48" t="str">
        <x:v>深圳市新方汇达投资发展有限公司</x:v>
      </x:c>
      <x:c r="H79" s="48" t="str">
        <x:v>深圳市宝创物业管理有限公司</x:v>
      </x:c>
      <x:c r="I79" s="48" t="str">
        <x:v>4.5-4.5元/㎡</x:v>
      </x:c>
      <x:c r="J79" s="48" t="str">
        <x:v>地下:250.0</x:v>
      </x:c>
      <x:c r="K79" s="48" t="n">
        <x:v>50</x:v>
      </x:c>
      <x:c r="L79" s="48" t="n">
        <x:v>3</x:v>
      </x:c>
      <x:c r="M79" s="48" t="n">
        <x:v>200</x:v>
      </x:c>
      <x:c r="N79" s="48" t="n">
        <x:v>2</x:v>
      </x:c>
      <x:c r="O79" s="48" t="str">
        <x:v>南湖小学、深圳市罗湖中学</x:v>
      </x:c>
      <x:c r="P79" s="48" t="str">
        <x:v>https://shenzhen.leyoujia.com/xq/detail/741.html</x:v>
      </x:c>
      <x:c r="Q79" s="48" t="str">
        <x:v>https://fang-community.leyoujia.com//pic/hsl/2018-10/25/0234ba1b-a8d6-42ba-a3be-551ceeeed50b.JPG</x:v>
      </x:c>
    </x:row>
    <x:row r="80">
      <x:c r="A80" s="48" t="str">
        <x:v>文星花园</x:v>
      </x:c>
      <x:c r="B80" s="48" t="str">
        <x:v>文星花园</x:v>
      </x:c>
      <x:c r="C80" s="48" t="str">
        <x:v>罗湖罗湖区春风路万佳旁</x:v>
      </x:c>
      <x:c r="D80" s="48" t="str">
        <x:v>1983-09-12</x:v>
      </x:c>
      <x:c r="E80" s="48" t="str">
        <x:v>全开放式</x:v>
      </x:c>
      <x:c r="F80" s="48" t="str">
        <x:v>住宅、商铺</x:v>
      </x:c>
      <x:c r="G80" s="48" t="str">
        <x:v>深圳市粤国投资发展有限公司</x:v>
      </x:c>
      <x:c r="H80" s="48" t="str">
        <x:v>深圳特发联城地产发展有限公司</x:v>
      </x:c>
      <x:c r="I80" s="48" t="str">
        <x:v>2.4-3.5元/㎡</x:v>
      </x:c>
      <x:c r="J80" s="48" t="str">
        <x:v>地上:250.0 地下:250.0</x:v>
      </x:c>
      <x:c r="K80" s="48" t="n">
        <x:v>30</x:v>
      </x:c>
      <x:c r="L80" s="48" t="n">
        <x:v>2.03</x:v>
      </x:c>
      <x:c r="M80" s="48" t="n">
        <x:v>200</x:v>
      </x:c>
      <x:c r="N80" s="48" t="n">
        <x:v>18</x:v>
      </x:c>
      <x:c r="O80" s="48" t="str">
        <x:v>向西小学、文锦中学</x:v>
      </x:c>
      <x:c r="P80" s="48" t="str">
        <x:v>https://shenzhen.leyoujia.com/xq/detail/3149.html</x:v>
      </x:c>
      <x:c r="Q80" s="48" t="str">
        <x:v>https://fang-community.leyoujia.com//pic/hsl/2018-12/10/9b4ec8f8-97c7-4fc5-bb67-83790baddf57.JPG</x:v>
      </x:c>
    </x:row>
    <x:row r="81">
      <x:c r="A81" s="48" t="str">
        <x:v>聚龙大厦</x:v>
      </x:c>
      <x:c r="B81" s="48" t="str">
        <x:v>聚龙大厦</x:v>
      </x:c>
      <x:c r="C81" s="48" t="str">
        <x:v>罗湖东门中路与文锦中路交汇处</x:v>
      </x:c>
      <x:c r="D81" s="48" t="str">
        <x:v>2001-06-12</x:v>
      </x:c>
      <x:c r="E81" s="48" t="str">
        <x:v>半开放式</x:v>
      </x:c>
      <x:c r="F81" s="48" t="str">
        <x:v>住宅、商铺</x:v>
      </x:c>
      <x:c r="G81" s="48" t="str">
        <x:v>沿海实业（深圳）发展有限公司</x:v>
      </x:c>
      <x:c r="H81" s="48" t="str">
        <x:v>万科物业发展有限公司</x:v>
      </x:c>
      <x:c r="I81" s="48" t="str">
        <x:v>3.0-3.0元/㎡</x:v>
      </x:c>
      <x:c r="J81" s="48" t="str">
        <x:v>地下:450.0</x:v>
      </x:c>
      <x:c r="K81" s="48" t="n">
        <x:v>30</x:v>
      </x:c>
      <x:c r="L81" s="48" t="n">
        <x:v>9.53</x:v>
      </x:c>
      <x:c r="M81" s="48" t="n">
        <x:v>200</x:v>
      </x:c>
      <x:c r="N81" s="48" t="n">
        <x:v>2</x:v>
      </x:c>
      <x:c r="O81" s="48" t="str">
        <x:v>螺岭外国语实验学校小学部、深圳市罗湖中学</x:v>
      </x:c>
      <x:c r="P81" s="48" t="str">
        <x:v>https://shenzhen.leyoujia.com/xq/detail/1803.html</x:v>
      </x:c>
      <x:c r="Q81" s="48" t="str">
        <x:v>https://fang-community.leyoujia.com//pic/hsl/2018-10/11/2e97383a-10fd-4cea-a475-010aea6c0f65.jpg</x:v>
      </x:c>
    </x:row>
    <x:row r="82">
      <x:c r="A82" s="48" t="str">
        <x:v>深业东岭</x:v>
      </x:c>
      <x:c r="B82" s="48" t="str">
        <x:v>深业东岭</x:v>
      </x:c>
      <x:c r="C82" s="48" t="str">
        <x:v>深圳市罗湖区深业东岭花园</x:v>
      </x:c>
      <x:c r="D82" s="48" t="str">
        <x:v>2017-12-13</x:v>
      </x:c>
      <x:c r="E82" s="48" t="str">
        <x:v>半开放式</x:v>
      </x:c>
      <x:c r="F82" s="48" t="str">
        <x:v>住宅、商铺、教育、车位</x:v>
      </x:c>
      <x:c r="G82" s="48" t="str">
        <x:v>新旺实业发展（深圳）有限公司</x:v>
      </x:c>
      <x:c r="H82" s="48" t="str">
        <x:v>深业置地（深圳）物业管理有限公司</x:v>
      </x:c>
      <x:c r="I82" s="48" t="str">
        <x:v>4.1-12.0元/㎡</x:v>
      </x:c>
      <x:c r="J82" s="48" t="str">
        <x:v>地上:250.0 地下:300.0</x:v>
      </x:c>
      <x:c r="K82" s="48" t="n">
        <x:v>30</x:v>
      </x:c>
      <x:c r="L82" s="48" t="n">
        <x:v>6.96</x:v>
      </x:c>
      <x:c r="M82" s="48" t="n">
        <x:v>1997</x:v>
      </x:c>
      <x:c r="N82" s="48" t="n">
        <x:v>4</x:v>
      </x:c>
      <x:c r="O82" s="48" t="str">
        <x:v>翠园中学初中本部、靖轩小学、翠园实验学校、翠园实验学校</x:v>
      </x:c>
      <x:c r="P82" s="48" t="str">
        <x:v>https://shenzhen.leyoujia.com/xq/detail/708874.html</x:v>
      </x:c>
      <x:c r="Q82" s="48" t="str">
        <x:v>https://fang-community.leyoujia.com//pic/hsl/2018-09/26/b9a76760-5483-45e2-90c5-93e337c25747.jpg</x:v>
      </x:c>
    </x:row>
    <x:row r="83">
      <x:c r="A83" s="48" t="str">
        <x:v>南洋大厦</x:v>
      </x:c>
      <x:c r="B83" s="48" t="str">
        <x:v>南洋大厦</x:v>
      </x:c>
      <x:c r="C83" s="48" t="str">
        <x:v>罗湖罗湖区建设路2004号（国贸商圈）</x:v>
      </x:c>
      <x:c r="D83" s="48" t="str">
        <x:v>1984-12-31</x:v>
      </x:c>
      <x:c r="E83" s="48" t="str">
        <x:v>全开放式</x:v>
      </x:c>
      <x:c r="F83" s="48" t="str">
        <x:v>住宅、写字楼、商铺</x:v>
      </x:c>
      <x:c r="G83" s="48" t="str">
        <x:v>深房集团</x:v>
      </x:c>
      <x:c r="H83" s="48" t="str">
        <x:v>深圳市物业管理有限公司</x:v>
      </x:c>
      <x:c r="I83" s="48" t="str">
        <x:v>1.5-3.2元/㎡</x:v>
      </x:c>
      <x:c r="J83" s="48" t="str">
        <x:v>地下:450.0</x:v>
      </x:c>
      <x:c r="K83" s="48" t="n">
        <x:v>10</x:v>
      </x:c>
      <x:c r="L83" s="48" t="n">
        <x:v>3.2</x:v>
      </x:c>
      <x:c r="M83" s="48" t="n">
        <x:v>1</x:v>
      </x:c>
      <x:c r="N83" s="48" t="n">
        <x:v>3</x:v>
      </x:c>
      <x:c r="O83" s="48" t="str">
        <x:v>深圳市罗湖小学、深圳市罗湖中学</x:v>
      </x:c>
      <x:c r="P83" s="48" t="str">
        <x:v>https://shenzhen.leyoujia.com/xq/detail/1605.html</x:v>
      </x:c>
      <x:c r="Q83" s="48" t="str">
        <x:v>https://fang-community.leyoujia.com//pic/hsl/2018-10/25/dfaf7a52-f5a3-4f34-a195-1d21ba17dd9b.JPG</x:v>
      </x:c>
    </x:row>
    <x:row r="84">
      <x:c r="A84" s="48" t="str">
        <x:v>银座金钻</x:v>
      </x:c>
      <x:c r="B84" s="48" t="str">
        <x:v>银座金钻</x:v>
      </x:c>
      <x:c r="C84" s="48" t="str">
        <x:v>罗湖罗湖春风路彭年酒店旁</x:v>
      </x:c>
      <x:c r="D84" s="48" t="str">
        <x:v>2003-07-07</x:v>
      </x:c>
      <x:c r="E84" s="48" t="str">
        <x:v>全封闭式</x:v>
      </x:c>
      <x:c r="F84" s="48" t="str">
        <x:v>住宅、商铺</x:v>
      </x:c>
      <x:c r="G84" s="48" t="str">
        <x:v>联马实业（深圳）有限公司</x:v>
      </x:c>
      <x:c r="H84" s="48" t="str">
        <x:v>益田物业</x:v>
      </x:c>
      <x:c r="I84" s="48" t="str">
        <x:v>3.5-3.8元/㎡</x:v>
      </x:c>
      <x:c r="J84" s="48" t="str">
        <x:v>地上:260.0</x:v>
      </x:c>
      <x:c r="K84" s="48" t="n">
        <x:v>10</x:v>
      </x:c>
      <x:c r="L84" s="48" t="n">
        <x:v>6.57</x:v>
      </x:c>
      <x:c r="M84" s="48" t="n">
        <x:v>50</x:v>
      </x:c>
      <x:c r="N84" s="48" t="n">
        <x:v>1</x:v>
      </x:c>
      <x:c r="O84" s="48" t="str">
        <x:v>南湖小学、深圳市罗湖中学</x:v>
      </x:c>
      <x:c r="P84" s="48" t="str">
        <x:v>https://shenzhen.leyoujia.com/xq/detail/1101.html</x:v>
      </x:c>
      <x:c r="Q84" s="48" t="str">
        <x:v>https://fang-community.leyoujia.com//pic/hsl/2018-12/26/31190258-8233-4a0e-8ba7-9fc73b6a579f.JPG</x:v>
      </x:c>
    </x:row>
    <x:row r="85">
      <x:c r="A85" s="48" t="str">
        <x:v>滨河新村(东园路)</x:v>
      </x:c>
      <x:c r="B85" s="48" t="str">
        <x:v>未命中</x:v>
      </x:c>
      <x:c r="C85" s="48" t="str"/>
      <x:c r="D85" s="48" t="str"/>
      <x:c r="E85" s="48" t="str">
        <x:v>待核</x:v>
      </x:c>
      <x:c r="F85" s="48" t="str">
        <x:v>待核</x:v>
      </x:c>
      <x:c r="G85" s="48" t="str"/>
      <x:c r="H85" s="48" t="str"/>
      <x:c r="I85" s="48" t="str"/>
      <x:c r="J85" s="48" t="str"/>
      <x:c r="K85" s="48"/>
      <x:c r="L85" s="48"/>
      <x:c r="M85" s="48"/>
      <x:c r="N85" s="48"/>
      <x:c r="O85" s="48" t="str"/>
      <x:c r="P85" s="48" t="str"/>
      <x:c r="Q85" s="48" t="str"/>
    </x:row>
    <x:row r="86">
      <x:c r="A86" s="48" t="str">
        <x:v>罗湖金岸</x:v>
      </x:c>
      <x:c r="B86" s="48" t="str">
        <x:v>罗湖金岸</x:v>
      </x:c>
      <x:c r="C86" s="48" t="str">
        <x:v>罗湖沿河南路与南湖路交汇处</x:v>
      </x:c>
      <x:c r="D86" s="48" t="str">
        <x:v>2003-12-23</x:v>
      </x:c>
      <x:c r="E86" s="48" t="str">
        <x:v>全封闭式</x:v>
      </x:c>
      <x:c r="F86" s="48" t="str">
        <x:v>住宅、写字楼、商铺</x:v>
      </x:c>
      <x:c r="G86" s="48" t="str">
        <x:v>深圳市瑞丰恒业企业管理有限公司</x:v>
      </x:c>
      <x:c r="H86" s="48" t="str">
        <x:v>世邦魏理仕物业管理有限公司</x:v>
      </x:c>
      <x:c r="I86" s="48" t="str">
        <x:v>3.2-3.2元/㎡</x:v>
      </x:c>
      <x:c r="J86" s="48" t="str">
        <x:v>地下:250.0</x:v>
      </x:c>
      <x:c r="K86" s="48" t="n">
        <x:v>50</x:v>
      </x:c>
      <x:c r="L86" s="48" t="n">
        <x:v>9.5</x:v>
      </x:c>
      <x:c r="M86" s="48" t="n">
        <x:v>198</x:v>
      </x:c>
      <x:c r="N86" s="48" t="n">
        <x:v>3</x:v>
      </x:c>
      <x:c r="O86" s="48" t="str">
        <x:v>南湖小学、深圳市罗湖中学</x:v>
      </x:c>
      <x:c r="P86" s="48" t="str">
        <x:v>https://shenzhen.leyoujia.com/xq/detail/379.html</x:v>
      </x:c>
      <x:c r="Q86" s="48" t="str">
        <x:v>https://fang-community.leyoujia.com//pic/hsl/2018-12/10/af957557-a6c2-4a16-b956-d3ba4a76e797.JPG</x:v>
      </x:c>
    </x:row>
    <x:row r="87">
      <x:c r="A87" s="48" t="str">
        <x:v>东园新村</x:v>
      </x:c>
      <x:c r="B87" s="48" t="str">
        <x:v>东园新村</x:v>
      </x:c>
      <x:c r="C87" s="48" t="str">
        <x:v>福田福田区巴丁街岁宝百货后</x:v>
      </x:c>
      <x:c r="D87" s="48" t="str">
        <x:v>1981-12-31</x:v>
      </x:c>
      <x:c r="E87" s="48" t="str">
        <x:v>全开放式</x:v>
      </x:c>
      <x:c r="F87" s="48" t="str">
        <x:v>住宅、商铺</x:v>
      </x:c>
      <x:c r="G87" s="48" t="str">
        <x:v>深圳市城建集团股份有限公司</x:v>
      </x:c>
      <x:c r="H87" s="48" t="str">
        <x:v>深圳市城建物业</x:v>
      </x:c>
      <x:c r="I87" s="48" t="str">
        <x:v>0.6-1.0元/㎡</x:v>
      </x:c>
      <x:c r="J87" s="48" t="str">
        <x:v>地上:110.0</x:v>
      </x:c>
      <x:c r="K87" s="48" t="n">
        <x:v>42</x:v>
      </x:c>
      <x:c r="L87" s="48" t="n">
        <x:v>2.3</x:v>
      </x:c>
      <x:c r="M87" s="48" t="n">
        <x:v>100</x:v>
      </x:c>
      <x:c r="N87" s="48" t="n">
        <x:v>11</x:v>
      </x:c>
      <x:c r="O87" s="48" t="str">
        <x:v>深圳市福田区上步小学、西交利物浦大学基础教育集团外国语学校</x:v>
      </x:c>
      <x:c r="P87" s="48" t="str">
        <x:v>https://shenzhen.leyoujia.com/xq/detail/2712.html</x:v>
      </x:c>
      <x:c r="Q87" s="48" t="str">
        <x:v>https://fang-community.leyoujia.com//pic/hsl/2018-08/21/1d2eae81-c8b2-4550-a827-ffe49351fff8.JPG</x:v>
      </x:c>
    </x:row>
    <x:row r="88">
      <x:c r="A88" s="48" t="str">
        <x:v>金鼎大厦</x:v>
      </x:c>
      <x:c r="B88" s="48" t="str">
        <x:v>金鼎大厦</x:v>
      </x:c>
      <x:c r="C88" s="48" t="str">
        <x:v>罗湖罗湖区嘉宾路1001号</x:v>
      </x:c>
      <x:c r="D88" s="48" t="str">
        <x:v>2003-04-10</x:v>
      </x:c>
      <x:c r="E88" s="48" t="str">
        <x:v>全封闭式</x:v>
      </x:c>
      <x:c r="F88" s="48" t="str">
        <x:v>住宅、商铺、车位</x:v>
      </x:c>
      <x:c r="G88" s="48" t="str">
        <x:v>天津金鼎大厦投资有限公司</x:v>
      </x:c>
      <x:c r="H88" s="48" t="str">
        <x:v>保利物业管理有限公司</x:v>
      </x:c>
      <x:c r="I88" s="48" t="str">
        <x:v>3.5-3.9元/㎡</x:v>
      </x:c>
      <x:c r="J88" s="48" t="str">
        <x:v>地下:600.0</x:v>
      </x:c>
      <x:c r="K88" s="48" t="n">
        <x:v>10</x:v>
      </x:c>
      <x:c r="L88" s="48" t="n">
        <x:v>2.1</x:v>
      </x:c>
      <x:c r="M88" s="48" t="n">
        <x:v>200</x:v>
      </x:c>
      <x:c r="N88" s="48" t="n">
        <x:v>2</x:v>
      </x:c>
      <x:c r="O88" s="48" t="str">
        <x:v>向西小学、深圳市罗湖中学</x:v>
      </x:c>
      <x:c r="P88" s="48" t="str">
        <x:v>https://shenzhen.leyoujia.com/xq/detail/1006.html</x:v>
      </x:c>
      <x:c r="Q88" s="48" t="str">
        <x:v>https://fang-community.leyoujia.com//pic/hsl/2018-10/22/334ca8ff-c1ab-4ffa-bbd1-c2c311f69d8e.JPG</x:v>
      </x:c>
    </x:row>
    <x:row r="89">
      <x:c r="A89" s="48" t="str">
        <x:v>鹿苑小区</x:v>
      </x:c>
      <x:c r="B89" s="48" t="str">
        <x:v>鹿苑小区</x:v>
      </x:c>
      <x:c r="C89" s="48" t="str">
        <x:v>鹿河大道1005号</x:v>
      </x:c>
      <x:c r="D89" s="48" t="str">
        <x:v>1983-05-09</x:v>
      </x:c>
      <x:c r="E89" s="48" t="str">
        <x:v>待核</x:v>
      </x:c>
      <x:c r="F89" s="48" t="str">
        <x:v>住宅</x:v>
      </x:c>
      <x:c r="G89" s="48" t="str"/>
      <x:c r="H89" s="48" t="str"/>
      <x:c r="I89" s="48" t="str">
        <x:v>元/㎡</x:v>
      </x:c>
      <x:c r="J89" s="48" t="str"/>
      <x:c r="K89" s="48" t="n">
        <x:v>0</x:v>
      </x:c>
      <x:c r="L89" s="48" t="n">
        <x:v>5</x:v>
      </x:c>
      <x:c r="M89" s="48" t="n">
        <x:v>0</x:v>
      </x:c>
      <x:c r="N89" s="48"/>
      <x:c r="O89" s="48" t="str">
        <x:v>滨河实验中学、滨河小学</x:v>
      </x:c>
      <x:c r="P89" s="48" t="str">
        <x:v>https://shenzhen.leyoujia.com/xq/detail/857383.html</x:v>
      </x:c>
      <x:c r="Q89" s="48" t="str"/>
    </x:row>
    <x:row r="90">
      <x:c r="A90" s="48" t="str">
        <x:v>都心名苑</x:v>
      </x:c>
      <x:c r="B90" s="48" t="str">
        <x:v>都心名苑</x:v>
      </x:c>
      <x:c r="C90" s="48" t="str">
        <x:v>罗湖翠园街与中兴路交界东南</x:v>
      </x:c>
      <x:c r="D90" s="48" t="str">
        <x:v>2006-10-11</x:v>
      </x:c>
      <x:c r="E90" s="48" t="str">
        <x:v>全封闭式</x:v>
      </x:c>
      <x:c r="F90" s="48" t="str">
        <x:v>住宅、商铺</x:v>
      </x:c>
      <x:c r="G90" s="48" t="str">
        <x:v>惠州市振业投资有限公司深圳分公司</x:v>
      </x:c>
      <x:c r="H90" s="48" t="str">
        <x:v>深圳市友盛物业管理有限公司</x:v>
      </x:c>
      <x:c r="I90" s="48" t="str">
        <x:v>3.2-3.2元/㎡</x:v>
      </x:c>
      <x:c r="J90" s="48" t="str">
        <x:v>地上:110.0 地下:250.0</x:v>
      </x:c>
      <x:c r="K90" s="48" t="n">
        <x:v>60</x:v>
      </x:c>
      <x:c r="L90" s="48" t="n">
        <x:v>7.2</x:v>
      </x:c>
      <x:c r="M90" s="48" t="n">
        <x:v>100</x:v>
      </x:c>
      <x:c r="N90" s="48" t="n">
        <x:v>1</x:v>
      </x:c>
      <x:c r="O90" s="48" t="str">
        <x:v>螺岭外国语实验学校湖贝校区、深圳市罗湖中学</x:v>
      </x:c>
      <x:c r="P90" s="48" t="str">
        <x:v>https://shenzhen.leyoujia.com/xq/detail/1940.html</x:v>
      </x:c>
      <x:c r="Q90" s="48" t="str">
        <x:v>https://fang-community.leyoujia.com//pic/hsl/2018-10/30/252393a7-69c2-49ea-b191-0824ad9b1c28.jpg</x:v>
      </x:c>
    </x:row>
    <x:row r="91">
      <x:c r="A91" s="48" t="str">
        <x:v>京基·凤凰印象A座</x:v>
      </x:c>
      <x:c r="B91" s="48" t="str">
        <x:v>未命中</x:v>
      </x:c>
      <x:c r="C91" s="48" t="str"/>
      <x:c r="D91" s="48" t="str"/>
      <x:c r="E91" s="48" t="str">
        <x:v>待核</x:v>
      </x:c>
      <x:c r="F91" s="48" t="str">
        <x:v>待核</x:v>
      </x:c>
      <x:c r="G91" s="48" t="str"/>
      <x:c r="H91" s="48" t="str"/>
      <x:c r="I91" s="48" t="str"/>
      <x:c r="J91" s="48" t="str"/>
      <x:c r="K91" s="48"/>
      <x:c r="L91" s="48"/>
      <x:c r="M91" s="48"/>
      <x:c r="N91" s="48"/>
      <x:c r="O91" s="48" t="str"/>
      <x:c r="P91" s="48" t="str"/>
      <x:c r="Q91" s="48" t="str"/>
    </x:row>
    <x:row r="92">
      <x:c r="A92" s="48" t="str">
        <x:v>凯悦华庭</x:v>
      </x:c>
      <x:c r="B92" s="48" t="str">
        <x:v>凯悦华庭</x:v>
      </x:c>
      <x:c r="C92" s="48" t="str">
        <x:v>罗湖春风路2033号</x:v>
      </x:c>
      <x:c r="D92" s="48" t="str">
        <x:v>2002-08-18</x:v>
      </x:c>
      <x:c r="E92" s="48" t="str">
        <x:v>全封闭式</x:v>
      </x:c>
      <x:c r="F92" s="48" t="str">
        <x:v>住宅</x:v>
      </x:c>
      <x:c r="G92" s="48" t="str">
        <x:v>深圳信和地产开发有限公司</x:v>
      </x:c>
      <x:c r="H92" s="48" t="str">
        <x:v>深圳信和物业管理有限公司</x:v>
      </x:c>
      <x:c r="I92" s="48" t="str">
        <x:v>3.8-3.8元/㎡</x:v>
      </x:c>
      <x:c r="J92" s="48" t="str">
        <x:v>地下:300.0</x:v>
      </x:c>
      <x:c r="K92" s="48" t="n">
        <x:v>30</x:v>
      </x:c>
      <x:c r="L92" s="48" t="n">
        <x:v>1.64</x:v>
      </x:c>
      <x:c r="M92" s="48" t="n">
        <x:v>200</x:v>
      </x:c>
      <x:c r="N92" s="48" t="n">
        <x:v>1</x:v>
      </x:c>
      <x:c r="O92" s="48" t="str">
        <x:v>向西小学、文锦中学</x:v>
      </x:c>
      <x:c r="P92" s="48" t="str">
        <x:v>https://shenzhen.leyoujia.com/xq/detail/1308.html</x:v>
      </x:c>
      <x:c r="Q92" s="48" t="str">
        <x:v>https://fang-community.leyoujia.com//pic/hsl/2018-10/16/07082e9d-acde-4e51-8e25-ddfd5d734431.JPG</x:v>
      </x:c>
    </x:row>
    <x:row r="93">
      <x:c r="A93" s="48" t="str">
        <x:v>粤华小区</x:v>
      </x:c>
      <x:c r="B93" s="48" t="str">
        <x:v>粤华小区</x:v>
      </x:c>
      <x:c r="C93" s="48" t="str">
        <x:v>深圳市罗湖区嘉宾路</x:v>
      </x:c>
      <x:c r="D93" s="48" t="str">
        <x:v>1984-06-13</x:v>
      </x:c>
      <x:c r="E93" s="48" t="str">
        <x:v>待核</x:v>
      </x:c>
      <x:c r="F93" s="48" t="str">
        <x:v>住宅</x:v>
      </x:c>
      <x:c r="G93" s="48" t="str"/>
      <x:c r="H93" s="48" t="str"/>
      <x:c r="I93" s="48" t="str">
        <x:v>元/㎡</x:v>
      </x:c>
      <x:c r="J93" s="48" t="str"/>
      <x:c r="K93" s="48" t="n">
        <x:v>0</x:v>
      </x:c>
      <x:c r="L93" s="48" t="n">
        <x:v>0</x:v>
      </x:c>
      <x:c r="M93" s="48" t="n">
        <x:v>0</x:v>
      </x:c>
      <x:c r="N93" s="48"/>
      <x:c r="O93" s="48" t="str">
        <x:v>深圳市罗湖小学、滨河实验中学</x:v>
      </x:c>
      <x:c r="P93" s="48" t="str">
        <x:v>https://shenzhen.leyoujia.com/xq/detail/850676.html</x:v>
      </x:c>
      <x:c r="Q93" s="48" t="str"/>
    </x:row>
    <x:row r="94">
      <x:c r="A94" s="48" t="str">
        <x:v>恒大天玺公馆</x:v>
      </x:c>
      <x:c r="B94" s="48" t="str">
        <x:v>恒大天玺公馆</x:v>
      </x:c>
      <x:c r="C94" s="48" t="str">
        <x:v>桂园路与规划红宝路交汇处西南侧</x:v>
      </x:c>
      <x:c r="D94" s="48" t="str">
        <x:v>2023-12-31</x:v>
      </x:c>
      <x:c r="E94" s="48" t="str">
        <x:v>半开放式</x:v>
      </x:c>
      <x:c r="F94" s="48" t="str">
        <x:v>住宅、商铺</x:v>
      </x:c>
      <x:c r="G94" s="48" t="str">
        <x:v>恒大集团</x:v>
      </x:c>
      <x:c r="H94" s="48" t="str">
        <x:v>恒大金碧物业</x:v>
      </x:c>
      <x:c r="I94" s="48" t="str">
        <x:v>5.0-8.0元/㎡</x:v>
      </x:c>
      <x:c r="J94" s="48" t="str">
        <x:v>地上:300.0</x:v>
      </x:c>
      <x:c r="K94" s="48" t="n">
        <x:v>30</x:v>
      </x:c>
      <x:c r="L94" s="48" t="n">
        <x:v>10</x:v>
      </x:c>
      <x:c r="M94" s="48" t="n">
        <x:v>170</x:v>
      </x:c>
      <x:c r="N94" s="48" t="n">
        <x:v>2</x:v>
      </x:c>
      <x:c r="O94" s="48" t="str">
        <x:v>桂园小学、红桂中学</x:v>
      </x:c>
      <x:c r="P94" s="48" t="str">
        <x:v>https://shenzhen.leyoujia.com/xq/detail/847980.html</x:v>
      </x:c>
      <x:c r="Q94" s="48" t="str">
        <x:v>https://fang-community.leyoujia.com//community/album/2020-12/21/13/4a6b873b-5fb9-46c9-9c85-241f32ff91e8.jpg</x:v>
      </x:c>
    </x:row>
    <x:row r="95">
      <x:c r="A95" s="48" t="str">
        <x:v>京基100大厦</x:v>
      </x:c>
      <x:c r="B95" s="48" t="str">
        <x:v>未命中</x:v>
      </x:c>
      <x:c r="C95" s="48" t="str"/>
      <x:c r="D95" s="48" t="str"/>
      <x:c r="E95" s="48" t="str">
        <x:v>待核</x:v>
      </x:c>
      <x:c r="F95" s="48" t="str">
        <x:v>待核</x:v>
      </x:c>
      <x:c r="G95" s="48" t="str"/>
      <x:c r="H95" s="48" t="str"/>
      <x:c r="I95" s="48" t="str"/>
      <x:c r="J95" s="48" t="str"/>
      <x:c r="K95" s="48"/>
      <x:c r="L95" s="48"/>
      <x:c r="M95" s="48"/>
      <x:c r="N95" s="48"/>
      <x:c r="O95" s="48" t="str"/>
      <x:c r="P95" s="48" t="str"/>
      <x:c r="Q95" s="48" t="str"/>
    </x:row>
    <x:row r="96">
      <x:c r="A96" s="48" t="str">
        <x:v>怡泰大厦B座</x:v>
      </x:c>
      <x:c r="B96" s="48" t="str">
        <x:v>未命中</x:v>
      </x:c>
      <x:c r="C96" s="48" t="str"/>
      <x:c r="D96" s="48" t="str"/>
      <x:c r="E96" s="48" t="str">
        <x:v>待核</x:v>
      </x:c>
      <x:c r="F96" s="48" t="str">
        <x:v>待核</x:v>
      </x:c>
      <x:c r="G96" s="48" t="str"/>
      <x:c r="H96" s="48" t="str"/>
      <x:c r="I96" s="48" t="str"/>
      <x:c r="J96" s="48" t="str"/>
      <x:c r="K96" s="48"/>
      <x:c r="L96" s="48"/>
      <x:c r="M96" s="48"/>
      <x:c r="N96" s="48"/>
      <x:c r="O96" s="48" t="str"/>
      <x:c r="P96" s="48" t="str"/>
      <x:c r="Q96" s="48" t="str"/>
    </x:row>
    <x:row r="97">
      <x:c r="A97" s="48" t="str">
        <x:v>乐美居</x:v>
      </x:c>
      <x:c r="B97" s="48" t="str">
        <x:v>丽乐美居</x:v>
      </x:c>
      <x:c r="C97" s="48" t="str">
        <x:v>南山南山区南头街与南新路</x:v>
      </x:c>
      <x:c r="D97" s="48" t="str">
        <x:v>2001-09-20</x:v>
      </x:c>
      <x:c r="E97" s="48" t="str">
        <x:v>全开放式</x:v>
      </x:c>
      <x:c r="F97" s="48" t="str">
        <x:v>住宅、商铺</x:v>
      </x:c>
      <x:c r="G97" s="48" t="str">
        <x:v>深圳市前海股份有限公司</x:v>
      </x:c>
      <x:c r="H97" s="48" t="str">
        <x:v>深圳市泰源物业管理有限公司</x:v>
      </x:c>
      <x:c r="I97" s="48" t="str">
        <x:v>0.8-0.8元/㎡</x:v>
      </x:c>
      <x:c r="J97" s="48" t="str">
        <x:v>地上:200.0 地下:250.0</x:v>
      </x:c>
      <x:c r="K97" s="48" t="n">
        <x:v>35</x:v>
      </x:c>
      <x:c r="L97" s="48" t="n">
        <x:v>2.2</x:v>
      </x:c>
      <x:c r="M97" s="48" t="n">
        <x:v>25</x:v>
      </x:c>
      <x:c r="N97" s="48" t="n">
        <x:v>2</x:v>
      </x:c>
      <x:c r="O97" s="48" t="str">
        <x:v>荔香学校（中学部）、大新小学、南山第二外国语前海学校初中部</x:v>
      </x:c>
      <x:c r="P97" s="48" t="str">
        <x:v>https://shenzhen.leyoujia.com/xq/detail/1950.html</x:v>
      </x:c>
      <x:c r="Q97" s="48" t="str">
        <x:v>https://fang-community.leyoujia.com//pic/hsl/2018-09/06/d1840f40-c250-490e-a8d4-b36127b6a453.JPG</x:v>
      </x:c>
    </x:row>
    <x:row r="98">
      <x:c r="A98" s="48" t="str">
        <x:v>华瑞大厦</x:v>
      </x:c>
      <x:c r="B98" s="48" t="str">
        <x:v>华瑞大厦</x:v>
      </x:c>
      <x:c r="C98" s="48" t="str">
        <x:v>罗湖罗湖区嘉宾路</x:v>
      </x:c>
      <x:c r="D98" s="48" t="str">
        <x:v>2000-12-27</x:v>
      </x:c>
      <x:c r="E98" s="48" t="str">
        <x:v>半开放式</x:v>
      </x:c>
      <x:c r="F98" s="48" t="str">
        <x:v>住宅、写字楼</x:v>
      </x:c>
      <x:c r="G98" s="48" t="str">
        <x:v>华润置地有限公司</x:v>
      </x:c>
      <x:c r="H98" s="48" t="str">
        <x:v>华润置地物业服务有限公司</x:v>
      </x:c>
      <x:c r="I98" s="48" t="str">
        <x:v>2.8-3.0元/㎡</x:v>
      </x:c>
      <x:c r="J98" s="48" t="str">
        <x:v>地上:250.0 地下:250.0</x:v>
      </x:c>
      <x:c r="K98" s="48" t="n">
        <x:v>30</x:v>
      </x:c>
      <x:c r="L98" s="48" t="n">
        <x:v>1.2</x:v>
      </x:c>
      <x:c r="M98" s="48" t="n">
        <x:v>153</x:v>
      </x:c>
      <x:c r="N98" s="48" t="n">
        <x:v>1</x:v>
      </x:c>
      <x:c r="O98" s="48" t="str">
        <x:v>滨河小学、滨河实验中学</x:v>
      </x:c>
      <x:c r="P98" s="48" t="str">
        <x:v>https://shenzhen.leyoujia.com/xq/detail/1456.html</x:v>
      </x:c>
      <x:c r="Q98" s="48" t="str">
        <x:v>https://fang-community.leyoujia.com//pic/hsl/2018-10/18/78d1d90d-66a4-4821-b8e9-811577161c27.JPG</x:v>
      </x:c>
    </x:row>
    <x:row r="99">
      <x:c r="A99" s="48" t="str">
        <x:v>风格名苑</x:v>
      </x:c>
      <x:c r="B99" s="48" t="str">
        <x:v>风格名苑</x:v>
      </x:c>
      <x:c r="C99" s="48" t="str">
        <x:v>罗湖区宝安路与红桂路交汇处</x:v>
      </x:c>
      <x:c r="D99" s="48" t="str">
        <x:v>2006-09-27</x:v>
      </x:c>
      <x:c r="E99" s="48" t="str">
        <x:v>全封闭式</x:v>
      </x:c>
      <x:c r="F99" s="48" t="str">
        <x:v>住宅、商铺</x:v>
      </x:c>
      <x:c r="G99" s="48" t="str">
        <x:v>深圳美登物业有限公司</x:v>
      </x:c>
      <x:c r="H99" s="48" t="str">
        <x:v>深圳市怡盛华物业发展有限公司</x:v>
      </x:c>
      <x:c r="I99" s="48" t="str">
        <x:v>3.6-3.6元/㎡</x:v>
      </x:c>
      <x:c r="J99" s="48" t="str">
        <x:v>地上:250.0 地下:250.0</x:v>
      </x:c>
      <x:c r="K99" s="48" t="n">
        <x:v>20</x:v>
      </x:c>
      <x:c r="L99" s="48" t="n">
        <x:v>7.9</x:v>
      </x:c>
      <x:c r="M99" s="48" t="n">
        <x:v>255</x:v>
      </x:c>
      <x:c r="N99" s="48" t="n">
        <x:v>2</x:v>
      </x:c>
      <x:c r="O99" s="48" t="str">
        <x:v>红桂小学、桂园中学、螺岭教育集团桃园小学</x:v>
      </x:c>
      <x:c r="P99" s="48" t="str">
        <x:v>https://shenzhen.leyoujia.com/xq/detail/7950.html</x:v>
      </x:c>
      <x:c r="Q99" s="48" t="str">
        <x:v>https://fang-community.leyoujia.com//pic/hsl/2018-10/10/d507c88b-34b3-4296-86ef-56a93a81a598.jpg</x:v>
      </x:c>
    </x:row>
    <x:row r="100">
      <x:c r="A100" s="48" t="str">
        <x:v>庐山花园</x:v>
      </x:c>
      <x:c r="B100" s="48" t="str">
        <x:v>庐山花园</x:v>
      </x:c>
      <x:c r="C100" s="48" t="str">
        <x:v>罗湖春风路与沿河路交汇东面</x:v>
      </x:c>
      <x:c r="D100" s="48" t="str">
        <x:v>1995-04-27</x:v>
      </x:c>
      <x:c r="E100" s="48" t="str">
        <x:v>半开放式</x:v>
      </x:c>
      <x:c r="F100" s="48" t="str">
        <x:v>住宅、写字楼、商铺</x:v>
      </x:c>
      <x:c r="G100" s="48" t="str">
        <x:v>深圳庐山花园物业发展有限公司</x:v>
      </x:c>
      <x:c r="H100" s="48" t="str">
        <x:v>深圳庐山花园物业发展有限公司</x:v>
      </x:c>
      <x:c r="I100" s="48" t="str">
        <x:v>3.8-3.8元/㎡</x:v>
      </x:c>
      <x:c r="J100" s="48" t="str">
        <x:v>地下:250.0</x:v>
      </x:c>
      <x:c r="K100" s="48" t="n">
        <x:v>30</x:v>
      </x:c>
      <x:c r="L100" s="48" t="n">
        <x:v>1.65</x:v>
      </x:c>
      <x:c r="M100" s="48" t="n">
        <x:v>550</x:v>
      </x:c>
      <x:c r="N100" s="48" t="n">
        <x:v>5</x:v>
      </x:c>
      <x:c r="O100" s="48" t="str">
        <x:v>向西小学、深圳市罗湖中学、南湖小学</x:v>
      </x:c>
      <x:c r="P100" s="48" t="str">
        <x:v>https://shenzhen.leyoujia.com/xq/detail/812.html</x:v>
      </x:c>
      <x:c r="Q100" s="48" t="str">
        <x:v>https://fang-community.leyoujia.com//pic/hsl/2018-10/23/98377767-b028-4f57-bfd3-dcd2501e0110.JPG</x:v>
      </x:c>
    </x:row>
    <x:row r="101">
      <x:c r="A101" s="48" t="str">
        <x:v>御河堤</x:v>
      </x:c>
      <x:c r="B101" s="48" t="str">
        <x:v>御河堤</x:v>
      </x:c>
      <x:c r="C101" s="48" t="str">
        <x:v>福田红岭南路与东园路交汇处（岁宝百货旁）</x:v>
      </x:c>
      <x:c r="D101" s="48" t="str">
        <x:v>2009-06-18</x:v>
      </x:c>
      <x:c r="E101" s="48" t="str">
        <x:v>全封闭式</x:v>
      </x:c>
      <x:c r="F101" s="48" t="str">
        <x:v>住宅、商铺</x:v>
      </x:c>
      <x:c r="G101" s="48" t="str">
        <x:v>深圳市城市建设开发（集团）公司</x:v>
      </x:c>
      <x:c r="H101" s="48" t="str">
        <x:v>深圳市城建物业管理有限公司</x:v>
      </x:c>
      <x:c r="I101" s="48" t="str">
        <x:v>3.6-3.6元/㎡</x:v>
      </x:c>
      <x:c r="J101" s="48" t="str">
        <x:v>地上:250.0 地下:250.0</x:v>
      </x:c>
      <x:c r="K101" s="48" t="n">
        <x:v>30</x:v>
      </x:c>
      <x:c r="L101" s="48" t="n">
        <x:v>4.14</x:v>
      </x:c>
      <x:c r="M101" s="48" t="n">
        <x:v>403</x:v>
      </x:c>
      <x:c r="N101" s="48" t="n">
        <x:v>3</x:v>
      </x:c>
      <x:c r="O101" s="48" t="str">
        <x:v>深圳市福田区上步小学、西交利物浦大学基础教育集团外国语学校</x:v>
      </x:c>
      <x:c r="P101" s="48" t="str">
        <x:v>https://shenzhen.leyoujia.com/xq/detail/1492.html</x:v>
      </x:c>
      <x:c r="Q101" s="48" t="str">
        <x:v>https://fang-community.leyoujia.com//pic/hsl/2018-08/21/ff18b54b-2689-4336-89b0-894b588e4a7d.JPG</x:v>
      </x:c>
    </x:row>
    <x:row r="102">
      <x:c r="A102" s="48" t="str">
        <x:v>金园花园</x:v>
      </x:c>
      <x:c r="B102" s="48" t="str">
        <x:v>金园花园</x:v>
      </x:c>
      <x:c r="C102" s="48" t="str">
        <x:v>罗湖宝安南路松园路二巷一号西湖大厦附近</x:v>
      </x:c>
      <x:c r="D102" s="48" t="str">
        <x:v>2000-11-19</x:v>
      </x:c>
      <x:c r="E102" s="48" t="str">
        <x:v>半开放式</x:v>
      </x:c>
      <x:c r="F102" s="48" t="str">
        <x:v>住宅、写字楼、商铺、工业、教育、医疗、车位</x:v>
      </x:c>
      <x:c r="G102" s="48" t="str">
        <x:v>深圳市金光华实业有限公司</x:v>
      </x:c>
      <x:c r="H102" s="48" t="str">
        <x:v>深圳市光华物业管理有限公司</x:v>
      </x:c>
      <x:c r="I102" s="48" t="str">
        <x:v>2.8-2.8元/㎡</x:v>
      </x:c>
      <x:c r="J102" s="48" t="str">
        <x:v>地上:250.0 地下:250.0</x:v>
      </x:c>
      <x:c r="K102" s="48" t="n">
        <x:v>30</x:v>
      </x:c>
      <x:c r="L102" s="48" t="n">
        <x:v>4.86</x:v>
      </x:c>
      <x:c r="M102" s="48" t="n">
        <x:v>435</x:v>
      </x:c>
      <x:c r="N102" s="48" t="n">
        <x:v>3</x:v>
      </x:c>
      <x:c r="O102" s="48" t="str">
        <x:v>红桂小学、桂园中学、螺岭教育集团桃园小学</x:v>
      </x:c>
      <x:c r="P102" s="48" t="str">
        <x:v>https://shenzhen.leyoujia.com/xq/detail/1247.html</x:v>
      </x:c>
      <x:c r="Q102" s="48" t="str">
        <x:v>https://fang-community.leyoujia.com//pic/hsl/2018-10/10/072f6ff8-21fe-46fa-acb8-1ab6d117c6b9.jpg</x:v>
      </x:c>
    </x:row>
    <x:row r="103">
      <x:c r="A103" s="48" t="str">
        <x:v>云景豪园</x:v>
      </x:c>
      <x:c r="B103" s="48" t="str">
        <x:v>云景豪园</x:v>
      </x:c>
      <x:c r="C103" s="48" t="str">
        <x:v>罗湖春风路2033号</x:v>
      </x:c>
      <x:c r="D103" s="48" t="str">
        <x:v>2002-12-22</x:v>
      </x:c>
      <x:c r="E103" s="48" t="str">
        <x:v>半开放式</x:v>
      </x:c>
      <x:c r="F103" s="48" t="str">
        <x:v>住宅、商铺</x:v>
      </x:c>
      <x:c r="G103" s="48" t="str">
        <x:v>深圳云景房地产开发有限公司</x:v>
      </x:c>
      <x:c r="H103" s="48" t="str">
        <x:v>发展商自己管理</x:v>
      </x:c>
      <x:c r="I103" s="48" t="str">
        <x:v>3.8-3.8元/㎡</x:v>
      </x:c>
      <x:c r="J103" s="48" t="str">
        <x:v>地上:250.0 地下:250.0</x:v>
      </x:c>
      <x:c r="K103" s="48" t="n">
        <x:v>30</x:v>
      </x:c>
      <x:c r="L103" s="48" t="n">
        <x:v>2.1</x:v>
      </x:c>
      <x:c r="M103" s="48" t="n">
        <x:v>250</x:v>
      </x:c>
      <x:c r="N103" s="48" t="n">
        <x:v>3</x:v>
      </x:c>
      <x:c r="O103" s="48" t="str">
        <x:v>向西小学、文锦中学</x:v>
      </x:c>
      <x:c r="P103" s="48" t="str">
        <x:v>https://shenzhen.leyoujia.com/xq/detail/1218.html</x:v>
      </x:c>
      <x:c r="Q103" s="48" t="str">
        <x:v>https://fang-community.leyoujia.com//pic/hsl/2018-10/16/0a545fcf-8ebd-4481-a5b0-1524a2a6137d.JPG</x:v>
      </x:c>
    </x:row>
    <x:row r="104">
      <x:c r="A104" s="48" t="str">
        <x:v>供电南苑</x:v>
      </x:c>
      <x:c r="B104" s="48" t="str">
        <x:v>供电南苑</x:v>
      </x:c>
      <x:c r="C104" s="48" t="str">
        <x:v>宝安南路1052号</x:v>
      </x:c>
      <x:c r="D104" s="48" t="str">
        <x:v>2007-06-25</x:v>
      </x:c>
      <x:c r="E104" s="48" t="str">
        <x:v>全封闭式</x:v>
      </x:c>
      <x:c r="F104" s="48" t="str">
        <x:v>住宅</x:v>
      </x:c>
      <x:c r="G104" s="48" t="str">
        <x:v>广东电网公司深圳供电局</x:v>
      </x:c>
      <x:c r="H104" s="48" t="str">
        <x:v>北方物业</x:v>
      </x:c>
      <x:c r="I104" s="48" t="str">
        <x:v>2.75-2.75元/㎡</x:v>
      </x:c>
      <x:c r="J104" s="48" t="str">
        <x:v>地上:110.0 地下:220.0</x:v>
      </x:c>
      <x:c r="K104" s="48" t="n">
        <x:v>28</x:v>
      </x:c>
      <x:c r="L104" s="48" t="n">
        <x:v>2.7</x:v>
      </x:c>
      <x:c r="M104" s="48" t="n">
        <x:v>480</x:v>
      </x:c>
      <x:c r="N104" s="48" t="n">
        <x:v>2</x:v>
      </x:c>
      <x:c r="O104" s="48" t="str">
        <x:v>滨河小学、滨河实验中学</x:v>
      </x:c>
      <x:c r="P104" s="48" t="str">
        <x:v>https://shenzhen.leyoujia.com/xq/detail/42046.html</x:v>
      </x:c>
      <x:c r="Q104" s="48" t="str">
        <x:v>https://fang-community.leyoujia.com//community/hsl-jjrplus/2022-02/09/10/0ce9c6cc-ddf1-454c-b187-057eed28d908.jpg</x:v>
      </x:c>
    </x:row>
    <x:row r="105">
      <x:c r="A105" s="48" t="str">
        <x:v>铂金时代公寓</x:v>
      </x:c>
      <x:c r="B105" s="48" t="str">
        <x:v>铂金时代公寓</x:v>
      </x:c>
      <x:c r="C105" s="48" t="str">
        <x:v>罗湖南湖路南端（罗湖中学西侧正对面）</x:v>
      </x:c>
      <x:c r="D105" s="48" t="str">
        <x:v>2008-12-03</x:v>
      </x:c>
      <x:c r="E105" s="48" t="str">
        <x:v>全封闭式</x:v>
      </x:c>
      <x:c r="F105" s="48" t="str">
        <x:v>住宅、商铺</x:v>
      </x:c>
      <x:c r="G105" s="48" t="str">
        <x:v>深圳市恒久投资发展有限公司</x:v>
      </x:c>
      <x:c r="H105" s="48" t="str">
        <x:v>深圳市金岸物业管理有限公司</x:v>
      </x:c>
      <x:c r="I105" s="48" t="str">
        <x:v>3.9-3.9元/㎡</x:v>
      </x:c>
      <x:c r="J105" s="48" t="str">
        <x:v>地下:250.0</x:v>
      </x:c>
      <x:c r="K105" s="48" t="n">
        <x:v>30</x:v>
      </x:c>
      <x:c r="L105" s="48" t="n">
        <x:v>3</x:v>
      </x:c>
      <x:c r="M105" s="48" t="n">
        <x:v>200</x:v>
      </x:c>
      <x:c r="N105" s="48" t="n">
        <x:v>1</x:v>
      </x:c>
      <x:c r="O105" s="48" t="str">
        <x:v>南湖小学、深圳市罗湖中学</x:v>
      </x:c>
      <x:c r="P105" s="48" t="str">
        <x:v>https://shenzhen.leyoujia.com/xq/detail/1130.html</x:v>
      </x:c>
      <x:c r="Q105" s="48" t="str">
        <x:v>https://fang-community.leyoujia.com//pic/hsl/2018-10/25/917bb710-d146-415b-b374-111c76ef8c5d.JPG</x:v>
      </x:c>
    </x:row>
    <x:row r="106">
      <x:c r="A106" s="48" t="str">
        <x:v>长虹大厦</x:v>
      </x:c>
      <x:c r="B106" s="48" t="str">
        <x:v>长虹大厦</x:v>
      </x:c>
      <x:c r="C106" s="48" t="str">
        <x:v>罗湖罗湖区笋岗东路</x:v>
      </x:c>
      <x:c r="D106" s="48" t="str">
        <x:v>1994-03-27</x:v>
      </x:c>
      <x:c r="E106" s="48" t="str">
        <x:v>半开放式</x:v>
      </x:c>
      <x:c r="F106" s="48" t="str">
        <x:v>住宅、写字楼、商铺、工业、医疗、车位</x:v>
      </x:c>
      <x:c r="G106" s="48" t="str">
        <x:v>深圳长虹房地产开发有限公司</x:v>
      </x:c>
      <x:c r="H106" s="48" t="str">
        <x:v>深圳市长虹物业发展有限公司</x:v>
      </x:c>
      <x:c r="I106" s="48" t="str">
        <x:v>3.5-3.5元/㎡</x:v>
      </x:c>
      <x:c r="J106" s="48" t="str">
        <x:v>地上:180.0</x:v>
      </x:c>
      <x:c r="K106" s="48" t="n">
        <x:v>10</x:v>
      </x:c>
      <x:c r="L106" s="48" t="n">
        <x:v>8.22</x:v>
      </x:c>
      <x:c r="M106" s="48" t="n">
        <x:v>150</x:v>
      </x:c>
      <x:c r="N106" s="48" t="n">
        <x:v>1</x:v>
      </x:c>
      <x:c r="O106" s="48" t="str">
        <x:v>红岭小学、桂园中学</x:v>
      </x:c>
      <x:c r="P106" s="48" t="str">
        <x:v>https://shenzhen.leyoujia.com/xq/detail/3153.html</x:v>
      </x:c>
      <x:c r="Q106" s="48" t="str">
        <x:v>https://fang-community.leyoujia.com//pic/hsl/2018-10/10/2da2d4bf-5817-4c73-9a7f-e658526da4cf.jpg</x:v>
      </x:c>
    </x:row>
    <x:row r="107">
      <x:c r="A107" s="48" t="str">
        <x:v>名阳阁</x:v>
      </x:c>
      <x:c r="B107" s="48" t="str">
        <x:v>名阳阁</x:v>
      </x:c>
      <x:c r="C107" s="48" t="str">
        <x:v>罗湖文锦中路2号</x:v>
      </x:c>
      <x:c r="D107" s="48" t="str">
        <x:v>1999-08-07</x:v>
      </x:c>
      <x:c r="E107" s="48" t="str">
        <x:v>全开放式</x:v>
      </x:c>
      <x:c r="F107" s="48" t="str">
        <x:v>住宅、商铺</x:v>
      </x:c>
      <x:c r="G107" s="48" t="str">
        <x:v>万利加</x:v>
      </x:c>
      <x:c r="H107" s="48" t="str">
        <x:v>深圳市名都物业管理有限公司</x:v>
      </x:c>
      <x:c r="I107" s="48" t="str">
        <x:v>0.6-0.61元/㎡</x:v>
      </x:c>
      <x:c r="J107" s="48" t="str">
        <x:v>地上:300.0</x:v>
      </x:c>
      <x:c r="K107" s="48" t="n">
        <x:v>30</x:v>
      </x:c>
      <x:c r="L107" s="48" t="n">
        <x:v>3.1</x:v>
      </x:c>
      <x:c r="M107" s="48" t="n">
        <x:v>50</x:v>
      </x:c>
      <x:c r="N107" s="48" t="n">
        <x:v>1</x:v>
      </x:c>
      <x:c r="O107" s="48" t="str">
        <x:v>螺岭外国语实验学校小学部、深圳市罗湖中学</x:v>
      </x:c>
      <x:c r="P107" s="48" t="str">
        <x:v>https://shenzhen.leyoujia.com/xq/detail/3292.html</x:v>
      </x:c>
      <x:c r="Q107" s="48" t="str">
        <x:v>https://fang-community.leyoujia.com//pic/hsl/2018-10/17/03a8c9ec-936c-41ae-861f-98036d601819.JPG</x:v>
      </x:c>
    </x:row>
    <x:row r="108">
      <x:c r="A108" s="48" t="str">
        <x:v>森威大厦</x:v>
      </x:c>
      <x:c r="B108" s="48" t="str">
        <x:v>森威大厦</x:v>
      </x:c>
      <x:c r="C108" s="48" t="str">
        <x:v>罗湖罗湖区东门新安南路</x:v>
      </x:c>
      <x:c r="D108" s="48" t="str">
        <x:v>2000-05-25</x:v>
      </x:c>
      <x:c r="E108" s="48" t="str">
        <x:v>全开放式</x:v>
      </x:c>
      <x:c r="F108" s="48" t="str">
        <x:v>住宅、写字楼、商铺</x:v>
      </x:c>
      <x:c r="G108" s="48" t="str">
        <x:v>深圳市鑫森磊有限公司</x:v>
      </x:c>
      <x:c r="H108" s="48" t="str">
        <x:v>深圳市鑫森磊物业管理有限公司</x:v>
      </x:c>
      <x:c r="I108" s="48" t="str">
        <x:v>3.0-6.5元/㎡</x:v>
      </x:c>
      <x:c r="J108" s="48" t="str">
        <x:v>地上:250.0 地下:450.0</x:v>
      </x:c>
      <x:c r="K108" s="48" t="n">
        <x:v>25</x:v>
      </x:c>
      <x:c r="L108" s="48" t="n">
        <x:v>2.4</x:v>
      </x:c>
      <x:c r="M108" s="48" t="n">
        <x:v>368</x:v>
      </x:c>
      <x:c r="N108" s="48" t="n">
        <x:v>2</x:v>
      </x:c>
      <x:c r="O108" s="48" t="str">
        <x:v>向西小学、文锦中学</x:v>
      </x:c>
      <x:c r="P108" s="48" t="str">
        <x:v>https://shenzhen.leyoujia.com/xq/detail/3040.html</x:v>
      </x:c>
      <x:c r="Q108" s="48" t="str">
        <x:v>https://fang-community.leyoujia.com//pic/hsl/2018-10/16/e5de7df0-0c16-4ca6-aa71-21e2ef960fd9.JPG</x:v>
      </x:c>
    </x:row>
    <x:row r="109">
      <x:c r="A109" s="48" t="str">
        <x:v>鸿基大厦</x:v>
      </x:c>
      <x:c r="B109" s="48" t="str">
        <x:v>鸿基大厦</x:v>
      </x:c>
      <x:c r="C109" s="48" t="str">
        <x:v>罗湖罗湖区东门中路1011号</x:v>
      </x:c>
      <x:c r="D109" s="48" t="str">
        <x:v>2000-01-30</x:v>
      </x:c>
      <x:c r="E109" s="48" t="str">
        <x:v>全封闭式</x:v>
      </x:c>
      <x:c r="F109" s="48" t="str">
        <x:v>住宅、商铺、教育、车位</x:v>
      </x:c>
      <x:c r="G109" s="48" t="str">
        <x:v>深圳市鸿基有限公司</x:v>
      </x:c>
      <x:c r="H109" s="48" t="str">
        <x:v>深圳市鸿基物业管理有限公司</x:v>
      </x:c>
      <x:c r="I109" s="48" t="str">
        <x:v>3.5-3.8元/㎡</x:v>
      </x:c>
      <x:c r="J109" s="48" t="str">
        <x:v>地下:250.0</x:v>
      </x:c>
      <x:c r="K109" s="48" t="n">
        <x:v>41</x:v>
      </x:c>
      <x:c r="L109" s="48" t="n">
        <x:v>8.86</x:v>
      </x:c>
      <x:c r="M109" s="48" t="n">
        <x:v>78</x:v>
      </x:c>
      <x:c r="N109" s="48" t="n">
        <x:v>1</x:v>
      </x:c>
      <x:c r="O109" s="48" t="str">
        <x:v>人民小学、深圳市罗湖中学</x:v>
      </x:c>
      <x:c r="P109" s="48" t="str">
        <x:v>https://shenzhen.leyoujia.com/xq/detail/3169.html</x:v>
      </x:c>
      <x:c r="Q109" s="48" t="str">
        <x:v>https://fang-community.leyoujia.com//pic/hsl/2018-10/23/373dc3be-9495-42a7-9378-67c268eb5e64.JPG</x:v>
      </x:c>
    </x:row>
    <x:row r="110">
      <x:c r="A110" s="48" t="str">
        <x:v>朗钜御风庭</x:v>
      </x:c>
      <x:c r="B110" s="48" t="str">
        <x:v>朗钜御风庭</x:v>
      </x:c>
      <x:c r="C110" s="48" t="str">
        <x:v>罗湖文锦南路与春风路交汇处</x:v>
      </x:c>
      <x:c r="D110" s="48" t="str">
        <x:v>2004-12-20</x:v>
      </x:c>
      <x:c r="E110" s="48" t="str">
        <x:v>半开放式</x:v>
      </x:c>
      <x:c r="F110" s="48" t="str">
        <x:v>住宅、写字楼、商铺、工业、教育、医疗、车位</x:v>
      </x:c>
      <x:c r="G110" s="48" t="str">
        <x:v>深圳市朗钜实业有限公司</x:v>
      </x:c>
      <x:c r="H110" s="48" t="str">
        <x:v>深圳市朗钜实业有限公司管理</x:v>
      </x:c>
      <x:c r="I110" s="48" t="str">
        <x:v>3.6-3.8元/㎡</x:v>
      </x:c>
      <x:c r="J110" s="48" t="str">
        <x:v>地上:250.0 地下:250.0</x:v>
      </x:c>
      <x:c r="K110" s="48" t="n">
        <x:v>33</x:v>
      </x:c>
      <x:c r="L110" s="48" t="n">
        <x:v>6.7</x:v>
      </x:c>
      <x:c r="M110" s="48" t="n">
        <x:v>250</x:v>
      </x:c>
      <x:c r="N110" s="48" t="n">
        <x:v>3</x:v>
      </x:c>
      <x:c r="O110" s="48" t="str">
        <x:v>北斗小学、文锦中学</x:v>
      </x:c>
      <x:c r="P110" s="48" t="str">
        <x:v>https://shenzhen.leyoujia.com/xq/detail/1847.html</x:v>
      </x:c>
      <x:c r="Q110" s="48" t="str">
        <x:v>https://fang-community.leyoujia.com//pic/hsl/2018-09/21/ea271f2e-8b50-4b7a-9027-15024ff0d185.jpg</x:v>
      </x:c>
    </x:row>
    <x:row r="111">
      <x:c r="A111" s="48" t="str">
        <x:v>碧湖花园</x:v>
      </x:c>
      <x:c r="B111" s="48" t="str">
        <x:v>碧湖花园（龙岗）</x:v>
      </x:c>
      <x:c r="C111" s="48" t="str">
        <x:v>龙岗龙岗中，心城区政府旁</x:v>
      </x:c>
      <x:c r="D111" s="48" t="str">
        <x:v>1998-04-08</x:v>
      </x:c>
      <x:c r="E111" s="48" t="str">
        <x:v>全封闭式</x:v>
      </x:c>
      <x:c r="F111" s="48" t="str">
        <x:v>住宅、商铺、教育、医疗</x:v>
      </x:c>
      <x:c r="G111" s="48" t="str">
        <x:v>深圳市志联佳实业有限公司</x:v>
      </x:c>
      <x:c r="H111" s="48" t="str">
        <x:v>深圳市天天向上物业管理服务有限公司</x:v>
      </x:c>
      <x:c r="I111" s="48" t="str">
        <x:v>0.8-2.5元/㎡</x:v>
      </x:c>
      <x:c r="J111" s="48" t="str">
        <x:v>地上:200.0 地下:300.0</x:v>
      </x:c>
      <x:c r="K111" s="48" t="n">
        <x:v>30</x:v>
      </x:c>
      <x:c r="L111" s="48" t="n">
        <x:v>2</x:v>
      </x:c>
      <x:c r="M111" s="48" t="n">
        <x:v>800</x:v>
      </x:c>
      <x:c r="N111" s="48" t="n">
        <x:v>9</x:v>
      </x:c>
      <x:c r="O111" s="48" t="str">
        <x:v>龙城高级中学集团龙城初级中学、龙城小学</x:v>
      </x:c>
      <x:c r="P111" s="48" t="str">
        <x:v>https://shenzhen.leyoujia.com/xq/detail/826.html</x:v>
      </x:c>
      <x:c r="Q111" s="48" t="str">
        <x:v>https://fang-community.leyoujia.com//pic/hsl/2018-09/13/c2f007ef-0c22-4b67-88b3-5f4d41d56cce.jpg</x:v>
      </x:c>
    </x:row>
    <x:row r="112">
      <x:c r="A112" s="48" t="str">
        <x:v>置地逸轩</x:v>
      </x:c>
      <x:c r="B112" s="48" t="str">
        <x:v>置地逸轩</x:v>
      </x:c>
      <x:c r="C112" s="48" t="str">
        <x:v>罗湖春风路与南湖路交汇处</x:v>
      </x:c>
      <x:c r="D112" s="48" t="str">
        <x:v>2005-11-27</x:v>
      </x:c>
      <x:c r="E112" s="48" t="str">
        <x:v>半开放式</x:v>
      </x:c>
      <x:c r="F112" s="48" t="str">
        <x:v>住宅、商铺</x:v>
      </x:c>
      <x:c r="G112" s="48" t="str">
        <x:v>置地投资发展有限公司</x:v>
      </x:c>
      <x:c r="H112" s="48" t="str">
        <x:v>深圳市金茂物业管理有限公司</x:v>
      </x:c>
      <x:c r="I112" s="48" t="str">
        <x:v>3.6-3.6元/㎡</x:v>
      </x:c>
      <x:c r="J112" s="48" t="str">
        <x:v>地下:450.0</x:v>
      </x:c>
      <x:c r="K112" s="48" t="n">
        <x:v>35</x:v>
      </x:c>
      <x:c r="L112" s="48" t="n">
        <x:v>9.1</x:v>
      </x:c>
      <x:c r="M112" s="48" t="n">
        <x:v>250</x:v>
      </x:c>
      <x:c r="N112" s="48" t="n">
        <x:v>3</x:v>
      </x:c>
      <x:c r="O112" s="48" t="str">
        <x:v>南湖小学、深圳市罗湖中学</x:v>
      </x:c>
      <x:c r="P112" s="48" t="str">
        <x:v>https://shenzhen.leyoujia.com/xq/detail/448.html</x:v>
      </x:c>
      <x:c r="Q112" s="48" t="str">
        <x:v>https://fang-community.leyoujia.com//pic/hsl/2018-10/23/8065b9bb-97de-4c3b-ba5b-ebba56714ce6.JPG</x:v>
      </x:c>
    </x:row>
    <x:row r="113">
      <x:c r="A113" s="48" t="str">
        <x:v>盛夏公寓</x:v>
      </x:c>
      <x:c r="B113" s="48" t="str">
        <x:v>盛夏公寓</x:v>
      </x:c>
      <x:c r="C113" s="48" t="str">
        <x:v>上步中路1043号</x:v>
      </x:c>
      <x:c r="D113" s="48" t="str">
        <x:v>1984-05-17</x:v>
      </x:c>
      <x:c r="E113" s="48" t="str">
        <x:v>全开放式</x:v>
      </x:c>
      <x:c r="F113" s="48" t="str">
        <x:v>住宅</x:v>
      </x:c>
      <x:c r="G113" s="48" t="str">
        <x:v>深圳市深华房地产工程开发公司</x:v>
      </x:c>
      <x:c r="H113" s="48" t="str">
        <x:v>深华物业</x:v>
      </x:c>
      <x:c r="I113" s="48" t="str">
        <x:v>4.0-4.5元/㎡</x:v>
      </x:c>
      <x:c r="J113" s="48" t="str">
        <x:v>地上:200.0</x:v>
      </x:c>
      <x:c r="K113" s="48" t="n">
        <x:v>20</x:v>
      </x:c>
      <x:c r="L113" s="48" t="n">
        <x:v>5.6</x:v>
      </x:c>
      <x:c r="M113" s="48" t="n">
        <x:v>20</x:v>
      </x:c>
      <x:c r="N113" s="48" t="n">
        <x:v>1</x:v>
      </x:c>
      <x:c r="O113" s="48" t="str">
        <x:v>荔园教育集团通新岭校区、红岭中学园岭校区、红岭教育集团园岭初中部</x:v>
      </x:c>
      <x:c r="P113" s="48" t="str">
        <x:v>https://shenzhen.leyoujia.com/xq/detail/715031.html</x:v>
      </x:c>
      <x:c r="Q113" s="48" t="str">
        <x:v>https://fang-community.leyoujia.com//pic/hsl/2018-08/30/ece35142-8c2b-4334-a065-5ff08db5182f.JPG</x:v>
      </x:c>
    </x:row>
    <x:row r="114">
      <x:c r="A114" s="48" t="str">
        <x:v>骏庭名园</x:v>
      </x:c>
      <x:c r="B114" s="48" t="str">
        <x:v>骏庭名园</x:v>
      </x:c>
      <x:c r="C114" s="48" t="str">
        <x:v>罗湖罗湖宝安南路</x:v>
      </x:c>
      <x:c r="D114" s="48" t="str">
        <x:v>2001-06-14</x:v>
      </x:c>
      <x:c r="E114" s="48" t="str">
        <x:v>半开放式</x:v>
      </x:c>
      <x:c r="F114" s="48" t="str">
        <x:v>住宅、写字楼、商铺</x:v>
      </x:c>
      <x:c r="G114" s="48" t="str">
        <x:v>佳宁娜（深圳）投资有限公司</x:v>
      </x:c>
      <x:c r="H114" s="48" t="str">
        <x:v>仲量联行物业 </x:v>
      </x:c>
      <x:c r="I114" s="48" t="str">
        <x:v>3.6-3.8元/㎡</x:v>
      </x:c>
      <x:c r="J114" s="48" t="str">
        <x:v>地上:110.0 地下:250.0</x:v>
      </x:c>
      <x:c r="K114" s="48" t="n">
        <x:v>30</x:v>
      </x:c>
      <x:c r="L114" s="48" t="n">
        <x:v>10</x:v>
      </x:c>
      <x:c r="M114" s="48" t="n">
        <x:v>200</x:v>
      </x:c>
      <x:c r="N114" s="48" t="n">
        <x:v>2</x:v>
      </x:c>
      <x:c r="O114" s="48" t="str">
        <x:v>红桂中学、桂园小学、深圳市百草园小学</x:v>
      </x:c>
      <x:c r="P114" s="48" t="str">
        <x:v>https://shenzhen.leyoujia.com/xq/detail/690.html</x:v>
      </x:c>
      <x:c r="Q114" s="48" t="str">
        <x:v>https://fang-community.leyoujia.com//pic/hsl/2019-01/03/5ef07bcd-47ed-4a23-9b4f-317d5d452655.JPG</x:v>
      </x:c>
    </x:row>
    <x:row r="115">
      <x:c r="A115" s="48" t="str">
        <x:v>怡正发大厦</x:v>
      </x:c>
      <x:c r="B115" s="48" t="str">
        <x:v>怡正发大厦</x:v>
      </x:c>
      <x:c r="C115" s="48" t="str">
        <x:v>罗湖罗湖蔡屋围松园路89号</x:v>
      </x:c>
      <x:c r="D115" s="48" t="str">
        <x:v>1997-12-31</x:v>
      </x:c>
      <x:c r="E115" s="48" t="str">
        <x:v>半开放式</x:v>
      </x:c>
      <x:c r="F115" s="48" t="str">
        <x:v>住宅</x:v>
      </x:c>
      <x:c r="G115" s="48" t="str">
        <x:v>中国人民解放军广州军区司令部通信部</x:v>
      </x:c>
      <x:c r="H115" s="48" t="str">
        <x:v>深圳市怡正发物业管理有限公司</x:v>
      </x:c>
      <x:c r="I115" s="48" t="str">
        <x:v>3.2-3.2元/㎡</x:v>
      </x:c>
      <x:c r="J115" s="48" t="str"/>
      <x:c r="K115" s="48" t="n">
        <x:v>20</x:v>
      </x:c>
      <x:c r="L115" s="48" t="n">
        <x:v>8.5</x:v>
      </x:c>
      <x:c r="M115" s="48" t="n">
        <x:v>150</x:v>
      </x:c>
      <x:c r="N115" s="48" t="n">
        <x:v>2</x:v>
      </x:c>
      <x:c r="O115" s="48" t="str">
        <x:v>红桂小学、桂园中学、红岭小学</x:v>
      </x:c>
      <x:c r="P115" s="48" t="str">
        <x:v>https://shenzhen.leyoujia.com/xq/detail/3546.html</x:v>
      </x:c>
      <x:c r="Q115" s="48" t="str">
        <x:v>https://fang-community.leyoujia.com//pic/hsl/2018-11/13/eff55da9-e51e-4a94-b32e-c5247412adc8.jpg</x:v>
      </x:c>
    </x:row>
    <x:row r="116">
      <x:c r="A116" s="48" t="str">
        <x:v>高嘉花园</x:v>
      </x:c>
      <x:c r="B116" s="48" t="str">
        <x:v>高嘉花园</x:v>
      </x:c>
      <x:c r="C116" s="48" t="str">
        <x:v>罗湖罗湖区春风路2002号</x:v>
      </x:c>
      <x:c r="D116" s="48" t="str">
        <x:v>1985-07-31</x:v>
      </x:c>
      <x:c r="E116" s="48" t="str">
        <x:v>半开放式</x:v>
      </x:c>
      <x:c r="F116" s="48" t="str">
        <x:v>住宅、商铺</x:v>
      </x:c>
      <x:c r="G116" s="48" t="str">
        <x:v>深纺房地产开发有限公司</x:v>
      </x:c>
      <x:c r="H116" s="48" t="str">
        <x:v>深纺物业管理有限公司</x:v>
      </x:c>
      <x:c r="I116" s="48" t="str">
        <x:v>1.0-3.2元/㎡</x:v>
      </x:c>
      <x:c r="J116" s="48" t="str">
        <x:v>地上:350.0 地下:350.0</x:v>
      </x:c>
      <x:c r="K116" s="48" t="n">
        <x:v>30</x:v>
      </x:c>
      <x:c r="L116" s="48" t="n">
        <x:v>3</x:v>
      </x:c>
      <x:c r="M116" s="48" t="n">
        <x:v>100</x:v>
      </x:c>
      <x:c r="N116" s="48" t="n">
        <x:v>19</x:v>
      </x:c>
      <x:c r="O116" s="48" t="str">
        <x:v>向西小学、文锦中学</x:v>
      </x:c>
      <x:c r="P116" s="48" t="str">
        <x:v>https://shenzhen.leyoujia.com/xq/detail/3060.html</x:v>
      </x:c>
      <x:c r="Q116" s="48" t="str">
        <x:v>https://fang-community.leyoujia.com//pic/hsl/2018-11/22/9d8ee219-f04d-4bc5-a328-8d865fa504c5.jpg</x:v>
      </x:c>
    </x:row>
    <x:row r="117">
      <x:c r="A117" s="48" t="str">
        <x:v>阳光新干线家园</x:v>
      </x:c>
      <x:c r="B117" s="48" t="str">
        <x:v>阳光新干线家园</x:v>
      </x:c>
      <x:c r="C117" s="48" t="str">
        <x:v>罗湖罗湖沿河南路与东门南路交汇处</x:v>
      </x:c>
      <x:c r="D117" s="48" t="str">
        <x:v>2005-12-11</x:v>
      </x:c>
      <x:c r="E117" s="48" t="str">
        <x:v>全封闭式</x:v>
      </x:c>
      <x:c r="F117" s="48" t="str">
        <x:v>住宅、商铺</x:v>
      </x:c>
      <x:c r="G117" s="48" t="str">
        <x:v>深圳市百安隆房地产开发有限公司</x:v>
      </x:c>
      <x:c r="H117" s="48" t="str">
        <x:v>世邦魏理仕物业管理有限公司</x:v>
      </x:c>
      <x:c r="I117" s="48" t="str">
        <x:v>3.8-3.8元/㎡</x:v>
      </x:c>
      <x:c r="J117" s="48" t="str">
        <x:v>地上:150.0 地下:150.0</x:v>
      </x:c>
      <x:c r="K117" s="48" t="n">
        <x:v>46</x:v>
      </x:c>
      <x:c r="L117" s="48" t="n">
        <x:v>7.42</x:v>
      </x:c>
      <x:c r="M117" s="48" t="n">
        <x:v>330</x:v>
      </x:c>
      <x:c r="N117" s="48" t="n">
        <x:v>3</x:v>
      </x:c>
      <x:c r="O117" s="48" t="str">
        <x:v>向西小学、深圳市罗湖中学</x:v>
      </x:c>
      <x:c r="P117" s="48" t="str">
        <x:v>https://shenzhen.leyoujia.com/xq/detail/354.html</x:v>
      </x:c>
      <x:c r="Q117" s="48" t="str">
        <x:v>https://fang-community.leyoujia.com//pic/hsl/2018-10/13/abc3cac7-901f-4bce-b735-93b8cb60e6c0.jpg</x:v>
      </x:c>
    </x:row>
    <x:row r="118">
      <x:c r="A118" s="48" t="str">
        <x:v>城市天地广场</x:v>
      </x:c>
      <x:c r="B118" s="48" t="str">
        <x:v>城市天地广场</x:v>
      </x:c>
      <x:c r="C118" s="48" t="str">
        <x:v>罗湖宝安南路与嘉宾路交汇处</x:v>
      </x:c>
      <x:c r="D118" s="48" t="str">
        <x:v>2005-06-19</x:v>
      </x:c>
      <x:c r="E118" s="48" t="str">
        <x:v>半开放式</x:v>
      </x:c>
      <x:c r="F118" s="48" t="str">
        <x:v>住宅、写字楼、商铺</x:v>
      </x:c>
      <x:c r="G118" s="48" t="str">
        <x:v>深圳汉国华业发展有限公司</x:v>
      </x:c>
      <x:c r="H118" s="48" t="str">
        <x:v>深圳汉国置业有限公司</x:v>
      </x:c>
      <x:c r="I118" s="48" t="str">
        <x:v>3.8-4.0元/㎡</x:v>
      </x:c>
      <x:c r="J118" s="48" t="str">
        <x:v>地下:300.0</x:v>
      </x:c>
      <x:c r="K118" s="48" t="n">
        <x:v>41.23</x:v>
      </x:c>
      <x:c r="L118" s="48" t="n">
        <x:v>7.83</x:v>
      </x:c>
      <x:c r="M118" s="48" t="n">
        <x:v>655</x:v>
      </x:c>
      <x:c r="N118" s="48" t="n">
        <x:v>6</x:v>
      </x:c>
      <x:c r="O118" s="48" t="str">
        <x:v>滨河实验中学、滨河小学</x:v>
      </x:c>
      <x:c r="P118" s="48" t="str">
        <x:v>https://shenzhen.leyoujia.com/xq/detail/355.html</x:v>
      </x:c>
      <x:c r="Q118" s="48" t="str">
        <x:v>https://fang-community.leyoujia.com//pic/hsl/2018-10/16/2153e3e1-6c94-4829-aa6b-2ac3a887ba34.JPG</x:v>
      </x:c>
    </x:row>
    <x:row r="119">
      <x:c r="A119" s="48" t="str">
        <x:v>港逸豪庭</x:v>
      </x:c>
      <x:c r="B119" s="48" t="str">
        <x:v>港逸豪庭</x:v>
      </x:c>
      <x:c r="C119" s="48" t="str">
        <x:v>罗湖罗湖区和平路船步街船步路高架桥附近</x:v>
      </x:c>
      <x:c r="D119" s="48" t="str">
        <x:v>2000-12-27</x:v>
      </x:c>
      <x:c r="E119" s="48" t="str">
        <x:v>半开放式</x:v>
      </x:c>
      <x:c r="F119" s="48" t="str">
        <x:v>住宅、商铺</x:v>
      </x:c>
      <x:c r="G119" s="48" t="str">
        <x:v>深圳融发投资有限公司</x:v>
      </x:c>
      <x:c r="H119" s="48" t="str">
        <x:v>万科物业发展有限公司</x:v>
      </x:c>
      <x:c r="I119" s="48" t="str">
        <x:v>3.8-3.8元/㎡</x:v>
      </x:c>
      <x:c r="J119" s="48" t="str">
        <x:v>地下:450.0</x:v>
      </x:c>
      <x:c r="K119" s="48" t="n">
        <x:v>30</x:v>
      </x:c>
      <x:c r="L119" s="48" t="n">
        <x:v>8.73</x:v>
      </x:c>
      <x:c r="M119" s="48" t="n">
        <x:v>300</x:v>
      </x:c>
      <x:c r="N119" s="48" t="n">
        <x:v>4</x:v>
      </x:c>
      <x:c r="O119" s="48" t="str">
        <x:v>滨河小学、滨河实验中学</x:v>
      </x:c>
      <x:c r="P119" s="48" t="str">
        <x:v>https://shenzhen.leyoujia.com/xq/detail/1163.html</x:v>
      </x:c>
      <x:c r="Q119" s="48" t="str">
        <x:v>https://fang-community.leyoujia.com//pic/hsl/2018-10/18/7603e141-f53e-4cdc-85ad-d60d1bad0269.JPG</x:v>
      </x:c>
    </x:row>
    <x:row r="120">
      <x:c r="A120" s="48" t="str">
        <x:v>新世界大厦</x:v>
      </x:c>
      <x:c r="B120" s="48" t="str">
        <x:v>新世界大厦</x:v>
      </x:c>
      <x:c r="C120" s="48" t="str">
        <x:v>东门中路和东二中兴路交汇处</x:v>
      </x:c>
      <x:c r="D120" s="48" t="str">
        <x:v>2020-07-31</x:v>
      </x:c>
      <x:c r="E120" s="48" t="str">
        <x:v>半开放式</x:v>
      </x:c>
      <x:c r="F120" s="48" t="str">
        <x:v>住宅、商铺</x:v>
      </x:c>
      <x:c r="G120" s="48" t="str">
        <x:v>佳兆业</x:v>
      </x:c>
      <x:c r="H120" s="48" t="str">
        <x:v>佳兆业物业管理有限公司</x:v>
      </x:c>
      <x:c r="I120" s="48" t="str">
        <x:v>8.2-8.2元/㎡</x:v>
      </x:c>
      <x:c r="J120" s="48" t="str">
        <x:v>地下:1000.0</x:v>
      </x:c>
      <x:c r="K120" s="48" t="n">
        <x:v>15</x:v>
      </x:c>
      <x:c r="L120" s="48" t="n">
        <x:v>9.5</x:v>
      </x:c>
      <x:c r="M120" s="48" t="n">
        <x:v>300</x:v>
      </x:c>
      <x:c r="N120" s="48" t="n">
        <x:v>1</x:v>
      </x:c>
      <x:c r="O120" s="48" t="str">
        <x:v>螺岭外国语实验学校小学部、深圳市罗湖中学</x:v>
      </x:c>
      <x:c r="P120" s="48" t="str">
        <x:v>https://shenzhen.leyoujia.com/xq/detail/827333.html</x:v>
      </x:c>
      <x:c r="Q120" s="48" t="str">
        <x:v>https://fang-community.leyoujia.com//community/album/2020-05/12/12/bde6d3ee-1684-4d95-89d6-6935fd619c2f.jpg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f14ec1e389f4e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55" hidden="0" customWidth="1"/>
    <x:col min="5" max="5" width="14" hidden="0" customWidth="1"/>
    <x:col min="6" max="6" width="12" hidden="0" customWidth="1"/>
    <x:col min="7" max="7" width="55" hidden="0" customWidth="1"/>
    <x:col min="8" max="8" width="55" hidden="0" customWidth="1"/>
    <x:col min="9" max="9" width="12" hidden="0" customWidth="1"/>
  </x:cols>
  <x:sheetData>
    <x:row r="1" ht="30" customHeight="1">
      <x:c r="A1" s="60" t="str">
        <x:v>评价与跨平台交叉验证</x:v>
      </x:c>
      <x:c r="B1" s="60"/>
      <x:c r="C1" s="60"/>
      <x:c r="D1" s="60"/>
      <x:c r="E1" s="60"/>
      <x:c r="F1" s="60"/>
      <x:c r="G1" s="60"/>
      <x:c r="H1" s="60"/>
      <x:c r="I1" s="60"/>
    </x:row>
    <x:row r="2" ht="32" customHeight="1">
      <x:c r="A2" s="51" t="str">
        <x:v>经纪人挂牌文案、平台攻略与住户评价严格分开；可信度不等同真伪结论。没有稳定公开数据的小区不会虚构“零评价”。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>
      <x:c r="A4" s="54" t="str">
        <x:v>小区</x:v>
      </x:c>
      <x:c r="B4" s="54" t="str">
        <x:v>来源</x:v>
      </x:c>
      <x:c r="C4" s="54" t="str">
        <x:v>证据类型</x:v>
      </x:c>
      <x:c r="D4" s="54" t="str">
        <x:v>摘要</x:v>
      </x:c>
      <x:c r="E4" s="54" t="str">
        <x:v>倾向</x:v>
      </x:c>
      <x:c r="F4" s="54" t="str">
        <x:v>可信度</x:v>
      </x:c>
      <x:c r="G4" s="54" t="str">
        <x:v>链接</x:v>
      </x:c>
      <x:c r="H4" s="54" t="str">
        <x:v>限制/备注</x:v>
      </x:c>
      <x:c r="I4" s="54" t="str">
        <x:v>采集日期</x:v>
      </x:c>
    </x:row>
    <x:row r="5">
      <x:c r="A5" s="48" t="str">
        <x:v>红桂皇冠名庭</x:v>
      </x:c>
      <x:c r="B5" s="48" t="str">
        <x:v>安居客</x:v>
      </x:c>
      <x:c r="C5" s="48" t="str">
        <x:v>跨平台小区/租房</x:v>
      </x:c>
      <x:c r="D5" s="62" t="str">
        <x:v>页面显示整租一居案例约2900元/月；站点距离说明与高德路线方向一致。</x:v>
      </x:c>
      <x:c r="E5" s="62" t="str">
        <x:v>中性偏正</x:v>
      </x:c>
      <x:c r="F5" s="62" t="str">
        <x:v>中</x:v>
      </x:c>
      <x:c r="G5" s="62" t="str">
        <x:v>https://shenzhen.anjuke.com/community/view/96824</x:v>
      </x:c>
      <x:c r="H5" s="62" t="str">
        <x:v>平台挂牌文案，价格仅用于区间交叉核验，不计入乐有家均价。</x:v>
      </x:c>
      <x:c r="I5" s="62" t="str">
        <x:v>2026-08-13</x:v>
      </x:c>
    </x:row>
    <x:row r="6">
      <x:c r="A6" s="48" t="str">
        <x:v>红桂皇冠名庭</x:v>
      </x:c>
      <x:c r="B6" s="48" t="str">
        <x:v>房天下</x:v>
      </x:c>
      <x:c r="C6" s="48" t="str">
        <x:v>跨平台房源</x:v>
      </x:c>
      <x:c r="D6" s="62" t="str">
        <x:v>整租一居文案强调采光、商业与近地铁；属于经纪人营销表述。</x:v>
      </x:c>
      <x:c r="E6" s="62" t="str">
        <x:v>正面（营销）</x:v>
      </x:c>
      <x:c r="F6" s="62" t="str">
        <x:v>低</x:v>
      </x:c>
      <x:c r="G6" s="62" t="str">
        <x:v>https://m.fang.com/zf/sz/3_247005470.html</x:v>
      </x:c>
      <x:c r="H6" s="62" t="str">
        <x:v>仅作房屋特征线索，不作为真实居住评价。</x:v>
      </x:c>
      <x:c r="I6" s="62" t="str">
        <x:v>2026-08-13</x:v>
      </x:c>
    </x:row>
    <x:row r="7">
      <x:c r="A7" s="48" t="str">
        <x:v>园岭新村一区</x:v>
      </x:c>
      <x:c r="B7" s="48" t="str">
        <x:v>房天下</x:v>
      </x:c>
      <x:c r="C7" s="48" t="str">
        <x:v>小区档案</x:v>
      </x:c>
      <x:c r="D7" s="62" t="str">
        <x:v>老小区、户型范围广；页面给出绿化率25%，一居库存较少。</x:v>
      </x:c>
      <x:c r="E7" s="62" t="str">
        <x:v>中性</x:v>
      </x:c>
      <x:c r="F7" s="62" t="str">
        <x:v>中</x:v>
      </x:c>
      <x:c r="G7" s="62" t="str">
        <x:v>https://m.fang.com/xiaoqu/strategy/sz/2810256304.html</x:v>
      </x:c>
      <x:c r="H7" s="62" t="str">
        <x:v>园岭新村总体口径，未必仅指一区。</x:v>
      </x:c>
      <x:c r="I7" s="62" t="str">
        <x:v>2026-08-13</x:v>
      </x:c>
    </x:row>
    <x:row r="8">
      <x:c r="A8" s="48" t="str">
        <x:v>中航凯特公寓</x:v>
      </x:c>
      <x:c r="B8" s="48" t="str">
        <x:v>安居客</x:v>
      </x:c>
      <x:c r="C8" s="48" t="str">
        <x:v>跨平台库存/房源</x:v>
      </x:c>
      <x:c r="D8" s="62" t="str">
        <x:v>移动页显示22套在租；一居整租示例2400元/月，商品房住宅。</x:v>
      </x:c>
      <x:c r="E8" s="62" t="str">
        <x:v>中性偏正</x:v>
      </x:c>
      <x:c r="F8" s="62" t="str">
        <x:v>中</x:v>
      </x:c>
      <x:c r="G8" s="62" t="str">
        <x:v>https://m.anjuke.com/sz/community/97678/</x:v>
      </x:c>
      <x:c r="H8" s="62" t="str">
        <x:v>在租数量为页面抓取时快照，平台去重口径不明。</x:v>
      </x:c>
      <x:c r="I8" s="62" t="str">
        <x:v>2026-08-13</x:v>
      </x:c>
    </x:row>
    <x:row r="9">
      <x:c r="A9" s="48" t="str">
        <x:v>中航凯特公寓</x:v>
      </x:c>
      <x:c r="B9" s="48" t="str">
        <x:v>房天下</x:v>
      </x:c>
      <x:c r="C9" s="48" t="str">
        <x:v>跨平台房源/环境</x:v>
      </x:c>
      <x:c r="D9" s="62" t="str">
        <x:v>一居整租示例约2700元/月；绿化率约10%，中心区公寓型居住环境。</x:v>
      </x:c>
      <x:c r="E9" s="62" t="str">
        <x:v>中性</x:v>
      </x:c>
      <x:c r="F9" s="62" t="str">
        <x:v>中</x:v>
      </x:c>
      <x:c r="G9" s="62" t="str">
        <x:v>https://m.fang.com/xiaoqu/strategy/sz/2810035701.html</x:v>
      </x:c>
      <x:c r="H9" s="62" t="str">
        <x:v>页面含经纪人挂牌，价格仅作交叉核验。</x:v>
      </x:c>
      <x:c r="I9" s="62" t="str">
        <x:v>2026-08-13</x:v>
      </x:c>
    </x:row>
    <x:row r="10">
      <x:c r="A10" s="48" t="str">
        <x:v>中航凯特公寓</x:v>
      </x:c>
      <x:c r="B10" s="48" t="str">
        <x:v>克而瑞好房点评</x:v>
      </x:c>
      <x:c r="C10" s="48" t="str">
        <x:v>物业评价</x:v>
      </x:c>
      <x:c r="D10" s="62" t="str">
        <x:v>物业能履行基础保洁、秩序与维修；业主评价褒贬不一，存在明显短板但页面未具体量化。</x:v>
      </x:c>
      <x:c r="E10" s="62" t="str">
        <x:v>中性</x:v>
      </x:c>
      <x:c r="F10" s="62" t="str">
        <x:v>低-中</x:v>
      </x:c>
      <x:c r="G10" s="62" t="str">
        <x:v>https://m.haofangdp.com/SecondhouseCommunityDetail?hid=71121702</x:v>
      </x:c>
      <x:c r="H10" s="62" t="str">
        <x:v>综合评测类页面，需结合实地看楼道、门禁与夜间噪声。</x:v>
      </x:c>
      <x:c r="I10" s="62" t="str">
        <x:v>2026-08-13</x:v>
      </x:c>
    </x:row>
    <x:row r="11">
      <x:c r="A11" s="48" t="str">
        <x:v>海珑华苑</x:v>
      </x:c>
      <x:c r="B11" s="48" t="str">
        <x:v>安居客</x:v>
      </x:c>
      <x:c r="C11" s="48" t="str">
        <x:v>物业/安全线索</x:v>
      </x:c>
      <x:c r="D11" s="62" t="str">
        <x:v>页面问答称金兆丰物业、安保尚可；另有三栋、三梯八户等楼栋信息。</x:v>
      </x:c>
      <x:c r="E11" s="62" t="str">
        <x:v>中性偏正</x:v>
      </x:c>
      <x:c r="F11" s="62" t="str">
        <x:v>低-中</x:v>
      </x:c>
      <x:c r="G11" s="62" t="str">
        <x:v>https://m.anjuke.com/sz/community/181040/jiedu-4030888/</x:v>
      </x:c>
      <x:c r="H11" s="62" t="str">
        <x:v>含经纪人/问答内容，不能等同住户独立评价。</x:v>
      </x:c>
      <x:c r="I11" s="62" t="str">
        <x:v>2026-08-13</x:v>
      </x:c>
    </x:row>
    <x:row r="12">
      <x:c r="A12" s="48" t="str">
        <x:v>华隆园</x:v>
      </x:c>
      <x:c r="B12" s="48" t="str">
        <x:v>乐有家小区攻略</x:v>
      </x:c>
      <x:c r="C12" s="48" t="str">
        <x:v>居住人群评价</x:v>
      </x:c>
      <x:c r="D12" s="62" t="str">
        <x:v>小户型和出租为主，租客占比高，居住人群流动性较大、素质差异明显。</x:v>
      </x:c>
      <x:c r="E12" s="62" t="str">
        <x:v>中性偏负</x:v>
      </x:c>
      <x:c r="F12" s="62" t="str">
        <x:v>中</x:v>
      </x:c>
      <x:c r="G12" s="62" t="str">
        <x:v>https://shenzhen.leyoujia.com/xq/strategy/detail/9134.html</x:v>
      </x:c>
      <x:c r="H12" s="62" t="str">
        <x:v>平台内容，但对门禁与邻里稳定性有直接决策价值。</x:v>
      </x:c>
      <x:c r="I12" s="62" t="str">
        <x:v>2026-08-13</x:v>
      </x:c>
    </x:row>
    <x:row r="13">
      <x:c r="A13" s="48" t="str">
        <x:v>南华大厦</x:v>
      </x:c>
      <x:c r="B13" s="48" t="str">
        <x:v>高德地图</x:v>
      </x:c>
      <x:c r="C13" s="48" t="str">
        <x:v>物业类型/交通</x:v>
      </x:c>
      <x:c r="D13" s="62" t="str">
        <x:v>标注为商住两用楼宇，湖贝地铁站A口附近。</x:v>
      </x:c>
      <x:c r="E13" s="62" t="str">
        <x:v>中性</x:v>
      </x:c>
      <x:c r="F13" s="62" t="str">
        <x:v>高（位置）</x:v>
      </x:c>
      <x:c r="G13" s="62" t="str">
        <x:v>https://www.amap.com/place/B02F37UNCC</x:v>
      </x:c>
      <x:c r="H13" s="62" t="str">
        <x:v>位置与类别可信；不代表门禁、物业或隔音质量。</x:v>
      </x:c>
      <x:c r="I13" s="62" t="str">
        <x:v>2026-08-13</x:v>
      </x:c>
    </x:row>
    <x:row r="14">
      <x:c r="A14" s="48" t="str">
        <x:v>园岭新村一区</x:v>
      </x:c>
      <x:c r="B14" s="48" t="str">
        <x:v>高德地图</x:v>
      </x:c>
      <x:c r="C14" s="48" t="str">
        <x:v>物业类型/交通</x:v>
      </x:c>
      <x:c r="D14" s="62" t="str">
        <x:v>园岭新村标注为住宅小区，靠近园岭站；本研究测得一区到红岭站步行约4.5分钟。</x:v>
      </x:c>
      <x:c r="E14" s="62" t="str">
        <x:v>中性偏正</x:v>
      </x:c>
      <x:c r="F14" s="62" t="str">
        <x:v>高（位置）</x:v>
      </x:c>
      <x:c r="G14" s="62" t="str">
        <x:v>https://ditu.amap.com/place/B02F37VUT4</x:v>
      </x:c>
      <x:c r="H14" s="62" t="str">
        <x:v>高德页面为园岭新村总体，路线另由Web服务API计算。</x:v>
      </x:c>
      <x:c r="I14" s="62" t="str">
        <x:v>2026-08-13</x:v>
      </x:c>
    </x:row>
    <x:row r="15">
      <x:c r="A15" s="48" t="str">
        <x:v>南海中心</x:v>
      </x:c>
      <x:c r="B15" s="48" t="str">
        <x:v>乐有家小区页</x:v>
      </x:c>
      <x:c r="C15" s="48" t="str">
        <x:v>小区档案</x:v>
      </x:c>
      <x:c r="D15" s="62" t="str">
        <x:v>两栋、物业用途含住宅/商铺/车位；开放式管理，安全性需实地核门禁和夜间出入。</x:v>
      </x:c>
      <x:c r="E15" s="62" t="str">
        <x:v>中性偏负</x:v>
      </x:c>
      <x:c r="F15" s="62" t="str">
        <x:v>中-高</x:v>
      </x:c>
      <x:c r="G15" s="62" t="str">
        <x:v>https://shenzhen.leyoujia.com/xq/detail/1686.html</x:v>
      </x:c>
      <x:c r="H15" s="62" t="str">
        <x:v>档案字段来自乐有家小区接口。</x:v>
      </x:c>
      <x:c r="I15" s="62" t="str">
        <x:v>2026-08-13</x:v>
      </x:c>
    </x:row>
    <x:row r="16">
      <x:c r="A16" s="48" t="str">
        <x:v>红桂皇冠名庭</x:v>
      </x:c>
      <x:c r="B16" s="48" t="str">
        <x:v>乐有家小区攻略</x:v>
      </x:c>
      <x:c r="C16" s="48" t="str">
        <x:v>居住配套/管理</x:v>
      </x:c>
      <x:c r="D16" s="62" t="str">
        <x:v>停车位较紧张；小区为半开放式且住宅、写字楼、商铺混合，需核楼层门禁分流。</x:v>
      </x:c>
      <x:c r="E16" s="62" t="str">
        <x:v>中性</x:v>
      </x:c>
      <x:c r="F16" s="62" t="str">
        <x:v>中</x:v>
      </x:c>
      <x:c r="G16" s="62" t="str">
        <x:v>https://wap.leyoujia.com/shenzhen/xq/strategy/detail/1085.html</x:v>
      </x:c>
      <x:c r="H16" s="62" t="str">
        <x:v>停车结论来自攻略；开放属性来自小区接口。</x:v>
      </x:c>
      <x:c r="I16" s="62" t="str">
        <x:v>2026-08-13</x:v>
      </x:c>
    </x:row>
    <x:row r="17">
      <x:c r="A17" s="48" t="str">
        <x:v>京基100大厦</x:v>
      </x:c>
      <x:c r="B17" s="48" t="str">
        <x:v>用户实地/页面核验</x:v>
      </x:c>
      <x:c r="C17" s="48" t="str">
        <x:v>交通与房源</x:v>
      </x:c>
      <x:c r="D17" s="62" t="str">
        <x:v>大厦与地铁商业体连通；乐有家存在4300元一居等房源，但本次稳健样本中位数受5000上限与小样本影响。</x:v>
      </x:c>
      <x:c r="E17" s="62" t="str">
        <x:v>通勤强、价格高</x:v>
      </x:c>
      <x:c r="F17" s="62" t="str">
        <x:v>高（房源）/待核（连通动线）</x:v>
      </x:c>
      <x:c r="G17" s="62" t="str">
        <x:v>https://shenzhen.leyoujia.com/zf/detail/XPvVN6Do8dmWHmw7un4mgM.html</x:v>
      </x:c>
      <x:c r="H17" s="62" t="str">
        <x:v>用户已打开并提供截图，不能因大厦属性排除；需单列安全核验。</x:v>
      </x:c>
      <x:c r="I17" s="62" t="str">
        <x:v>2026-08-13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723c88d044941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38" hidden="0" customWidth="1"/>
    <x:col min="7" max="7" width="42" hidden="0" customWidth="1"/>
    <x:col min="8" max="8" width="12" hidden="0" customWidth="1"/>
    <x:col min="9" max="9" width="55" hidden="0" customWidth="1"/>
    <x:col min="10" max="10" width="48" hidden="0" customWidth="1"/>
  </x:cols>
  <x:sheetData>
    <x:row r="1" ht="30" customHeight="1">
      <x:c r="A1" s="60" t="str">
        <x:v>小红书个人转租/看房线索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32" customHeight="1">
      <x:c r="A2" s="51" t="str">
        <x:v>只收可还原链接且信息足够的条目。低互动仅是“可能更个人化”的筛选信号，不代表一定真实；本轮公开检索无法稳定取得帖子列表，因此不以不可审计截图凑数。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54" t="str">
        <x:v>关联小区</x:v>
      </x:c>
      <x:c r="B4" s="54" t="str">
        <x:v>帖子类型</x:v>
      </x:c>
      <x:c r="C4" s="54" t="str">
        <x:v>发布时间</x:v>
      </x:c>
      <x:c r="D4" s="54" t="str">
        <x:v>价格</x:v>
      </x:c>
      <x:c r="E4" s="54" t="str">
        <x:v>点赞/收藏</x:v>
      </x:c>
      <x:c r="F4" s="54" t="str">
        <x:v>真实性信号</x:v>
      </x:c>
      <x:c r="G4" s="54" t="str">
        <x:v>风险信号</x:v>
      </x:c>
      <x:c r="H4" s="54" t="str">
        <x:v>可信度</x:v>
      </x:c>
      <x:c r="I4" s="54" t="str">
        <x:v>链接</x:v>
      </x:c>
      <x:c r="J4" s="54" t="str">
        <x:v>备注</x:v>
      </x:c>
    </x:row>
    <x:row r="5">
      <x:c r="A5" s="48" t="str">
        <x:v>多小区/罗湖港深通勤</x:v>
      </x:c>
      <x:c r="B5" s="48" t="str">
        <x:v>线下看房总结</x:v>
      </x:c>
      <x:c r="C5" s="48" t="str">
        <x:v>待核</x:v>
      </x:c>
      <x:c r="D5" s="48" t="str">
        <x:v>预算4000上下</x:v>
      </x:c>
      <x:c r="E5" s="48" t="str">
        <x:v>待核</x:v>
      </x:c>
      <x:c r="F5" s="62" t="str">
        <x:v>列出具体小区与优缺点、个人看房叙述</x:v>
      </x:c>
      <x:c r="G5" s="62" t="str">
        <x:v>截图未完整显示发布日期与互动，需重新打开核验</x:v>
      </x:c>
      <x:c r="H5" s="62" t="str">
        <x:v>中</x:v>
      </x:c>
      <x:c r="I5" s="62" t="str">
        <x:v>https://www.xiaohongshu.com/explore/6a50c0b7000000000702dcd0</x:v>
      </x:c>
      <x:c r="J5" s="62" t="str">
        <x:v>现有浏览截图已见；链接token可能失效。</x:v>
      </x:c>
    </x:row>
    <x:row r="6">
      <x:c r="A6" s="48" t="str">
        <x:v>—</x:v>
      </x:c>
      <x:c r="B6" s="48" t="str">
        <x:v>覆盖说明</x:v>
      </x:c>
      <x:c r="C6" s="48" t="str">
        <x:v>2026-08-13</x:v>
      </x:c>
      <x:c r="D6" s="48"/>
      <x:c r="E6" s="48" t="str">
        <x:v>—</x:v>
      </x:c>
      <x:c r="F6" s="62" t="str">
        <x:v>—</x:v>
      </x:c>
      <x:c r="G6" s="62" t="str">
        <x:v>公开网页搜索对小区级帖子召回不稳定</x:v>
      </x:c>
      <x:c r="H6" s="62" t="str">
        <x:v>不适用</x:v>
      </x:c>
      <x:c r="I6" s="62" t="str">
        <x:v>https://www.xiaohongshu.com/</x:v>
      </x:c>
      <x:c r="J6" s="62" t="str">
        <x:v>建议用户登录后按推荐小区名+转租搜索，补充最新低互动个人帖。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85befa6630143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22" hidden="0" customWidth="1"/>
    <x:col min="5" max="5" width="35" hidden="0" customWidth="1"/>
    <x:col min="6" max="6" width="30" hidden="0" customWidth="1"/>
    <x:col min="7" max="7" width="22" hidden="0" customWidth="1"/>
    <x:col min="8" max="8" width="9" hidden="0" customWidth="1"/>
  </x:cols>
  <x:sheetData>
    <x:row r="1" ht="30" customHeight="1">
      <x:c r="A1" s="60" t="str">
        <x:v>统计口径、权重与限制</x:v>
      </x:c>
      <x:c r="B1" s="60"/>
      <x:c r="C1" s="60"/>
      <x:c r="D1" s="60"/>
      <x:c r="E1" s="60"/>
      <x:c r="F1" s="60"/>
      <x:c r="G1" s="60"/>
      <x:c r="H1" s="60"/>
    </x:row>
    <x:row r="2" ht="32" customHeight="1">
      <x:c r="A2" s="51" t="str">
        <x:v>黄色单元格可调整权重。总分只是初筛工具，不替代实地看房；安全是偏好项，需重点核门禁、楼道、电梯、夜间路线和消防疏散。</x:v>
      </x:c>
      <x:c r="B2" s="51"/>
      <x:c r="C2" s="51"/>
      <x:c r="D2" s="51"/>
      <x:c r="E2" s="51"/>
      <x:c r="F2" s="51"/>
      <x:c r="G2" s="51"/>
      <x:c r="H2" s="51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63" t="str">
        <x:v>评分维度</x:v>
      </x:c>
      <x:c r="B4" s="64" t="str">
        <x:v>每1分权重</x:v>
      </x:c>
      <x:c r="C4" s="65" t="str">
        <x:v>说明</x:v>
      </x:c>
      <x:c r="D4" s="54"/>
      <x:c r="E4" s="54"/>
      <x:c r="F4" s="54"/>
      <x:c r="G4" s="54"/>
      <x:c r="H4" s="54"/>
    </x:row>
    <x:row r="5">
      <x:c r="A5" s="66" t="str">
        <x:v>通勤</x:v>
      </x:c>
      <x:c r="B5" s="67" t="n">
        <x:v>7</x:v>
      </x:c>
      <x:c r="C5" s="68" t="str">
        <x:v>步行分钟换算0–5分</x:v>
      </x:c>
      <x:c r="D5" s="48"/>
      <x:c r="E5" s="48"/>
      <x:c r="F5" s="48"/>
      <x:c r="G5" s="48"/>
      <x:c r="H5" s="48"/>
    </x:row>
    <x:row r="6">
      <x:c r="A6" s="66" t="str">
        <x:v>安全</x:v>
      </x:c>
      <x:c r="B6" s="67" t="n">
        <x:v>5</x:v>
      </x:c>
      <x:c r="C6" s="68" t="str">
        <x:v>封闭管理60%+物业用途40%</x:v>
      </x:c>
      <x:c r="D6" s="48"/>
      <x:c r="E6" s="48"/>
      <x:c r="F6" s="48"/>
      <x:c r="G6" s="48"/>
      <x:c r="H6" s="48"/>
    </x:row>
    <x:row r="7">
      <x:c r="A7" s="66" t="str">
        <x:v>价格</x:v>
      </x:c>
      <x:c r="B7" s="67" t="n">
        <x:v>5</x:v>
      </x:c>
      <x:c r="C7" s="68" t="str">
        <x:v>中位租金越接近低预算越高</x:v>
      </x:c>
      <x:c r="D7" s="48"/>
      <x:c r="E7" s="48"/>
      <x:c r="F7" s="48"/>
      <x:c r="G7" s="48"/>
      <x:c r="H7" s="48"/>
    </x:row>
    <x:row r="8">
      <x:c r="A8" s="66" t="str">
        <x:v>库存</x:v>
      </x:c>
      <x:c r="B8" s="67" t="n">
        <x:v>3</x:v>
      </x:c>
      <x:c r="C8" s="68" t="str">
        <x:v>有效库存取log，避免大盘支配</x:v>
      </x:c>
      <x:c r="D8" s="48"/>
      <x:c r="E8" s="48"/>
      <x:c r="F8" s="48"/>
      <x:c r="G8" s="48"/>
      <x:c r="H8" s="48"/>
    </x:row>
    <x:row r="9">
      <x:c r="A9" s="69" t="str">
        <x:v>舒适</x:v>
      </x:c>
      <x:c r="B9" s="70" t="n">
        <x:v>1</x:v>
      </x:c>
      <x:c r="C9" s="71" t="str">
        <x:v>绿化、物业信息完整度、步行便利的弱权重</x:v>
      </x:c>
      <x:c r="D9" s="48"/>
      <x:c r="E9" s="48"/>
      <x:c r="F9" s="48"/>
      <x:c r="G9" s="48"/>
      <x:c r="H9" s="48"/>
    </x:row>
    <x:row r="10">
      <x:c r="A10" s="48"/>
      <x:c r="B10" s="48"/>
      <x:c r="C10" s="48"/>
      <x:c r="D10" s="48"/>
      <x:c r="E10" s="48"/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62" t="str">
        <x:v>规则编号</x:v>
      </x:c>
      <x:c r="B12" s="62" t="str">
        <x:v>规则</x:v>
      </x:c>
      <x:c r="C12" s="62" t="str">
        <x:v>触发条件</x:v>
      </x:c>
      <x:c r="D12" s="62" t="str">
        <x:v>统计处理</x:v>
      </x:c>
      <x:c r="E12" s="62" t="str">
        <x:v>为何这样做</x:v>
      </x:c>
      <x:c r="F12" s="62" t="str">
        <x:v>误伤风险</x:v>
      </x:c>
      <x:c r="G12" s="62" t="str">
        <x:v>审计位置</x:v>
      </x:c>
      <x:c r="H12" s="62" t="str">
        <x:v>版本</x:v>
      </x:c>
    </x:row>
    <x:row r="13">
      <x:c r="A13" s="62" t="str">
        <x:v>R1</x:v>
      </x:c>
      <x:c r="B13" s="62" t="str">
        <x:v>URL精确去重</x:v>
      </x:c>
      <x:c r="C13" s="62" t="str">
        <x:v>相同房源URL</x:v>
      </x:c>
      <x:c r="D13" s="62" t="str">
        <x:v>仅保留一条</x:v>
      </x:c>
      <x:c r="E13" s="62" t="str">
        <x:v>避免分页/关键词重复</x:v>
      </x:c>
      <x:c r="F13" s="62" t="str">
        <x:v>低</x:v>
      </x:c>
      <x:c r="G13" s="62" t="str">
        <x:v>原始房源</x:v>
      </x:c>
      <x:c r="H13" s="62" t="str">
        <x:v>v1</x:v>
      </x:c>
    </x:row>
    <x:row r="14">
      <x:c r="A14" s="62" t="str">
        <x:v>R2</x:v>
      </x:c>
      <x:c r="B14" s="62" t="str">
        <x:v>疑似重复挂牌</x:v>
      </x:c>
      <x:c r="C14" s="62" t="str">
        <x:v>同小区+户型+整数面积+租金+朝向相同</x:v>
      </x:c>
      <x:c r="D14" s="62" t="str">
        <x:v>只计一次有效库存</x:v>
      </x:c>
      <x:c r="E14" s="62" t="str">
        <x:v>多个经纪人可能发布同一套</x:v>
      </x:c>
      <x:c r="F14" s="62" t="str">
        <x:v>可能是同规格不同房</x:v>
      </x:c>
      <x:c r="G14" s="62" t="str">
        <x:v>原始房源·签名</x:v>
      </x:c>
      <x:c r="H14" s="62" t="str">
        <x:v>v1</x:v>
      </x:c>
    </x:row>
    <x:row r="15">
      <x:c r="A15" s="62" t="str">
        <x:v>R3</x:v>
      </x:c>
      <x:c r="B15" s="62" t="str">
        <x:v>异常低价</x:v>
      </x:c>
      <x:c r="C15" s="62" t="str">
        <x:v>低于IQR下界或低于小区中位数65%或㎡单价低于中位58%</x:v>
      </x:c>
      <x:c r="D15" s="62" t="str">
        <x:v>排除稳健均价并待核</x:v>
      </x:c>
      <x:c r="E15" s="62" t="str">
        <x:v>识别合租/引流/单位错误</x:v>
      </x:c>
      <x:c r="F15" s="62" t="str">
        <x:v>特价真房可能被排除</x:v>
      </x:c>
      <x:c r="G15" s="62" t="str">
        <x:v>原始房源·清洗原因</x:v>
      </x:c>
      <x:c r="H15" s="62" t="str">
        <x:v>v1</x:v>
      </x:c>
    </x:row>
    <x:row r="16">
      <x:c r="A16" s="62" t="str">
        <x:v>R4</x:v>
      </x:c>
      <x:c r="B16" s="62" t="str">
        <x:v>异常高价</x:v>
      </x:c>
      <x:c r="C16" s="62" t="str">
        <x:v>高于IQR上界</x:v>
      </x:c>
      <x:c r="D16" s="62" t="str">
        <x:v>排除稳健均价</x:v>
      </x:c>
      <x:c r="E16" s="62" t="str">
        <x:v>避免豪装/极端单位抬高均值</x:v>
      </x:c>
      <x:c r="F16" s="62" t="str">
        <x:v>优质装修可能被排除</x:v>
      </x:c>
      <x:c r="G16" s="62" t="str">
        <x:v>原始房源·清洗原因</x:v>
      </x:c>
      <x:c r="H16" s="62" t="str">
        <x:v>v1</x:v>
      </x:c>
    </x:row>
    <x:row r="17">
      <x:c r="A17" s="62" t="str">
        <x:v>R5</x:v>
      </x:c>
      <x:c r="B17" s="62" t="str">
        <x:v>稳健均租</x:v>
      </x:c>
      <x:c r="C17" s="62" t="str">
        <x:v>有效样本&gt;=10时两端各截10%后平均，否则普通平均</x:v>
      </x:c>
      <x:c r="D17" s="62" t="str">
        <x:v>作为均价</x:v>
      </x:c>
      <x:c r="E17" s="62" t="str">
        <x:v>减少极端值影响</x:v>
      </x:c>
      <x:c r="F17" s="62" t="str">
        <x:v>小样本仍不稳</x:v>
      </x:c>
      <x:c r="G17" s="62" t="str">
        <x:v>小区决策总表</x:v>
      </x:c>
      <x:c r="H17" s="62" t="str">
        <x:v>v1</x:v>
      </x:c>
    </x:row>
    <x:row r="18">
      <x:c r="A18" s="62" t="str">
        <x:v>R6</x:v>
      </x:c>
      <x:c r="B18" s="62" t="str">
        <x:v>有效库存</x:v>
      </x:c>
      <x:c r="C18" s="62" t="str">
        <x:v>排除重复与异常后的URL数</x:v>
      </x:c>
      <x:c r="D18" s="62" t="str">
        <x:v>与原始挂牌同时展示</x:v>
      </x:c>
      <x:c r="E18" s="62" t="str">
        <x:v>区分营销曝光和可比库存</x:v>
      </x:c>
      <x:c r="F18" s="62" t="str">
        <x:v>不是物理房屋实时数量</x:v>
      </x:c>
      <x:c r="G18" s="62" t="str">
        <x:v>小区决策总表</x:v>
      </x:c>
      <x:c r="H18" s="62" t="str">
        <x:v>v1</x:v>
      </x:c>
    </x:row>
    <x:row r="19">
      <x:c r="A19" s="62"/>
      <x:c r="B19" s="62"/>
      <x:c r="C19" s="62"/>
      <x:c r="D19" s="62"/>
      <x:c r="E19" s="62"/>
      <x:c r="F19" s="62"/>
      <x:c r="G19" s="62"/>
      <x:c r="H19" s="62"/>
    </x:row>
    <x:row r="20">
      <x:c r="A20" s="62"/>
      <x:c r="B20" s="62"/>
      <x:c r="C20" s="62"/>
      <x:c r="D20" s="62"/>
      <x:c r="E20" s="62"/>
      <x:c r="F20" s="62"/>
      <x:c r="G20" s="62"/>
      <x:c r="H20" s="6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3267518d82d4c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14" hidden="0" customWidth="1"/>
    <x:col min="5" max="5" width="58" hidden="0" customWidth="1"/>
    <x:col min="6" max="6" width="60" hidden="0" customWidth="1"/>
  </x:cols>
  <x:sheetData>
    <x:row r="1" ht="30" customHeight="1">
      <x:c r="A1" s="60" t="str">
        <x:v>来源、覆盖与可信边界</x:v>
      </x:c>
      <x:c r="B1" s="60"/>
      <x:c r="C1" s="60"/>
      <x:c r="D1" s="60"/>
      <x:c r="E1" s="60"/>
      <x:c r="F1" s="60"/>
    </x:row>
    <x:row r="2" ht="32" customHeight="1">
      <x:c r="A2" s="51" t="str">
        <x:v>所有关键来源都保留URL。平台在租数量受重复、过期与展示策略影响；高德路线随道路数据更新可能变化。</x:v>
      </x:c>
      <x:c r="B2" s="51"/>
      <x:c r="C2" s="51"/>
      <x:c r="D2" s="51"/>
      <x:c r="E2" s="51"/>
      <x:c r="F2" s="51"/>
    </x:row>
    <x:row r="3">
      <x:c r="A3" s="48"/>
      <x:c r="B3" s="48"/>
      <x:c r="C3" s="48"/>
      <x:c r="D3" s="48"/>
      <x:c r="E3" s="48"/>
      <x:c r="F3" s="48"/>
    </x:row>
    <x:row r="4">
      <x:c r="A4" s="54" t="str">
        <x:v>来源</x:v>
      </x:c>
      <x:c r="B4" s="54" t="str">
        <x:v>用途</x:v>
      </x:c>
      <x:c r="C4" s="54" t="str">
        <x:v>覆盖</x:v>
      </x:c>
      <x:c r="D4" s="54" t="str">
        <x:v>时间</x:v>
      </x:c>
      <x:c r="E4" s="54" t="str">
        <x:v>URL</x:v>
      </x:c>
      <x:c r="F4" s="54" t="str">
        <x:v>限制</x:v>
      </x:c>
    </x:row>
    <x:row r="5">
      <x:c r="A5" s="62" t="str">
        <x:v>乐有家 house/search</x:v>
      </x:c>
      <x:c r="B5" s="62" t="str">
        <x:v>一居挂牌与链接</x:v>
      </x:c>
      <x:c r="C5" s="62" t="str">
        <x:v>116小区 / 1,068条</x:v>
      </x:c>
      <x:c r="D5" s="62" t="str">
        <x:v>2026-08-12</x:v>
      </x:c>
      <x:c r="E5" s="62" t="str">
        <x:v>https://wap.leyoujia.com/wap/openclaw/ai/house/search</x:v>
      </x:c>
      <x:c r="F5" s="62" t="str">
        <x:v>接口单次最多30条；已通过价格/面积/朝向/装修递归切分穷尽桶</x:v>
      </x:c>
    </x:row>
    <x:row r="6">
      <x:c r="A6" s="62" t="str">
        <x:v>乐有家 communitySearch</x:v>
      </x:c>
      <x:c r="B6" s="62" t="str">
        <x:v>小区档案</x:v>
      </x:c>
      <x:c r="C6" s="62" t="str">
        <x:v>116小区</x:v>
      </x:c>
      <x:c r="D6" s="62" t="str">
        <x:v>2026-08-13</x:v>
      </x:c>
      <x:c r="E6" s="62" t="str">
        <x:v>https://wap.leyoujia.com/wap/openclaw/ai/communitySearch</x:v>
      </x:c>
      <x:c r="F6" s="62" t="str">
        <x:v>部分别名无档案或字段为空</x:v>
      </x:c>
    </x:row>
    <x:row r="7">
      <x:c r="A7" s="62" t="str">
        <x:v>高德周边搜索</x:v>
      </x:c>
      <x:c r="B7" s="62" t="str">
        <x:v>住宅POI前置清单</x:v>
      </x:c>
      <x:c r="C7" s="62" t="str">
        <x:v>口岸4km且站点1km</x:v>
      </x:c>
      <x:c r="D7" s="62" t="str">
        <x:v>2026-08-12</x:v>
      </x:c>
      <x:c r="E7" s="62" t="str">
        <x:v>https://restapi.amap.com/v5/place/around</x:v>
      </x:c>
      <x:c r="F7" s="62" t="str">
        <x:v>POI类型可能混入商住楼，已保留类型核验</x:v>
      </x:c>
    </x:row>
    <x:row r="8">
      <x:c r="A8" s="62" t="str">
        <x:v>高德步行规划</x:v>
      </x:c>
      <x:c r="B8" s="62" t="str">
        <x:v>实际路网距离/时间</x:v>
      </x:c>
      <x:c r="C8" s="62" t="str">
        <x:v>116小区全部成功</x:v>
      </x:c>
      <x:c r="D8" s="62" t="str">
        <x:v>2026-08-13</x:v>
      </x:c>
      <x:c r="E8" s="62" t="str">
        <x:v>https://restapi.amap.com/v3/direction/walking</x:v>
      </x:c>
      <x:c r="F8" s="62" t="str">
        <x:v>起点为POI中心，非楼栋门口</x:v>
      </x:c>
    </x:row>
    <x:row r="9">
      <x:c r="A9" s="62" t="str">
        <x:v>安居客/房天下/克而瑞</x:v>
      </x:c>
      <x:c r="B9" s="62" t="str">
        <x:v>跨平台库存/评价线索</x:v>
      </x:c>
      <x:c r="C9" s="62" t="str">
        <x:v>重点候选抽样</x:v>
      </x:c>
      <x:c r="D9" s="62" t="str">
        <x:v>2026-08-13</x:v>
      </x:c>
      <x:c r="E9" s="62" t="str">
        <x:v>https://shenzhen.anjuke.com/</x:v>
      </x:c>
      <x:c r="F9" s="62" t="str">
        <x:v>库存口径不明，营销文案降权</x:v>
      </x:c>
    </x:row>
    <x:row r="10">
      <x:c r="A10" s="62" t="str">
        <x:v>小红书</x:v>
      </x:c>
      <x:c r="B10" s="62" t="str">
        <x:v>个人看房/转租线索</x:v>
      </x:c>
      <x:c r="C10" s="62" t="str">
        <x:v>低覆盖</x:v>
      </x:c>
      <x:c r="D10" s="62" t="str">
        <x:v>2026-08-13</x:v>
      </x:c>
      <x:c r="E10" s="62" t="str">
        <x:v>https://www.xiaohongshu.com/</x:v>
      </x:c>
      <x:c r="F10" s="62" t="str">
        <x:v>搜索结果依赖登录与临时token；只保留可审计链接</x:v>
      </x:c>
    </x:row>
    <x:row r="11">
      <x:c r="A11" s="62" t="str">
        <x:v>GitHub工具调研</x:v>
      </x:c>
      <x:c r="B11" s="62" t="str">
        <x:v>采集方案评估</x:v>
      </x:c>
      <x:c r="C11" s="62" t="str">
        <x:v>redbook/MediaCrawler/旧链家爬虫</x:v>
      </x:c>
      <x:c r="D11" s="62" t="str">
        <x:v>2026-08-13</x:v>
      </x:c>
      <x:c r="E11" s="62" t="str">
        <x:v>https://github.com/666ghj/MindSpider</x:v>
      </x:c>
      <x:c r="F11" s="62" t="str">
        <x:v>需登录/验证码或旧页面适配，未把未经验证脚本当数据源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49ed09bb2944b0c"/>
  </x:tableParts>
</x:worksheet>
</file>